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検索条件_開発側提供" sheetId="1" r:id="rId5"/>
    <sheet state="visible" name="導線" sheetId="2" r:id="rId6"/>
    <sheet state="visible" name="本編促進" sheetId="3" r:id="rId7"/>
    <sheet state="visible" name="特典" sheetId="4" r:id="rId8"/>
    <sheet state="visible" name="BonusGroup" sheetId="5" r:id="rId9"/>
    <sheet state="visible" name="Bonus" sheetId="6" r:id="rId10"/>
    <sheet state="visible" name="ExtraBounus" sheetId="7" r:id="rId11"/>
    <sheet state="visible" name="RankingBonus" sheetId="8" r:id="rId12"/>
    <sheet state="visible" name="special_story" sheetId="9" r:id="rId13"/>
    <sheet state="visible" name="コレクション特典" sheetId="10" r:id="rId14"/>
    <sheet state="visible" name="collect_event_story" sheetId="11" r:id="rId15"/>
    <sheet state="visible" name="present" sheetId="12" r:id="rId16"/>
    <sheet state="visible" name="CollectionBonus" sheetId="13" r:id="rId17"/>
    <sheet state="visible" name="フィーバー" sheetId="14" r:id="rId18"/>
    <sheet state="visible" name="Fever" sheetId="15" r:id="rId19"/>
    <sheet state="visible" name="ストーリー" sheetId="16" r:id="rId20"/>
    <sheet state="visible" name="新規アバター" sheetId="17" r:id="rId21"/>
    <sheet state="visible" name="avatar_item" sheetId="18" r:id="rId22"/>
    <sheet state="visible" name="新規武将カード・スチル" sheetId="19" r:id="rId23"/>
    <sheet state="visible" name="still" sheetId="20" r:id="rId24"/>
    <sheet state="visible" name="セット販売" sheetId="21" r:id="rId25"/>
    <sheet state="visible" name="item_mst" sheetId="22" r:id="rId26"/>
    <sheet state="visible" name="set_list" sheetId="23" r:id="rId27"/>
    <sheet state="visible" name="shop_item" sheetId="24" r:id="rId28"/>
    <sheet state="visible" name="集計" sheetId="25" r:id="rId29"/>
    <sheet state="visible" name="参照_概要" sheetId="26" r:id="rId30"/>
    <sheet state="visible" name="参照_仕様" sheetId="27" r:id="rId31"/>
    <sheet state="visible" name="参照_各種特典" sheetId="28" r:id="rId32"/>
    <sheet state="visible" name="参照_特典詳細" sheetId="29" r:id="rId33"/>
    <sheet state="visible" name="参照_ショップ" sheetId="30" r:id="rId34"/>
  </sheets>
  <definedNames>
    <definedName hidden="1" localSheetId="22" name="_xlnm._FilterDatabase">set_list!$A$4:$F$72</definedName>
    <definedName hidden="1" localSheetId="17" name="Z_57FE45A7_A96D_4751_B2BB_11192AC4E903_.wvu.FilterData">avatar_item!$A$1:$E$40</definedName>
    <definedName hidden="1" localSheetId="2" name="Z_9FA1396E_99B0_44B1_8361_490FB13240C7_.wvu.FilterData">'本編促進'!$A$1:$S$75</definedName>
    <definedName hidden="1" localSheetId="3" name="Z_9FA1396E_99B0_44B1_8361_490FB13240C7_.wvu.FilterData">'特典'!$A$1:$W$137</definedName>
    <definedName hidden="1" localSheetId="20" name="Z_9FA1396E_99B0_44B1_8361_490FB13240C7_.wvu.FilterData">'セット販売'!$A$1:$Z$228</definedName>
    <definedName hidden="1" localSheetId="1" name="Z_1ABAEFC5_7779_47AF_8E40_B46656CFF8B1_.wvu.FilterData">'導線'!$A$1:$S$25</definedName>
    <definedName hidden="1" localSheetId="9" name="Z_1ABAEFC5_7779_47AF_8E40_B46656CFF8B1_.wvu.FilterData">'コレクション特典'!$A$1:$Y$393</definedName>
    <definedName hidden="1" localSheetId="15" name="Z_1ABAEFC5_7779_47AF_8E40_B46656CFF8B1_.wvu.FilterData">'ストーリー'!$A$1:$T$136</definedName>
    <definedName hidden="1" localSheetId="16" name="Z_1ABAEFC5_7779_47AF_8E40_B46656CFF8B1_.wvu.FilterData">'新規アバター'!$A$1:$V$157</definedName>
    <definedName hidden="1" localSheetId="18" name="Z_1ABAEFC5_7779_47AF_8E40_B46656CFF8B1_.wvu.FilterData">'新規武将カード・スチル'!$A$1:$S$32</definedName>
  </definedNames>
  <calcPr/>
  <customWorkbookViews>
    <customWorkbookView activeSheetId="0" maximized="1" windowHeight="0" windowWidth="0" guid="{57FE45A7-A96D-4751-B2BB-11192AC4E903}" name="sorted"/>
    <customWorkbookView activeSheetId="0" maximized="1" windowHeight="0" windowWidth="0" guid="{1ABAEFC5-7779-47AF-8E40-B46656CFF8B1}" name="篩選器 1"/>
    <customWorkbookView activeSheetId="0" maximized="1" windowHeight="0" windowWidth="0" guid="{9FA1396E-99B0-44B1-8361-490FB13240C7}" name="My Filter"/>
  </customWorkbookViews>
</workbook>
</file>

<file path=xl/sharedStrings.xml><?xml version="1.0" encoding="utf-8"?>
<sst xmlns="http://schemas.openxmlformats.org/spreadsheetml/2006/main" count="11856" uniqueCount="1412">
  <si>
    <t>後台主地址</t>
  </si>
  <si>
    <t>https://common-legacy-app-admin.us.ikemen-sengoku.jp/admin/</t>
  </si>
  <si>
    <t>Redmine</t>
  </si>
  <si>
    <t>https://redmine.ls.aws.cybird.ne.jp/issues/315490</t>
  </si>
  <si>
    <t>Slack</t>
  </si>
  <si>
    <t>https://isweetygroup.slack.com/archives/C0666R2V5BL/p1769738886049559</t>
  </si>
  <si>
    <t>活動資訊</t>
  </si>
  <si>
    <t>連結生成公式用資訊</t>
  </si>
  <si>
    <t>後台位置</t>
  </si>
  <si>
    <t>搜尋欄位</t>
  </si>
  <si>
    <t>關鍵字</t>
  </si>
  <si>
    <t>其他備註</t>
  </si>
  <si>
    <t>對應頁面前綴</t>
  </si>
  <si>
    <t>可查詢關鍵字</t>
  </si>
  <si>
    <t>快速連結</t>
  </si>
  <si>
    <t>キャンペーンバナー管理</t>
  </si>
  <si>
    <t>リンク(http)：</t>
  </si>
  <si>
    <t>collection/203</t>
  </si>
  <si>
    <t>campaign</t>
  </si>
  <si>
    <t>?link=</t>
  </si>
  <si>
    <t>エントリーフラッシュ管理</t>
  </si>
  <si>
    <r>
      <rPr>
        <rFont val="Microsoft JhengHei"/>
        <color rgb="FF000000"/>
        <sz val="11.0"/>
      </rPr>
      <t>~などで検索できます</t>
    </r>
    <r>
      <rPr>
        <rFont val="微軟正黑體"/>
        <color rgb="FF000000"/>
        <sz val="11.0"/>
      </rPr>
      <t>：</t>
    </r>
  </si>
  <si>
    <t>entryflash</t>
  </si>
  <si>
    <t>Page Link</t>
  </si>
  <si>
    <t>コレクトイベント</t>
  </si>
  <si>
    <t>ID</t>
  </si>
  <si>
    <t>Mystic Matrimony</t>
  </si>
  <si>
    <t>isgame/collection/</t>
  </si>
  <si>
    <t>all_setting/</t>
  </si>
  <si>
    <t>Search</t>
  </si>
  <si>
    <t>セット販売管理</t>
  </si>
  <si>
    <r>
      <rPr>
        <rFont val="微軟正黑體"/>
        <color rgb="FF000000"/>
        <sz val="11.0"/>
      </rPr>
      <t>セット販売</t>
    </r>
    <r>
      <rPr>
        <rFont val="Calibri"/>
        <color rgb="FF000000"/>
        <sz val="11.0"/>
      </rPr>
      <t>ID：</t>
    </r>
  </si>
  <si>
    <t>combinedsale</t>
  </si>
  <si>
    <t>?combinedsale_mst_id=</t>
  </si>
  <si>
    <t>道具資訊</t>
  </si>
  <si>
    <t>アイテム管理</t>
  </si>
  <si>
    <t>itemtrial</t>
  </si>
  <si>
    <t>アイテムCD</t>
  </si>
  <si>
    <t>cpn_0203001</t>
  </si>
  <si>
    <t>cpn_0203002</t>
  </si>
  <si>
    <t>it170001508</t>
  </si>
  <si>
    <t>it170001509</t>
  </si>
  <si>
    <t>it170001510</t>
  </si>
  <si>
    <t>it170001511</t>
  </si>
  <si>
    <t>商店道具資訊</t>
  </si>
  <si>
    <t>ショップアイテム管理</t>
  </si>
  <si>
    <t>id検索</t>
  </si>
  <si>
    <t>No</t>
  </si>
  <si>
    <t>大項目</t>
  </si>
  <si>
    <t>確認方法</t>
  </si>
  <si>
    <t>確認項目</t>
  </si>
  <si>
    <t>詳細</t>
  </si>
  <si>
    <t>テスト環境</t>
  </si>
  <si>
    <t>本番環境</t>
  </si>
  <si>
    <t>備考</t>
  </si>
  <si>
    <t>テスターコメント</t>
  </si>
  <si>
    <t>チケットURL</t>
  </si>
  <si>
    <t>確認</t>
  </si>
  <si>
    <t>担当</t>
  </si>
  <si>
    <t>担当者</t>
  </si>
  <si>
    <t>日付</t>
  </si>
  <si>
    <t>開催告知エンフラ</t>
  </si>
  <si>
    <t>管理ツール
エントリーフラッシュ管理</t>
  </si>
  <si>
    <t>再生開始日時が右記の通り設定されているか</t>
  </si>
  <si>
    <r>
      <rPr>
        <rFont val="微軟正黑體"/>
        <color theme="1"/>
        <sz val="9.0"/>
      </rPr>
      <t>活動開始告知</t>
    </r>
    <r>
      <rPr>
        <rFont val="Arial"/>
        <color theme="1"/>
        <sz val="9.0"/>
      </rPr>
      <t>EF
(Enter Flash)</t>
    </r>
  </si>
  <si>
    <r>
      <rPr>
        <rFont val="微軟正黑體"/>
        <color theme="1"/>
        <sz val="9.0"/>
      </rPr>
      <t>管理工具</t>
    </r>
    <r>
      <rPr>
        <rFont val="Arial"/>
        <color theme="1"/>
        <sz val="9.0"/>
      </rPr>
      <t xml:space="preserve">
</t>
    </r>
    <r>
      <rPr>
        <rFont val="微軟正黑體"/>
        <color theme="1"/>
        <sz val="9.0"/>
      </rPr>
      <t>開場動畫管理</t>
    </r>
  </si>
  <si>
    <t>播放開始日期/時間是否如右方所示設定</t>
  </si>
  <si>
    <t>OK</t>
  </si>
  <si>
    <t>IW</t>
  </si>
  <si>
    <t>Bill</t>
  </si>
  <si>
    <t>再生終了日時が右記の通り設定されているか</t>
  </si>
  <si>
    <t>播放結束日期/時間是否如右方所示設定</t>
  </si>
  <si>
    <t>実機</t>
  </si>
  <si>
    <t>左記時刻にマイページにアクセスした際、エンフラが再生されるか</t>
  </si>
  <si>
    <t>實體機台</t>
  </si>
  <si>
    <t>在右方所示時間點進入「Mypage頁面(Home)」時，是否會播放EF</t>
  </si>
  <si>
    <t>2/12</t>
  </si>
  <si>
    <t>エンフラ再生後、イベントマイページへ遷移するか</t>
  </si>
  <si>
    <t>EF播放後，是否會轉跳至「未參加活動 TOP」頁面</t>
  </si>
  <si>
    <t>ランキング応援セット発売エンフラ</t>
  </si>
  <si>
    <r>
      <rPr>
        <rFont val="微軟正黑體"/>
        <color theme="1"/>
        <sz val="9.0"/>
      </rPr>
      <t>排行榜應援禮包發售</t>
    </r>
    <r>
      <rPr>
        <rFont val="Arial"/>
        <color theme="1"/>
        <sz val="9.0"/>
      </rPr>
      <t>EF
(Enter Flash)</t>
    </r>
  </si>
  <si>
    <r>
      <rPr>
        <rFont val="微軟正黑體"/>
        <color theme="1"/>
        <sz val="9.0"/>
      </rPr>
      <t>管理工具</t>
    </r>
    <r>
      <rPr>
        <rFont val="Arial"/>
        <color theme="1"/>
        <sz val="9.0"/>
      </rPr>
      <t xml:space="preserve">
</t>
    </r>
    <r>
      <rPr>
        <rFont val="微軟正黑體"/>
        <color theme="1"/>
        <sz val="9.0"/>
      </rPr>
      <t>開場動畫管理</t>
    </r>
  </si>
  <si>
    <t>EF播放後，是否會轉跳至「活動主面」</t>
  </si>
  <si>
    <t>イベントバナー</t>
  </si>
  <si>
    <t>公開開始日時が右記の通り設定されているか</t>
  </si>
  <si>
    <t>活動橫幅 (Banner)</t>
  </si>
  <si>
    <t>管理工具
活動橫幅管理</t>
  </si>
  <si>
    <t>公開開始日期/時間是否如右方所示設定</t>
  </si>
  <si>
    <t>公開終了日時が右記の通り設定されているか</t>
  </si>
  <si>
    <t>公開結束日期/時間是否如右方所示設定</t>
  </si>
  <si>
    <t>バナー文言が右記の通り設定されているか</t>
  </si>
  <si>
    <t>橫幅文字是否如右方所示設定</t>
  </si>
  <si>
    <t>マイページにバナー画像が表示されているか</t>
  </si>
  <si>
    <t>在「Mypage頁面(Home)」上是否顯示橫幅圖片</t>
  </si>
  <si>
    <t>イベント一覧にバナー画像が表示されているか</t>
  </si>
  <si>
    <t>在「活動一覽(Events)」上是否顯示橫幅圖片</t>
  </si>
  <si>
    <t>バナーをタップすると、イベントマイページ画面へ遷移するか</t>
  </si>
  <si>
    <t>點擊橫幅後，是否會轉跳到「活動主面」</t>
  </si>
  <si>
    <t>セット販売バナー</t>
  </si>
  <si>
    <r>
      <rPr>
        <rFont val="微軟正黑體"/>
        <color theme="1"/>
        <sz val="9.0"/>
      </rPr>
      <t>禮包販售橫幅</t>
    </r>
    <r>
      <rPr>
        <rFont val="Arial"/>
        <color theme="1"/>
        <sz val="9.0"/>
      </rPr>
      <t xml:space="preserve"> (Banner)</t>
    </r>
  </si>
  <si>
    <t>ショップ画面にバナー画像が表示されているか</t>
  </si>
  <si>
    <t>在「商店畫面(Shop)」上是否顯示橫幅圖片</t>
  </si>
  <si>
    <t>バナーをタップすると、セット販売画面へ遷移するか</t>
  </si>
  <si>
    <t>點擊橫幅後，是否會轉跳到「禮包販售畫面」</t>
  </si>
  <si>
    <t>最終ランキングバナー</t>
  </si>
  <si>
    <r>
      <rPr>
        <rFont val="微軟正黑體"/>
        <color theme="1"/>
        <sz val="9.0"/>
      </rPr>
      <t>最終排行榜橫幅</t>
    </r>
    <r>
      <rPr>
        <rFont val="Arial"/>
        <color theme="1"/>
        <sz val="9.0"/>
      </rPr>
      <t xml:space="preserve"> (Banner)</t>
    </r>
  </si>
  <si>
    <t>バナーをタップすると、最終ランキング画面へ遷移するか</t>
  </si>
  <si>
    <t>點擊橫幅後，是否會轉跳到「最終排行榜畫面」</t>
  </si>
  <si>
    <t>画面</t>
  </si>
  <si>
    <t>日時 / 詳細</t>
  </si>
  <si>
    <t>本編促進全体</t>
  </si>
  <si>
    <t>管理ツール
コレクションイベント</t>
  </si>
  <si>
    <t>イベント開始日時が右記の日時に設定されているか</t>
  </si>
  <si>
    <t>本篇促進活動整體</t>
  </si>
  <si>
    <t>管理工具
收集活動</t>
  </si>
  <si>
    <t>活動開始日期/時間是否如右方所示設定</t>
  </si>
  <si>
    <t>イベント終了日時が右記の日時に設定されているか</t>
  </si>
  <si>
    <t>活動結束日期/時間是否如右方所示設定</t>
  </si>
  <si>
    <t>ランキング開始日時が右記の日時に設定されているか</t>
  </si>
  <si>
    <t>排行榜開始日期/時間是否如右方所示設定</t>
  </si>
  <si>
    <t>ランキング終了日時が右記の日時に設定されているか</t>
  </si>
  <si>
    <t>排行榜結束日期/時間是否如右方所示設定</t>
  </si>
  <si>
    <t>未参加TOP</t>
  </si>
  <si>
    <t>画面内に日本語表記が残っていないか</t>
  </si>
  <si>
    <t>畫面內的文字是否還有日文表記 (日文未殘留)</t>
  </si>
  <si>
    <t>イベントタイトル画像が表示されているか</t>
  </si>
  <si>
    <t>活動標題圖片是否顯示</t>
  </si>
  <si>
    <t>イベント訴求画像が表示されているか</t>
  </si>
  <si>
    <t>活動宣傳圖片是否顯示</t>
  </si>
  <si>
    <t>早期前半クリア特典画像が表示されているか</t>
  </si>
  <si>
    <t>早期前半達成特典圖片是否顯示</t>
  </si>
  <si>
    <t>早期後半クリア特典画像が表示されているか</t>
  </si>
  <si>
    <t>早期後半達成特典圖片是否顯示</t>
  </si>
  <si>
    <t>早期特典～イベント名～画像が表示されているか</t>
  </si>
  <si>
    <t>早期特典～活動名稱～圖片是否顯示</t>
  </si>
  <si>
    <t>早期全コレクション特典画像が表示されているか</t>
  </si>
  <si>
    <t>早期全收集特典圖片是否顯示</t>
  </si>
  <si>
    <t>コレクション特典画像が表示されているか</t>
  </si>
  <si>
    <t>收集特典圖片是否顯示</t>
  </si>
  <si>
    <t>特別コレクション特典画像が表示されているか</t>
  </si>
  <si>
    <t>特別收集特典圖片是否顯示</t>
  </si>
  <si>
    <t>ランキング特典画像が表示されているか</t>
  </si>
  <si>
    <t>排行榜特典圖片是否顯示</t>
  </si>
  <si>
    <t>[ Enter ] ボタンをタップすると、イベントへ参加できるか</t>
  </si>
  <si>
    <t>點擊 [ Enter ] 按鈕後，是否可以參加活動</t>
  </si>
  <si>
    <t>イベントマイページ</t>
  </si>
  <si>
    <r>
      <rPr>
        <rFont val="微軟正黑體"/>
        <color theme="1"/>
        <sz val="9.0"/>
      </rPr>
      <t>活動</t>
    </r>
    <r>
      <rPr>
        <rFont val="Microsoft JhengHei"/>
        <color theme="1"/>
        <sz val="9.0"/>
      </rPr>
      <t>主</t>
    </r>
    <r>
      <rPr>
        <rFont val="微軟正黑體"/>
        <color theme="1"/>
        <sz val="9.0"/>
      </rPr>
      <t>頁</t>
    </r>
  </si>
  <si>
    <t>畫面內是否沒有殘留日文標記</t>
  </si>
  <si>
    <t>コレクトアイテムが使用できるか</t>
  </si>
  <si>
    <t>收集道具是否可以使用</t>
  </si>
  <si>
    <t>1回に使用する単位が正しいか</t>
  </si>
  <si>
    <t>單次使用的單位是否正確</t>
  </si>
  <si>
    <t>使用個数のMAX値が正しいか</t>
  </si>
  <si>
    <t>使用數量的最大值是否正確</t>
  </si>
  <si>
    <t>メニュー内のヘルプ押下で、ヘルプ画面へ遷移するか</t>
  </si>
  <si>
    <t>點擊選單中的「幫助」，是否會跳轉到幫助畫面</t>
  </si>
  <si>
    <t>ヘルプ画面内に日本語表記が残っていないか</t>
  </si>
  <si>
    <t>幫助畫面內是否沒有殘留日文標記</t>
  </si>
  <si>
    <t>「イベントの説明を聞く」押下で、ストーリーが再生されるか</t>
  </si>
  <si>
    <t>點擊「聽取活動說明」，故事是否會播放</t>
  </si>
  <si>
    <t>メニュー内のフィーバー押下で、フィーバースケジュールモーダルが表示されるか</t>
  </si>
  <si>
    <t>點擊選單中的「Fever（加倍時間）」，是否會顯示 Fever 排程彈窗</t>
  </si>
  <si>
    <t>フィーバースケジュールモーダル内に日本語が残っていないか</t>
  </si>
  <si>
    <t>Fever 排程彈窗內是否沒有殘留日文</t>
  </si>
  <si>
    <t>「コレクション特典」押下で、特典一覧へ遷移するか</t>
  </si>
  <si>
    <t>點擊「收集特典」，是否會跳轉到特典一覽頁面</t>
  </si>
  <si>
    <t>「特別コレクション特典」押下で、特典一覧へ遷移するか</t>
  </si>
  <si>
    <t>點擊「特別收集特典」，是否會跳轉到特典一覽頁面</t>
  </si>
  <si>
    <t>「物語を読んで恋のハートGET」押下で、ストーリーが再生されるか</t>
  </si>
  <si>
    <t>點擊「閱讀故事獲得愛戀之心」，故事是否會播放</t>
  </si>
  <si>
    <t>「姫磨きで恋のハートGET」押下で、姫磨きへ遷移するか</t>
  </si>
  <si>
    <t>點擊「姬磨練獲得愛戀之心」，是否會跳轉到姬磨練頁面</t>
  </si>
  <si>
    <t>「応援セットで恋のハートGET」押下で、セット販売へ遷移するか</t>
  </si>
  <si>
    <t>點擊「應援禮包獲得愛戀之心」，是否會跳轉到禮包販售頁面</t>
  </si>
  <si>
    <t>「お相手変更で恋のハートGET」押下で、お相手変更へ遷移するか</t>
  </si>
  <si>
    <t>點擊「變更對象獲得愛戀之心」，是否會跳轉到變更對象頁面</t>
  </si>
  <si>
    <t>任意のセット購入訴求ポップアップが表示されるか</t>
  </si>
  <si>
    <t>是否會顯示任意禮包購買宣傳彈窗</t>
  </si>
  <si>
    <r>
      <rPr>
        <rFont val="微軟正黑體"/>
        <color theme="1"/>
        <sz val="9.0"/>
      </rPr>
      <t>任</t>
    </r>
    <r>
      <rPr>
        <rFont val="Arial"/>
        <color theme="1"/>
        <sz val="9.0"/>
      </rPr>
      <t>1</t>
    </r>
    <r>
      <rPr>
        <rFont val="微軟正黑體"/>
        <color theme="1"/>
        <sz val="9.0"/>
      </rPr>
      <t>禮包確認</t>
    </r>
  </si>
  <si>
    <t>ランキング</t>
  </si>
  <si>
    <t>排行榜</t>
  </si>
  <si>
    <t>特典一覧</t>
  </si>
  <si>
    <t>特典一覽</t>
  </si>
  <si>
    <t>特典一覧
＞特典詳細</t>
  </si>
  <si>
    <t>着用イメージ画像が表示されているか</t>
  </si>
  <si>
    <t>特典一覽
＞特典詳情</t>
  </si>
  <si>
    <t>穿戴形象圖片(Sample Image)是否顯示</t>
  </si>
  <si>
    <t>訴求画像押下で、早期前半クリア特典モーダルが表示されるか</t>
  </si>
  <si>
    <t>點擊宣傳圖片後，是否會顯示早期前半達成特典彈窗</t>
  </si>
  <si>
    <t>訴求画像押下で、早期後半クリア特典モーダルが表示されるか</t>
  </si>
  <si>
    <t>點擊宣傳圖片後，是否會顯示早期後半達成特典彈窗</t>
  </si>
  <si>
    <t>訴求画像押下で、早期特典～イベント名～特典モーダルが表示されるか</t>
  </si>
  <si>
    <t>點擊宣傳圖片後，是否會顯示早期特典～活動名稱～特典彈窗</t>
  </si>
  <si>
    <t>訴求画像押下で、早期全コレクション特典モーダルが表示されるか</t>
  </si>
  <si>
    <t>點擊宣傳圖片後，是否會顯示早期全收集特典彈窗</t>
  </si>
  <si>
    <t>ストーリー特典画像が表示されているか</t>
  </si>
  <si>
    <t>故事特典圖片是否顯示</t>
  </si>
  <si>
    <t>訴求画像押下で、ストーリー特典モーダルが表示されるか</t>
  </si>
  <si>
    <t>點擊宣傳圖片後，是否會顯示故事特典彈窗</t>
  </si>
  <si>
    <t>訴求画像押下で、コレクション特典モーダルが表示されるか</t>
  </si>
  <si>
    <t>點擊宣傳圖片後，是否會顯示收集特典彈窗</t>
  </si>
  <si>
    <t>特別コレクション画像が表示されているか</t>
  </si>
  <si>
    <t>特別收集圖片是否顯示</t>
  </si>
  <si>
    <t>訴求画像押下で、特別コレクション特典モーダルが表示されるか</t>
  </si>
  <si>
    <t>點擊宣傳圖片後，是否會顯示特別收集特典彈窗</t>
  </si>
  <si>
    <t>訴求画像押下で、ランキング特典モーダルが表示されるか</t>
  </si>
  <si>
    <t>點擊宣傳圖片後，是否會顯示排行榜特典彈窗</t>
  </si>
  <si>
    <t>本編・続編連動特典画像が表示されているか</t>
  </si>
  <si>
    <r>
      <rPr>
        <rFont val="Microsoft JhengHei"/>
        <color theme="1"/>
        <sz val="9.0"/>
      </rPr>
      <t>本篇</t>
    </r>
    <r>
      <rPr>
        <rFont val="微軟正黑體"/>
        <color theme="1"/>
        <sz val="9.0"/>
      </rPr>
      <t>・續篇連動</t>
    </r>
    <r>
      <rPr>
        <rFont val="Microsoft JhengHei"/>
        <color theme="1"/>
        <sz val="9.0"/>
      </rPr>
      <t>特典</t>
    </r>
    <r>
      <rPr>
        <rFont val="微軟正黑體"/>
        <color theme="1"/>
        <sz val="9.0"/>
      </rPr>
      <t>圖片是否顯示</t>
    </r>
  </si>
  <si>
    <t>訴求画像押下で、本編・続編連動特典モーダルが表示されるか</t>
  </si>
  <si>
    <t>點擊宣傳圖片後，是否會顯示本篇・續篇連動特典彈窗</t>
  </si>
  <si>
    <t>イベント専用アイテム</t>
  </si>
  <si>
    <t>活動專屬道具</t>
  </si>
  <si>
    <t>管理ツール
アイテム管理</t>
  </si>
  <si>
    <t>使用開始日時が右記の通り設定されているか</t>
  </si>
  <si>
    <t>管理工具
道具管理</t>
  </si>
  <si>
    <t>使用開始日期/時間是否如右方所示設定</t>
  </si>
  <si>
    <t>使用終了日時が右記の通り設定されているか</t>
  </si>
  <si>
    <t>使用結束日期/時間是否如右方所示設定</t>
  </si>
  <si>
    <t>アイテムサムネイルが表示されているか</t>
  </si>
  <si>
    <t>道具縮圖是否顯示</t>
  </si>
  <si>
    <t>アイテムが正常に使用できるか</t>
  </si>
  <si>
    <t>道具是否能正常使用，效果是否正確</t>
  </si>
  <si>
    <t>コレクトアイテム取得</t>
  </si>
  <si>
    <t>獲得收集特典</t>
  </si>
  <si>
    <t>イベント参加後に取得できるか</t>
  </si>
  <si>
    <t>參加活動後是否能取得</t>
  </si>
  <si>
    <t>10個</t>
  </si>
  <si>
    <t>0:00～12:00の間にイベントマイページアクセスで取得できるか</t>
  </si>
  <si>
    <t>在 0:00～12:00 期間內進入活動主頁是否能取得</t>
  </si>
  <si>
    <t>1個</t>
  </si>
  <si>
    <t>12:00～24:00の間にイベントマイページアクセスで取得できるか</t>
  </si>
  <si>
    <t>在 12:00～24:00 期間內進入活動主頁是否能取得</t>
  </si>
  <si>
    <t>お相手変更で取得できるか</t>
  </si>
  <si>
    <t>變更對象後是否能取得</t>
  </si>
  <si>
    <t>物語の5チケまたは10チケ読了で取得できるか</t>
  </si>
  <si>
    <r>
      <rPr>
        <rFont val="微軟正黑體"/>
        <color theme="1"/>
        <sz val="9.0"/>
      </rPr>
      <t>閱讀故事</t>
    </r>
    <r>
      <rPr>
        <rFont val="Arial"/>
        <color theme="1"/>
        <sz val="9.0"/>
      </rPr>
      <t xml:space="preserve"> 5 </t>
    </r>
    <r>
      <rPr>
        <rFont val="Microsoft JhengHei"/>
        <color theme="1"/>
        <sz val="9.0"/>
      </rPr>
      <t>節</t>
    </r>
    <r>
      <rPr>
        <rFont val="微軟正黑體"/>
        <color theme="1"/>
        <sz val="9.0"/>
      </rPr>
      <t>或</t>
    </r>
    <r>
      <rPr>
        <rFont val="Arial"/>
        <color theme="1"/>
        <sz val="9.0"/>
      </rPr>
      <t xml:space="preserve"> 10 </t>
    </r>
    <r>
      <rPr>
        <rFont val="Microsoft JhengHei"/>
        <color theme="1"/>
        <sz val="9.0"/>
      </rPr>
      <t>節</t>
    </r>
    <r>
      <rPr>
        <rFont val="微軟正黑體"/>
        <color theme="1"/>
        <sz val="9.0"/>
      </rPr>
      <t>後是否能取得</t>
    </r>
  </si>
  <si>
    <t>5個</t>
  </si>
  <si>
    <t>姫磨きを5回実行で取得できるか</t>
  </si>
  <si>
    <t>執行姬磨練 5 次後是否能取得</t>
  </si>
  <si>
    <t>2個</t>
  </si>
  <si>
    <t>ボーナス名</t>
  </si>
  <si>
    <t>特典名稱</t>
  </si>
  <si>
    <t>取得期間/条件</t>
  </si>
  <si>
    <t>table</t>
  </si>
  <si>
    <t>Column</t>
  </si>
  <si>
    <t>Result</t>
  </si>
  <si>
    <t>管理ツール
コレクションイベント＞該当イベント＞各種特典</t>
  </si>
  <si>
    <t>開始日時が右記の通り設定されているか</t>
  </si>
  <si>
    <t>管理工具
收集活動＞該活動＞各種特典</t>
  </si>
  <si>
    <t>開始日期時間是否按右側設定</t>
  </si>
  <si>
    <t>BonusGroup!B5:J</t>
  </si>
  <si>
    <t>ce_203_bonus_group_001</t>
  </si>
  <si>
    <t>終了日時が右記の通り設定されているか</t>
  </si>
  <si>
    <t>結束日期時間是否按右側設定</t>
  </si>
  <si>
    <t>特典内容が右記の通り設定されているか</t>
  </si>
  <si>
    <t>特典內容是否按右側設定</t>
  </si>
  <si>
    <t>Bonus!A5:L</t>
  </si>
  <si>
    <t>①ボーナス詳細＞確認を押下後、遷移先で「プレゼントID」を確認する
②プレゼント登録ページで、①の「プレゼントID」を検索し、表示されたアイテムが仕様書通りかを確認する</t>
  </si>
  <si>
    <t>2026/2/9 驗證單配置資料與後台不符</t>
  </si>
  <si>
    <t>コレクションイベント＞該当イベント＞エンジン設定＞EARLY_BONUS_GOLDの値</t>
  </si>
  <si>
    <t>取得条件の数値が右記の通り設定されているか</t>
  </si>
  <si>
    <t>收集活動＞該活動＞引擎設定＞EARLY_BONUS_GOLD的值</t>
  </si>
  <si>
    <t>取得條件的數值是否按右側設定</t>
  </si>
  <si>
    <t>IDの数値が大きい方が採用される</t>
  </si>
  <si>
    <t>特典一覧にてモーダル内の特典内容が右記の通り表示されているか</t>
  </si>
  <si>
    <t>特典一覽中的彈窗內特典內容是否按右側顯示</t>
  </si>
  <si>
    <t>2026/2/9 驗證單配置資料與後台不符，驗證單資料時間錯誤</t>
  </si>
  <si>
    <t>サムネイル画像が表示されているか</t>
  </si>
  <si>
    <t>是否正常顯示縮圖</t>
  </si>
  <si>
    <t>コレクションイベント＞該当イベント＞各種特典</t>
  </si>
  <si>
    <t>收集活動＞該活動＞各種特典</t>
  </si>
  <si>
    <t>ce_203_bonus_group_002</t>
  </si>
  <si>
    <t>コレクションイベント＞該当イベント＞エンジン設定＞EARLY_BONUS_SILVERの値</t>
  </si>
  <si>
    <r>
      <rPr>
        <rFont val="微軟正黑體"/>
        <color rgb="FF000000"/>
        <sz val="9.0"/>
      </rPr>
      <t>收集活動＞該活動＞引擎設定＞</t>
    </r>
    <r>
      <rPr>
        <rFont val="Arial"/>
        <color rgb="FF000000"/>
        <sz val="9.0"/>
      </rPr>
      <t>EARLY_BONUS_SILVER</t>
    </r>
    <r>
      <rPr>
        <rFont val="微軟正黑體"/>
        <color rgb="FF000000"/>
        <sz val="9.0"/>
      </rPr>
      <t>的值</t>
    </r>
  </si>
  <si>
    <t>ce_203_bonus_group_003</t>
  </si>
  <si>
    <t>コレクションイベント＞該当イベント＞エンジン設定＞EARLY_BONUS_COPPERの値</t>
  </si>
  <si>
    <t>收集活動＞該活動＞引擎設定＞EARLY_BONUS_COPPER的值</t>
  </si>
  <si>
    <t>ce_203_bonus_group_004</t>
  </si>
  <si>
    <t>コレクションイベント＞該当イベント＞エンジン設定＞EARLY_BONUS_ALL_COLLECTION値</t>
  </si>
  <si>
    <r>
      <rPr>
        <rFont val="微軟正黑體"/>
        <color rgb="FF000000"/>
        <sz val="9.0"/>
      </rPr>
      <t>收集活動＞該活動＞引擎設定＞</t>
    </r>
    <r>
      <rPr>
        <rFont val="Arial"/>
        <color rgb="FF000000"/>
        <sz val="9.0"/>
      </rPr>
      <t>EARLY_BONUS_ALL_COLLECTION</t>
    </r>
    <r>
      <rPr>
        <rFont val="微軟正黑體"/>
        <color rgb="FF000000"/>
        <sz val="9.0"/>
      </rPr>
      <t>値</t>
    </r>
  </si>
  <si>
    <t>Bonus Stories</t>
  </si>
  <si>
    <t>特典内容が右記の通り表示されているか</t>
  </si>
  <si>
    <t>"Bonus Storiesと
Special Colletion Bonuses内のストーリー
※故事名稱在「Bonus Stories」看不到，所以請大致確認圖片人物等有符合即可。而故事名稱會出現在「Collection Bonus」&amp;「Special Collection Bonus」，出現在該處時須確認</t>
  </si>
  <si>
    <t>Bonus!J5:L</t>
  </si>
  <si>
    <t>訴求バナー画像が表示されているか</t>
  </si>
  <si>
    <t>是否顯示宣傳橫幅圖片</t>
  </si>
  <si>
    <t>2026/2/9 驗證單配置資料與後台不符，僅存在單一類似項目且無名稱備註</t>
  </si>
  <si>
    <t>プレゼント登録</t>
  </si>
  <si>
    <r>
      <rPr>
        <rFont val="微軟正黑體"/>
        <color rgb="FF000000"/>
        <sz val="9.0"/>
      </rPr>
      <t>禮物</t>
    </r>
    <r>
      <rPr>
        <rFont val="Microsoft JhengHei"/>
        <color rgb="FF000000"/>
        <sz val="9.0"/>
      </rPr>
      <t>登錄</t>
    </r>
  </si>
  <si>
    <t>Bonus!C5:L</t>
  </si>
  <si>
    <t>個数が右記の通り設定されているか</t>
  </si>
  <si>
    <t>個數是否按右側設定</t>
  </si>
  <si>
    <t>ce_203_bonus_group_025</t>
  </si>
  <si>
    <t>コレクションイベント＞該当イベント＞本編連動</t>
  </si>
  <si>
    <t>取得開始日時が右記の通り設定されているか</t>
  </si>
  <si>
    <t>收集活動＞該活動＞本篇連動</t>
  </si>
  <si>
    <t>取得開始日期時間是否按右側設定</t>
  </si>
  <si>
    <t>ExtraBounus!A5:AA</t>
  </si>
  <si>
    <t>2026/2/9 驗證單配置資料與後台不符，後台無日期設定</t>
  </si>
  <si>
    <t>取得終了日時が右記の通り設定されているか</t>
  </si>
  <si>
    <t>取得結束日期時間是否按右側設定</t>
  </si>
  <si>
    <t>キャラが右記の通り設定されているか</t>
  </si>
  <si>
    <t>角色是否按右側設定</t>
  </si>
  <si>
    <t>取得条件の話数 / チケット数が右記の通り設定されているか</t>
  </si>
  <si>
    <t>取得條件的故事集數 / 票券數是否按右側設定</t>
  </si>
  <si>
    <t>取得条件のコレクトアイテム使用数が右記の通り設定されているか</t>
  </si>
  <si>
    <t>取得條件的收集特典使用數量是否按右側設定</t>
  </si>
  <si>
    <t>是否顯示縮圖/預覽圖</t>
  </si>
  <si>
    <r>
      <rPr>
        <rFont val="微軟正黑體"/>
        <color rgb="FF000000"/>
        <sz val="9.0"/>
      </rPr>
      <t>禮物</t>
    </r>
    <r>
      <rPr>
        <rFont val="Microsoft JhengHei"/>
        <color rgb="FF000000"/>
        <sz val="9.0"/>
      </rPr>
      <t>登錄</t>
    </r>
  </si>
  <si>
    <r>
      <rPr>
        <rFont val="微軟正黑體"/>
        <color rgb="FF000000"/>
        <sz val="9.0"/>
      </rPr>
      <t>禮物</t>
    </r>
    <r>
      <rPr>
        <rFont val="Microsoft JhengHei"/>
        <color rgb="FF000000"/>
        <sz val="9.0"/>
      </rPr>
      <t>登錄</t>
    </r>
  </si>
  <si>
    <r>
      <rPr>
        <rFont val="微軟正黑體"/>
        <color rgb="FF000000"/>
        <sz val="9.0"/>
      </rPr>
      <t>禮物</t>
    </r>
    <r>
      <rPr>
        <rFont val="Microsoft JhengHei"/>
        <color rgb="FF000000"/>
        <sz val="9.0"/>
      </rPr>
      <t>登錄</t>
    </r>
  </si>
  <si>
    <t>ランキング特典</t>
  </si>
  <si>
    <t>コレクションイベント＞該当イベント＞ランキング</t>
  </si>
  <si>
    <t>順位の上限位が右記の通り設定されているか</t>
  </si>
  <si>
    <t>收集活動＞該活動＞排行榜</t>
  </si>
  <si>
    <t>排名上限是否按右側設定</t>
  </si>
  <si>
    <t>RankingBonus!A5:K</t>
  </si>
  <si>
    <t>順位の下限位が右記の通り設定されているか</t>
  </si>
  <si>
    <t>排名下限是否按右側設定</t>
  </si>
  <si>
    <r>
      <rPr>
        <rFont val="微軟正黑體"/>
        <color rgb="FF000000"/>
        <sz val="9.0"/>
      </rPr>
      <t>禮物</t>
    </r>
    <r>
      <rPr>
        <rFont val="Microsoft JhengHei"/>
        <color rgb="FF000000"/>
        <sz val="9.0"/>
      </rPr>
      <t>登錄</t>
    </r>
  </si>
  <si>
    <r>
      <rPr>
        <rFont val="微軟正黑體"/>
        <color rgb="FF000000"/>
        <sz val="9.0"/>
      </rPr>
      <t>禮物</t>
    </r>
    <r>
      <rPr>
        <rFont val="Microsoft JhengHei"/>
        <color rgb="FF000000"/>
        <sz val="9.0"/>
      </rPr>
      <t>登錄</t>
    </r>
  </si>
  <si>
    <r>
      <rPr>
        <rFont val="微軟正黑體"/>
        <color rgb="FF000000"/>
        <sz val="9.0"/>
      </rPr>
      <t>禮物</t>
    </r>
    <r>
      <rPr>
        <rFont val="Microsoft JhengHei"/>
        <color rgb="FF000000"/>
        <sz val="9.0"/>
      </rPr>
      <t>登錄</t>
    </r>
  </si>
  <si>
    <r>
      <rPr>
        <rFont val="微軟正黑體"/>
        <color rgb="FF000000"/>
        <sz val="9.0"/>
      </rPr>
      <t>禮物</t>
    </r>
    <r>
      <rPr>
        <rFont val="Microsoft JhengHei"/>
        <color rgb="FF000000"/>
        <sz val="9.0"/>
      </rPr>
      <t>登錄</t>
    </r>
  </si>
  <si>
    <r>
      <rPr>
        <rFont val="微軟正黑體"/>
        <color rgb="FF000000"/>
        <sz val="9.0"/>
      </rPr>
      <t>禮物</t>
    </r>
    <r>
      <rPr>
        <rFont val="Microsoft JhengHei"/>
        <color rgb="FF000000"/>
        <sz val="9.0"/>
      </rPr>
      <t>登錄</t>
    </r>
  </si>
  <si>
    <r>
      <rPr>
        <rFont val="微軟正黑體"/>
        <color rgb="FF000000"/>
        <sz val="9.0"/>
      </rPr>
      <t>禮物</t>
    </r>
    <r>
      <rPr>
        <rFont val="Microsoft JhengHei"/>
        <color rgb="FF000000"/>
        <sz val="9.0"/>
      </rPr>
      <t>登錄</t>
    </r>
  </si>
  <si>
    <t>https://common-legacy-app-admin.us.ikemen-sengoku.jp/admin/isgame/collection/all_setting/203#Bonus%20Group</t>
  </si>
  <si>
    <t>bonus group cd</t>
  </si>
  <si>
    <t>collect event cd</t>
  </si>
  <si>
    <t>bonus group type</t>
  </si>
  <si>
    <t>group name</t>
  </si>
  <si>
    <t>description</t>
  </si>
  <si>
    <t>get bonus start</t>
  </si>
  <si>
    <t>get bonus end</t>
  </si>
  <si>
    <t>bonus time limit</t>
  </si>
  <si>
    <t>collect item get count</t>
  </si>
  <si>
    <t>order</t>
  </si>
  <si>
    <t>update</t>
  </si>
  <si>
    <t>resource generated</t>
  </si>
  <si>
    <t>collect_203</t>
  </si>
  <si>
    <t>early_gold</t>
  </si>
  <si>
    <t>Early Clear Bonus Gold</t>
  </si>
  <si>
    <t>Collect 140 Hearts by 2/22 11:00 PM PST for this!</t>
  </si>
  <si>
    <t>early_silver</t>
  </si>
  <si>
    <t>Early Clear Bonus Silver</t>
  </si>
  <si>
    <t>Collect 240 Hearts by 2/23 11:00 PM PST for this!</t>
  </si>
  <si>
    <t>early_copper</t>
  </si>
  <si>
    <t>Early Clear Bonus Mystic Matrimony</t>
  </si>
  <si>
    <t>Collect 400 Hearts by 2/24 11:00 PM PST for this!</t>
  </si>
  <si>
    <t>early_all_collection</t>
  </si>
  <si>
    <t>Early Clear Bonus Platinum</t>
  </si>
  <si>
    <t>Collect 560 Hearts by 2/25 11:00 PM PST for this!</t>
  </si>
  <si>
    <t>ce_203_bonus_group_005</t>
  </si>
  <si>
    <t>story</t>
  </si>
  <si>
    <t>Collect Hearts to get Bonus Stories!</t>
  </si>
  <si>
    <t>ce_203_bonus_group_007</t>
  </si>
  <si>
    <t>collection</t>
  </si>
  <si>
    <t>Collection Bonuses</t>
  </si>
  <si>
    <t>Collect Hearts &amp; get great Attire &amp; Avatars!</t>
  </si>
  <si>
    <t>ce_203_bonus_group_009</t>
  </si>
  <si>
    <t>special_collection</t>
  </si>
  <si>
    <t>Special Collection Bonus</t>
  </si>
  <si>
    <t>Collect Hearts to get Bonus!</t>
  </si>
  <si>
    <t>ce_203_bonus_group_011</t>
  </si>
  <si>
    <t>ce_203_bonus_group_013</t>
  </si>
  <si>
    <t>ce_203_bonus_group_015</t>
  </si>
  <si>
    <t>ce_203_bonus_group_017</t>
  </si>
  <si>
    <t>ce_203_bonus_group_019</t>
  </si>
  <si>
    <t>ce_203_bonus_group_021</t>
  </si>
  <si>
    <t>ce_203_bonus_group_023</t>
  </si>
  <si>
    <t>ce_203_bonus_group_024</t>
  </si>
  <si>
    <t>last_ranking</t>
  </si>
  <si>
    <t>Final Ranking Bonuses</t>
  </si>
  <si>
    <t>Rank in for these!</t>
  </si>
  <si>
    <t>linked</t>
  </si>
  <si>
    <t>Extra Bonus</t>
  </si>
  <si>
    <t>https://common-legacy-app-admin.us.ikemen-sengoku.jp/admin/isgame/collection/all_setting/203#Bonus</t>
  </si>
  <si>
    <t>present</t>
  </si>
  <si>
    <t>present ID</t>
  </si>
  <si>
    <t>present Name / present descirption</t>
  </si>
  <si>
    <t>present Item with Count</t>
  </si>
  <si>
    <t>present Item</t>
  </si>
  <si>
    <t>present item count</t>
  </si>
  <si>
    <t>present description</t>
  </si>
  <si>
    <t>special story</t>
  </si>
  <si>
    <t>story ID</t>
  </si>
  <si>
    <t>story Name</t>
  </si>
  <si>
    <t>voice</t>
  </si>
  <si>
    <t>still</t>
  </si>
  <si>
    <t>touch chara id</t>
  </si>
  <si>
    <t>vote group id</t>
  </si>
  <si>
    <t>All Bonus Combine Info</t>
  </si>
  <si>
    <r>
      <rPr>
        <rFont val="Verdana"/>
        <color rgb="FF1155CC"/>
        <sz val="11.0"/>
        <u/>
      </rPr>
      <t>171901▸</t>
    </r>
    <r>
      <rPr>
        <rFont val="Verdana"/>
        <color rgb="FF1155CC"/>
        <sz val="11.0"/>
        <u/>
      </rPr>
      <t>Mystic Matrimony Early Clear Bonus Gold</t>
    </r>
    <r>
      <rPr>
        <rFont val="Verdana"/>
        <sz val="11.0"/>
      </rPr>
      <t xml:space="preserve"> 〈Blue Anemone Hair Clip x 1〉</t>
    </r>
  </si>
  <si>
    <t>Mystic Matrimony Early Clear Bonus Gold</t>
  </si>
  <si>
    <r>
      <rPr>
        <rFont val="Verdana"/>
        <color rgb="FF1155CC"/>
        <sz val="11.0"/>
        <u/>
      </rPr>
      <t>171902▸</t>
    </r>
    <r>
      <rPr>
        <rFont val="Verdana"/>
        <color rgb="FF1155CC"/>
        <sz val="11.0"/>
        <u/>
      </rPr>
      <t>Mystic Matrimony Early Clear Bonus Silver</t>
    </r>
    <r>
      <rPr>
        <rFont val="Verdana"/>
        <sz val="11.0"/>
      </rPr>
      <t xml:space="preserve"> 〈Shining Silver Ash Hair x 1〉</t>
    </r>
  </si>
  <si>
    <t>Shining Silver Ash Hair</t>
  </si>
  <si>
    <t>Mystic Matrimony Early Clear Bonus Silver</t>
  </si>
  <si>
    <t>171902▸Mystic Matrimony Early Clear Bonus Silver 〈Shining Silver Ash Hair x 1〉</t>
  </si>
  <si>
    <r>
      <rPr>
        <rFont val="Verdana"/>
        <color rgb="FF1155CC"/>
        <sz val="11.0"/>
        <u/>
      </rPr>
      <t>171903▸</t>
    </r>
    <r>
      <rPr>
        <rFont val="Verdana"/>
        <color rgb="FF1155CC"/>
        <sz val="11.0"/>
        <u/>
      </rPr>
      <t>Mystic Matrimony Early Clear Bonus Mystic Matrimony</t>
    </r>
    <r>
      <rPr>
        <rFont val="Verdana"/>
        <sz val="11.0"/>
      </rPr>
      <t xml:space="preserve"> 〈Effect: Shiny White Spider Lily x 1〉</t>
    </r>
  </si>
  <si>
    <t>Effect: Shiny White Spider Lily</t>
  </si>
  <si>
    <t>Mystic Matrimony Early Clear Bonus Mystic Matrimony</t>
  </si>
  <si>
    <t>171903▸Mystic Matrimony Early Clear Bonus Mystic Matrimony 〈Effect: Shiny White Spider Lily x 1〉</t>
  </si>
  <si>
    <r>
      <rPr>
        <rFont val="Verdana"/>
        <color rgb="FF1155CC"/>
        <sz val="11.0"/>
        <u/>
      </rPr>
      <t>171904▸</t>
    </r>
    <r>
      <rPr>
        <rFont val="Verdana"/>
        <color rgb="FF1155CC"/>
        <sz val="11.0"/>
        <u/>
      </rPr>
      <t>Mystic Matrimony Early Clear Bonus Platinum</t>
    </r>
    <r>
      <rPr>
        <rFont val="Verdana"/>
        <sz val="11.0"/>
      </rPr>
      <t xml:space="preserve"> 〈The Forest Where Spirits Dwell x 1〉</t>
    </r>
  </si>
  <si>
    <t>The Forest Where Spirits Dwell</t>
  </si>
  <si>
    <t>Mystic Matrimony Early Clear Bonus Platinum</t>
  </si>
  <si>
    <t>171904▸Mystic Matrimony Early Clear Bonus Platinum 〈The Forest Where Spirits Dwell x 1〉</t>
  </si>
  <si>
    <t>6313▸Demon of My Dreams</t>
  </si>
  <si>
    <r>
      <rPr>
        <rFont val="Verdana"/>
        <color rgb="FF1155CC"/>
        <sz val="11.0"/>
        <u/>
      </rPr>
      <t>6314▸</t>
    </r>
    <r>
      <rPr>
        <rFont val="Verdana"/>
        <color rgb="FF1155CC"/>
        <sz val="11.0"/>
        <u/>
      </rPr>
      <t>Mystic Matrimony Bonus Story ～Masamune～</t>
    </r>
  </si>
  <si>
    <t>6314▸Mystic Matrimony Bonus Story ～Masamune～</t>
  </si>
  <si>
    <r>
      <rPr>
        <rFont val="Verdana"/>
        <color rgb="FF1155CC"/>
        <sz val="11.0"/>
        <u/>
      </rPr>
      <t>6315▸</t>
    </r>
    <r>
      <rPr>
        <rFont val="Verdana"/>
        <color rgb="FF1155CC"/>
        <sz val="11.0"/>
        <u/>
      </rPr>
      <t>Mystic Matrimony Bonus Story ～Nobunaga～</t>
    </r>
  </si>
  <si>
    <t>6315▸Mystic Matrimony Bonus Story ～Nobunaga～</t>
  </si>
  <si>
    <r>
      <rPr>
        <rFont val="Verdana"/>
        <color rgb="FF1155CC"/>
        <sz val="11.0"/>
        <u/>
      </rPr>
      <t>6316▸</t>
    </r>
    <r>
      <rPr>
        <rFont val="Verdana"/>
        <color rgb="FF1155CC"/>
        <sz val="11.0"/>
        <u/>
      </rPr>
      <t>Mystic Matrimony Bonus Story ～Kanetsugu～</t>
    </r>
  </si>
  <si>
    <t>6316▸Mystic Matrimony Bonus Story ～Kanetsugu～</t>
  </si>
  <si>
    <r>
      <rPr>
        <rFont val="Verdana"/>
        <color rgb="FF1155CC"/>
        <sz val="11.0"/>
        <u/>
      </rPr>
      <t>6317▸</t>
    </r>
    <r>
      <rPr>
        <rFont val="Verdana"/>
        <color rgb="FF1155CC"/>
        <sz val="11.0"/>
        <u/>
      </rPr>
      <t>Mystic Matrimony Bonus Story ～Kicho～</t>
    </r>
  </si>
  <si>
    <t>6317▸Mystic Matrimony Bonus Story ～Kicho～</t>
  </si>
  <si>
    <r>
      <rPr>
        <rFont val="Verdana"/>
        <color rgb="FF1155CC"/>
        <sz val="11.0"/>
        <u/>
      </rPr>
      <t>6318▸</t>
    </r>
    <r>
      <rPr>
        <rFont val="Verdana"/>
        <color rgb="FF1155CC"/>
        <sz val="11.0"/>
        <u/>
      </rPr>
      <t>Mystic Matrimony Bonus Story ～Motonari～</t>
    </r>
  </si>
  <si>
    <t>6318▸Mystic Matrimony Bonus Story ～Motonari～</t>
  </si>
  <si>
    <r>
      <rPr>
        <rFont val="Verdana"/>
        <color rgb="FF1155CC"/>
        <sz val="11.0"/>
        <u/>
      </rPr>
      <t>6319▸</t>
    </r>
    <r>
      <rPr>
        <rFont val="Verdana"/>
        <color rgb="FF1155CC"/>
        <sz val="11.0"/>
        <u/>
      </rPr>
      <t>Mystic Matrimony Bonus Story ～Yoshimoto～</t>
    </r>
  </si>
  <si>
    <t>6319▸Mystic Matrimony Bonus Story ～Yoshimoto～</t>
  </si>
  <si>
    <t>3780▸Mystic Matrimony ~Yoshimoto~</t>
  </si>
  <si>
    <t>3779▸Mystic Matrimony ~Motonari~</t>
  </si>
  <si>
    <r>
      <rPr>
        <rFont val="Verdana"/>
        <color rgb="FF1155CC"/>
        <sz val="11.0"/>
        <u/>
      </rPr>
      <t>171906▸</t>
    </r>
    <r>
      <rPr>
        <rFont val="Verdana"/>
        <color rgb="FF1155CC"/>
        <sz val="11.0"/>
        <u/>
      </rPr>
      <t>Mystic Matrimony Special Collection Bonus</t>
    </r>
    <r>
      <rPr>
        <rFont val="Verdana"/>
        <sz val="11.0"/>
      </rPr>
      <t xml:space="preserve"> 〈Mystic Matrimony Yoshimoto x 1〉</t>
    </r>
  </si>
  <si>
    <t>Mystic Matrimony Yoshimoto</t>
  </si>
  <si>
    <t>Mystic Matrimony Special Collection Bonus</t>
  </si>
  <si>
    <t>171906▸Mystic Matrimony Special Collection Bonus 〈Mystic Matrimony Yoshimoto x 1〉</t>
  </si>
  <si>
    <t>6325▸Mystic Matrimony After Story ～Yoshimoto～</t>
  </si>
  <si>
    <t>3778▸Mystic Matrimony ~Kicho~</t>
  </si>
  <si>
    <r>
      <rPr>
        <rFont val="Verdana"/>
        <color rgb="FF1155CC"/>
        <sz val="11.0"/>
        <u/>
      </rPr>
      <t>171909▸</t>
    </r>
    <r>
      <rPr>
        <rFont val="Verdana"/>
        <color rgb="FF1155CC"/>
        <sz val="11.0"/>
        <u/>
      </rPr>
      <t>Mystic Matrimony Special Collection Bonus</t>
    </r>
    <r>
      <rPr>
        <rFont val="Verdana"/>
        <sz val="11.0"/>
      </rPr>
      <t xml:space="preserve"> 〈Mystic Matrimony Motonari x 1〉</t>
    </r>
  </si>
  <si>
    <t>Mystic Matrimony Motonari</t>
  </si>
  <si>
    <t>171909▸Mystic Matrimony Special Collection Bonus 〈Mystic Matrimony Motonari x 1〉</t>
  </si>
  <si>
    <r>
      <rPr>
        <rFont val="Verdana"/>
        <color rgb="FF1155CC"/>
        <sz val="11.0"/>
        <u/>
      </rPr>
      <t>6324▸</t>
    </r>
    <r>
      <rPr>
        <rFont val="Verdana"/>
        <color rgb="FF1155CC"/>
        <sz val="11.0"/>
        <u/>
      </rPr>
      <t>Mystic Matrimony After Story ～Motonari～</t>
    </r>
  </si>
  <si>
    <t>6324▸Mystic Matrimony After Story ～Motonari～</t>
  </si>
  <si>
    <r>
      <rPr>
        <rFont val="Verdana"/>
        <color rgb="FF1155CC"/>
        <sz val="11.0"/>
        <u/>
      </rPr>
      <t>6323▸</t>
    </r>
    <r>
      <rPr>
        <rFont val="Verdana"/>
        <color rgb="FF1155CC"/>
        <sz val="11.0"/>
        <u/>
      </rPr>
      <t>Mystic Matrimony After Story ～Kicho～</t>
    </r>
  </si>
  <si>
    <t>6323▸Mystic Matrimony After Story ～Kicho～</t>
  </si>
  <si>
    <t>3777▸Mystic Matrimony ~Kanetsugu~</t>
  </si>
  <si>
    <r>
      <rPr>
        <rFont val="Verdana"/>
        <color rgb="FF1155CC"/>
        <sz val="11.0"/>
        <u/>
      </rPr>
      <t>171912▸</t>
    </r>
    <r>
      <rPr>
        <rFont val="Verdana"/>
        <color rgb="FF1155CC"/>
        <sz val="11.0"/>
        <u/>
      </rPr>
      <t>Mystic Matrimony Special Collection Bonus</t>
    </r>
    <r>
      <rPr>
        <rFont val="Verdana"/>
        <sz val="11.0"/>
      </rPr>
      <t xml:space="preserve"> 〈Mystic Matrimony Kicho x 1〉</t>
    </r>
  </si>
  <si>
    <t>Mystic Matrimony Kicho</t>
  </si>
  <si>
    <t>171912▸Mystic Matrimony Special Collection Bonus 〈Mystic Matrimony Kicho x 1〉</t>
  </si>
  <si>
    <r>
      <rPr>
        <rFont val="Verdana"/>
        <color rgb="FF1155CC"/>
        <sz val="11.0"/>
        <u/>
      </rPr>
      <t>6322▸</t>
    </r>
    <r>
      <rPr>
        <rFont val="Verdana"/>
        <color rgb="FF1155CC"/>
        <sz val="11.0"/>
        <u/>
      </rPr>
      <t>Mystic Matrimony After Story ～Kanetsugu～</t>
    </r>
  </si>
  <si>
    <t>6322▸Mystic Matrimony After Story ～Kanetsugu～</t>
  </si>
  <si>
    <t>3776▸Mystic Matrimony ~Nobunaga~</t>
  </si>
  <si>
    <r>
      <rPr>
        <rFont val="Verdana"/>
        <color rgb="FF1155CC"/>
        <sz val="11.0"/>
        <u/>
      </rPr>
      <t>171914▸</t>
    </r>
    <r>
      <rPr>
        <rFont val="Verdana"/>
        <color rgb="FF1155CC"/>
        <sz val="11.0"/>
        <u/>
      </rPr>
      <t>Mystic Matrimony Special Collection Bonus</t>
    </r>
    <r>
      <rPr>
        <rFont val="Verdana"/>
        <sz val="11.0"/>
      </rPr>
      <t xml:space="preserve"> 〈Mystic Matrimony Kanetsugu x 1〉</t>
    </r>
  </si>
  <si>
    <t>Mystic Matrimony Kanetsugu</t>
  </si>
  <si>
    <t>171914▸Mystic Matrimony Special Collection Bonus 〈Mystic Matrimony Kanetsugu x 1〉</t>
  </si>
  <si>
    <r>
      <rPr>
        <rFont val="Verdana"/>
        <color rgb="FF1155CC"/>
        <sz val="11.0"/>
        <u/>
      </rPr>
      <t>6321▸</t>
    </r>
    <r>
      <rPr>
        <rFont val="Verdana"/>
        <color rgb="FF1155CC"/>
        <sz val="11.0"/>
        <u/>
      </rPr>
      <t>Mystic Matrimony After Story ～Nobunaga～</t>
    </r>
  </si>
  <si>
    <t>6321▸Mystic Matrimony After Story ～Nobunaga～</t>
  </si>
  <si>
    <t>3775▸Mystic Matrimony ~Masamune~</t>
  </si>
  <si>
    <r>
      <rPr>
        <rFont val="Verdana"/>
        <color rgb="FF1155CC"/>
        <sz val="11.0"/>
        <u/>
      </rPr>
      <t>171916▸</t>
    </r>
    <r>
      <rPr>
        <rFont val="Verdana"/>
        <color rgb="FF1155CC"/>
        <sz val="11.0"/>
        <u/>
      </rPr>
      <t>Mystic Matrimony Special Collection Bonus</t>
    </r>
    <r>
      <rPr>
        <rFont val="Verdana"/>
        <sz val="11.0"/>
      </rPr>
      <t xml:space="preserve"> 〈Mystic Matrimony Nobunaga x 1〉</t>
    </r>
  </si>
  <si>
    <t>Mystic Matrimony Nobunaga</t>
  </si>
  <si>
    <t>171916▸Mystic Matrimony Special Collection Bonus 〈Mystic Matrimony Nobunaga x 1〉</t>
  </si>
  <si>
    <r>
      <rPr>
        <rFont val="Verdana"/>
        <color rgb="FF1155CC"/>
        <sz val="11.0"/>
        <u/>
      </rPr>
      <t>6320▸</t>
    </r>
    <r>
      <rPr>
        <rFont val="Verdana"/>
        <color rgb="FF1155CC"/>
        <sz val="11.0"/>
        <u/>
      </rPr>
      <t>Mystic Matrimony After Story ～Masamune～</t>
    </r>
  </si>
  <si>
    <t>6320▸Mystic Matrimony After Story ～Masamune～</t>
  </si>
  <si>
    <r>
      <rPr>
        <rFont val="Verdana"/>
        <color rgb="FF1155CC"/>
        <sz val="11.0"/>
        <u/>
      </rPr>
      <t>171918▸</t>
    </r>
    <r>
      <rPr>
        <rFont val="Verdana"/>
        <color rgb="FF1155CC"/>
        <sz val="11.0"/>
        <u/>
      </rPr>
      <t>Mystic Matrimony Special Collection Bonus</t>
    </r>
    <r>
      <rPr>
        <rFont val="Verdana"/>
        <sz val="11.0"/>
      </rPr>
      <t xml:space="preserve"> 〈Mystic Matrimony Masamune x 1〉</t>
    </r>
  </si>
  <si>
    <t>Mystic Matrimony Masamune</t>
  </si>
  <si>
    <t>171918▸Mystic Matrimony Special Collection Bonus 〈Mystic Matrimony Masamune x 1〉</t>
  </si>
  <si>
    <r>
      <rPr>
        <rFont val="Verdana"/>
        <color rgb="FF1155CC"/>
        <sz val="11.0"/>
        <u/>
      </rPr>
      <t>171923▸</t>
    </r>
    <r>
      <rPr>
        <rFont val="Verdana"/>
        <color rgb="FF1155CC"/>
        <sz val="11.0"/>
        <u/>
      </rPr>
      <t>Mystic Matrimony Ranking Bonus</t>
    </r>
    <r>
      <rPr>
        <rFont val="Verdana"/>
        <sz val="11.0"/>
      </rPr>
      <t xml:space="preserve"> 〈Mystic Matrimony Top Ranker Placard x 1〉</t>
    </r>
  </si>
  <si>
    <t>Mystic Matrimony Top Ranker Placard</t>
  </si>
  <si>
    <t>Mystic Matrimony Ranking Bonus</t>
  </si>
  <si>
    <t>171923▸Mystic Matrimony Ranking Bonus 〈Mystic Matrimony Top Ranker Placard x 1〉</t>
  </si>
  <si>
    <r>
      <rPr>
        <rFont val="Verdana"/>
        <color rgb="FF1155CC"/>
        <sz val="11.0"/>
        <u/>
      </rPr>
      <t>171924▸</t>
    </r>
    <r>
      <rPr>
        <rFont val="Verdana"/>
        <color rgb="FF1155CC"/>
        <sz val="11.0"/>
        <u/>
      </rPr>
      <t>Mystic Matrimony Ranking Bonus</t>
    </r>
    <r>
      <rPr>
        <rFont val="Verdana"/>
        <sz val="11.0"/>
      </rPr>
      <t xml:space="preserve"> 〈Enchanted Cobalt Green Kimono x 1〉</t>
    </r>
  </si>
  <si>
    <t>Enchanted Cobalt Green Kimono</t>
  </si>
  <si>
    <t>171924▸Mystic Matrimony Ranking Bonus 〈Enchanted Cobalt Green Kimono x 1〉</t>
  </si>
  <si>
    <r>
      <rPr>
        <rFont val="Verdana"/>
        <color rgb="FF1155CC"/>
        <sz val="11.0"/>
        <u/>
      </rPr>
      <t>171925▸</t>
    </r>
    <r>
      <rPr>
        <rFont val="Verdana"/>
        <color rgb="FF1155CC"/>
        <sz val="11.0"/>
        <u/>
      </rPr>
      <t>Mystic Matrimony Ranking Bonus</t>
    </r>
    <r>
      <rPr>
        <rFont val="Verdana"/>
        <sz val="11.0"/>
      </rPr>
      <t xml:space="preserve"> 〈His Ogre Ensemble x 1〉</t>
    </r>
  </si>
  <si>
    <t>His Ogre Ensemble</t>
  </si>
  <si>
    <t>171925▸Mystic Matrimony Ranking Bonus 〈His Ogre Ensemble x 1〉</t>
  </si>
  <si>
    <r>
      <rPr>
        <rFont val="Verdana"/>
        <color rgb="FF1155CC"/>
        <sz val="11.0"/>
        <u/>
      </rPr>
      <t>171926▸</t>
    </r>
    <r>
      <rPr>
        <rFont val="Verdana"/>
        <color rgb="FF1155CC"/>
        <sz val="11.0"/>
        <u/>
      </rPr>
      <t>Mystic Matrimony Ranking Bonus</t>
    </r>
    <r>
      <rPr>
        <rFont val="Verdana"/>
        <sz val="11.0"/>
      </rPr>
      <t xml:space="preserve"> 〈His Draconic Dressrobes x 1〉</t>
    </r>
  </si>
  <si>
    <t>His Draconic Dressrobes</t>
  </si>
  <si>
    <t>171926▸Mystic Matrimony Ranking Bonus 〈His Draconic Dressrobes x 1〉</t>
  </si>
  <si>
    <r>
      <rPr>
        <rFont val="Verdana"/>
        <color rgb="FF1155CC"/>
        <sz val="11.0"/>
        <u/>
      </rPr>
      <t>171927▸</t>
    </r>
    <r>
      <rPr>
        <rFont val="Verdana"/>
        <color rgb="FF1155CC"/>
        <sz val="11.0"/>
        <u/>
      </rPr>
      <t>Mystic Matrimony Ranking Bonus</t>
    </r>
    <r>
      <rPr>
        <rFont val="Verdana"/>
        <sz val="11.0"/>
      </rPr>
      <t xml:space="preserve"> 〈His Vampiric Vestments x 1〉</t>
    </r>
  </si>
  <si>
    <t>His Vampiric Vestments</t>
  </si>
  <si>
    <t>171927▸Mystic Matrimony Ranking Bonus 〈His Vampiric Vestments x 1〉</t>
  </si>
  <si>
    <r>
      <rPr>
        <rFont val="Verdana"/>
        <color rgb="FF1155CC"/>
        <sz val="11.0"/>
        <u/>
      </rPr>
      <t>171928▸</t>
    </r>
    <r>
      <rPr>
        <rFont val="Verdana"/>
        <color rgb="FF1155CC"/>
        <sz val="11.0"/>
        <u/>
      </rPr>
      <t>Mystic Matrimony Ranking Bonus</t>
    </r>
    <r>
      <rPr>
        <rFont val="Verdana"/>
        <sz val="11.0"/>
      </rPr>
      <t xml:space="preserve"> 〈Nine-Tailed Fox Warlords 1 x 1〉</t>
    </r>
  </si>
  <si>
    <t>Nine-Tailed Fox Warlords 1</t>
  </si>
  <si>
    <t>171928▸Mystic Matrimony Ranking Bonus 〈Nine-Tailed Fox Warlords 1 x 1〉</t>
  </si>
  <si>
    <r>
      <rPr>
        <rFont val="Verdana"/>
        <color rgb="FF1155CC"/>
        <sz val="11.0"/>
        <u/>
      </rPr>
      <t>171929▸</t>
    </r>
    <r>
      <rPr>
        <rFont val="Verdana"/>
        <color rgb="FF1155CC"/>
        <sz val="11.0"/>
        <u/>
      </rPr>
      <t>Mystic Matrimony Ranking Bonus</t>
    </r>
    <r>
      <rPr>
        <rFont val="Verdana"/>
        <sz val="11.0"/>
      </rPr>
      <t xml:space="preserve"> 〈Nine-Tailed Fox Warlords 2 x 1〉</t>
    </r>
  </si>
  <si>
    <t>Nine-Tailed Fox Warlords 2</t>
  </si>
  <si>
    <t>171929▸Mystic Matrimony Ranking Bonus 〈Nine-Tailed Fox Warlords 2 x 1〉</t>
  </si>
  <si>
    <r>
      <rPr>
        <rFont val="Verdana"/>
        <color rgb="FF1155CC"/>
        <sz val="11.0"/>
        <u/>
      </rPr>
      <t>171930▸</t>
    </r>
    <r>
      <rPr>
        <rFont val="Verdana"/>
        <color rgb="FF1155CC"/>
        <sz val="11.0"/>
        <u/>
      </rPr>
      <t>Mystic Matrimony Ranking Bonus</t>
    </r>
    <r>
      <rPr>
        <rFont val="Verdana"/>
        <sz val="11.0"/>
      </rPr>
      <t xml:space="preserve"> 〈Chapter Ticket x 1〉</t>
    </r>
  </si>
  <si>
    <t>Chapter Ticket</t>
  </si>
  <si>
    <t>171930▸Mystic Matrimony Ranking Bonus 〈Chapter Ticket x 1〉</t>
  </si>
  <si>
    <r>
      <rPr>
        <rFont val="Verdana"/>
        <color rgb="FF1155CC"/>
        <sz val="11.0"/>
        <u/>
      </rPr>
      <t>171931▸</t>
    </r>
    <r>
      <rPr>
        <rFont val="Verdana"/>
        <color rgb="FF1155CC"/>
        <sz val="11.0"/>
        <u/>
      </rPr>
      <t>Mystic Matrimony Ranking Bonus</t>
    </r>
    <r>
      <rPr>
        <rFont val="Verdana"/>
        <sz val="11.0"/>
      </rPr>
      <t xml:space="preserve"> 〈1500 Gold x 1〉</t>
    </r>
  </si>
  <si>
    <t>1500 Gold</t>
  </si>
  <si>
    <t>171931▸Mystic Matrimony Ranking Bonus 〈1500 Gold x 1〉</t>
  </si>
  <si>
    <r>
      <rPr>
        <rFont val="Verdana"/>
        <color rgb="FF1155CC"/>
        <sz val="11.0"/>
        <u/>
      </rPr>
      <t>171919▸</t>
    </r>
    <r>
      <rPr>
        <rFont val="Verdana"/>
        <color rgb="FF1155CC"/>
        <sz val="11.0"/>
        <u/>
      </rPr>
      <t>Mystic Matrimony Extra Bonus</t>
    </r>
    <r>
      <rPr>
        <rFont val="Verdana"/>
        <sz val="11.0"/>
      </rPr>
      <t xml:space="preserve"> 〈Nine-Tailed Fox Yoshimoto x 1〉</t>
    </r>
  </si>
  <si>
    <t>Nine-Tailed Fox Yoshimoto</t>
  </si>
  <si>
    <t>Mystic Matrimony Extra Bonus</t>
  </si>
  <si>
    <t>171919▸Mystic Matrimony Extra Bonus 〈Nine-Tailed Fox Yoshimoto x 1〉</t>
  </si>
  <si>
    <r>
      <rPr>
        <rFont val="Verdana"/>
        <color rgb="FF1155CC"/>
        <sz val="11.0"/>
        <u/>
      </rPr>
      <t>171920▸</t>
    </r>
    <r>
      <rPr>
        <rFont val="Verdana"/>
        <color rgb="FF1155CC"/>
        <sz val="11.0"/>
        <u/>
      </rPr>
      <t>Mystic Matrimony Extra Bonus</t>
    </r>
    <r>
      <rPr>
        <rFont val="Verdana"/>
        <sz val="11.0"/>
      </rPr>
      <t xml:space="preserve"> 〈Nine-Tailed Fox Motonari x 1〉</t>
    </r>
  </si>
  <si>
    <t>Nine-Tailed Fox Motonari</t>
  </si>
  <si>
    <t>171920▸Mystic Matrimony Extra Bonus 〈Nine-Tailed Fox Motonari x 1〉</t>
  </si>
  <si>
    <r>
      <rPr>
        <rFont val="Verdana"/>
        <color rgb="FF1155CC"/>
        <sz val="11.0"/>
        <u/>
      </rPr>
      <t>171921▸</t>
    </r>
    <r>
      <rPr>
        <rFont val="Verdana"/>
        <color rgb="FF1155CC"/>
        <sz val="11.0"/>
        <u/>
      </rPr>
      <t>Mystic Matrimony Extra Bonus</t>
    </r>
    <r>
      <rPr>
        <rFont val="Verdana"/>
        <sz val="11.0"/>
      </rPr>
      <t xml:space="preserve"> 〈Nine-Tailed Fox Kanetsugu x 1〉</t>
    </r>
  </si>
  <si>
    <t>Nine-Tailed Fox Kanetsugu</t>
  </si>
  <si>
    <t>171921▸Mystic Matrimony Extra Bonus 〈Nine-Tailed Fox Kanetsugu x 1〉</t>
  </si>
  <si>
    <r>
      <rPr>
        <rFont val="Verdana"/>
        <color rgb="FF1155CC"/>
        <sz val="11.0"/>
        <u/>
      </rPr>
      <t>171922▸</t>
    </r>
    <r>
      <rPr>
        <rFont val="Verdana"/>
        <color rgb="FF1155CC"/>
        <sz val="11.0"/>
        <u/>
      </rPr>
      <t>Mystic Matrimony Extra Bonus</t>
    </r>
    <r>
      <rPr>
        <rFont val="Verdana"/>
        <sz val="11.0"/>
      </rPr>
      <t xml:space="preserve"> 〈Nine-Tailed Fox Kicho x 1〉</t>
    </r>
  </si>
  <si>
    <t>Nine-Tailed Fox Kicho</t>
  </si>
  <si>
    <t>171922▸Mystic Matrimony Extra Bonus 〈Nine-Tailed Fox Kicho x 1〉</t>
  </si>
  <si>
    <t>https://common-legacy-app-admin.us.ikemen-sengoku.jp/admin/isgame/collection/all_setting/203#event_linked_bonus_mst</t>
  </si>
  <si>
    <t>chapter / ticket</t>
  </si>
  <si>
    <t>chapter</t>
  </si>
  <si>
    <t>ticket</t>
  </si>
  <si>
    <t>route</t>
  </si>
  <si>
    <t>collect item quantity</t>
  </si>
  <si>
    <t>chara</t>
  </si>
  <si>
    <t>character first name</t>
  </si>
  <si>
    <t>last name</t>
  </si>
  <si>
    <t>type</t>
  </si>
  <si>
    <t>receive title</t>
  </si>
  <si>
    <t>attention</t>
  </si>
  <si>
    <t>thumbnail</t>
  </si>
  <si>
    <t>frame</t>
  </si>
  <si>
    <t>start</t>
  </si>
  <si>
    <t>end</t>
  </si>
  <si>
    <t>present Name</t>
  </si>
  <si>
    <t>present Item Name</t>
  </si>
  <si>
    <t>present Item count</t>
  </si>
  <si>
    <t>13 / 10</t>
  </si>
  <si>
    <t>全ルート</t>
  </si>
  <si>
    <t>Yoshimoto Imagawa</t>
  </si>
  <si>
    <t>avatar</t>
  </si>
  <si>
    <t>You got the reward!</t>
  </si>
  <si>
    <t>692_084.png</t>
  </si>
  <si>
    <t>thumb_2.png</t>
  </si>
  <si>
    <r>
      <rPr>
        <rFont val="Verdana"/>
        <color rgb="FF1155CC"/>
        <sz val="11.0"/>
        <u/>
      </rPr>
      <t>171919▸</t>
    </r>
    <r>
      <rPr>
        <rFont val="Verdana"/>
        <color rgb="FF1155CC"/>
        <sz val="11.0"/>
        <u/>
      </rPr>
      <t>Mystic Matrimony Extra Bonus</t>
    </r>
    <r>
      <rPr>
        <rFont val="Verdana"/>
        <sz val="11.0"/>
      </rPr>
      <t xml:space="preserve"> 〈Nine-Tailed Fox Yoshimoto x 1〉</t>
    </r>
  </si>
  <si>
    <t>Motonari Mouri</t>
  </si>
  <si>
    <t>651_068.png</t>
  </si>
  <si>
    <r>
      <rPr>
        <rFont val="Verdana"/>
        <color rgb="FF1155CC"/>
        <sz val="11.0"/>
        <u/>
      </rPr>
      <t>171920▸</t>
    </r>
    <r>
      <rPr>
        <rFont val="Verdana"/>
        <color rgb="FF1155CC"/>
        <sz val="11.0"/>
        <u/>
      </rPr>
      <t>Mystic Matrimony Extra Bonus</t>
    </r>
    <r>
      <rPr>
        <rFont val="Verdana"/>
        <sz val="11.0"/>
      </rPr>
      <t xml:space="preserve"> 〈Nine-Tailed Fox Motonari x 1〉</t>
    </r>
  </si>
  <si>
    <t>Kanetsugu Naoe</t>
  </si>
  <si>
    <t>647_121.png</t>
  </si>
  <si>
    <r>
      <rPr>
        <rFont val="Verdana"/>
        <color rgb="FF1155CC"/>
        <sz val="11.0"/>
        <u/>
      </rPr>
      <t>171921▸</t>
    </r>
    <r>
      <rPr>
        <rFont val="Verdana"/>
        <color rgb="FF1155CC"/>
        <sz val="11.0"/>
        <u/>
      </rPr>
      <t>Mystic Matrimony Extra Bonus</t>
    </r>
    <r>
      <rPr>
        <rFont val="Verdana"/>
        <sz val="11.0"/>
      </rPr>
      <t xml:space="preserve"> 〈Nine-Tailed Fox Kanetsugu x 1〉</t>
    </r>
  </si>
  <si>
    <t>Kicho</t>
  </si>
  <si>
    <t>656_066.png</t>
  </si>
  <si>
    <r>
      <rPr>
        <rFont val="Verdana"/>
        <color rgb="FF1155CC"/>
        <sz val="11.0"/>
        <u/>
      </rPr>
      <t>171922▸</t>
    </r>
    <r>
      <rPr>
        <rFont val="Verdana"/>
        <color rgb="FF1155CC"/>
        <sz val="11.0"/>
        <u/>
      </rPr>
      <t>Mystic Matrimony Extra Bonus</t>
    </r>
    <r>
      <rPr>
        <rFont val="Verdana"/>
        <sz val="11.0"/>
      </rPr>
      <t xml:space="preserve"> 〈Nine-Tailed Fox Kicho x 1〉</t>
    </r>
  </si>
  <si>
    <t>https://common-legacy-app-admin.us.ikemen-sengoku.jp/admin/isgame/collection/all_setting/203#Ranking%20Bonus</t>
  </si>
  <si>
    <t>present Item with count</t>
  </si>
  <si>
    <t>from</t>
  </si>
  <si>
    <t>to</t>
  </si>
  <si>
    <r>
      <rPr>
        <rFont val="Verdana"/>
        <color rgb="FF1155CC"/>
        <sz val="11.0"/>
        <u/>
      </rPr>
      <t>171923▸</t>
    </r>
    <r>
      <rPr>
        <rFont val="Verdana"/>
        <color rgb="FF1155CC"/>
        <sz val="11.0"/>
        <u/>
      </rPr>
      <t>Mystic Matrimony Ranking Bonus</t>
    </r>
    <r>
      <rPr>
        <rFont val="Verdana"/>
        <sz val="11.0"/>
      </rPr>
      <t>〈Mystic Matrimony Top Ranker Placard x 1〉</t>
    </r>
  </si>
  <si>
    <r>
      <rPr>
        <rFont val="Verdana"/>
        <color rgb="FF1155CC"/>
        <sz val="11.0"/>
        <u/>
      </rPr>
      <t>171924▸</t>
    </r>
    <r>
      <rPr>
        <rFont val="Verdana"/>
        <color rgb="FF1155CC"/>
        <sz val="11.0"/>
        <u/>
      </rPr>
      <t>Mystic Matrimony Ranking Bonus</t>
    </r>
    <r>
      <rPr>
        <rFont val="Verdana"/>
        <sz val="11.0"/>
      </rPr>
      <t>〈Enchanted Cobalt Green Kimono x 1〉</t>
    </r>
  </si>
  <si>
    <r>
      <rPr>
        <rFont val="Verdana"/>
        <color rgb="FF1155CC"/>
        <sz val="11.0"/>
        <u/>
      </rPr>
      <t>171925▸</t>
    </r>
    <r>
      <rPr>
        <rFont val="Verdana"/>
        <color rgb="FF1155CC"/>
        <sz val="11.0"/>
        <u/>
      </rPr>
      <t>Mystic Matrimony Ranking Bonus</t>
    </r>
    <r>
      <rPr>
        <rFont val="Verdana"/>
        <sz val="11.0"/>
      </rPr>
      <t>〈His Ogre Ensemble x 1〉</t>
    </r>
  </si>
  <si>
    <r>
      <rPr>
        <rFont val="Verdana"/>
        <color rgb="FF1155CC"/>
        <sz val="11.0"/>
        <u/>
      </rPr>
      <t>171926▸</t>
    </r>
    <r>
      <rPr>
        <rFont val="Verdana"/>
        <color rgb="FF1155CC"/>
        <sz val="11.0"/>
        <u/>
      </rPr>
      <t>Mystic Matrimony Ranking Bonus</t>
    </r>
    <r>
      <rPr>
        <rFont val="Verdana"/>
        <sz val="11.0"/>
      </rPr>
      <t>〈His Draconic Dressrobes x 1〉</t>
    </r>
  </si>
  <si>
    <r>
      <rPr>
        <rFont val="Verdana"/>
        <color rgb="FF1155CC"/>
        <sz val="11.0"/>
        <u/>
      </rPr>
      <t>171927▸</t>
    </r>
    <r>
      <rPr>
        <rFont val="Verdana"/>
        <color rgb="FF1155CC"/>
        <sz val="11.0"/>
        <u/>
      </rPr>
      <t>Mystic Matrimony Ranking Bonus</t>
    </r>
    <r>
      <rPr>
        <rFont val="Verdana"/>
        <sz val="11.0"/>
      </rPr>
      <t>〈His Vampiric Vestments x 1〉</t>
    </r>
  </si>
  <si>
    <r>
      <rPr>
        <rFont val="Verdana"/>
        <color rgb="FF1155CC"/>
        <sz val="11.0"/>
        <u/>
      </rPr>
      <t>171928▸</t>
    </r>
    <r>
      <rPr>
        <rFont val="Verdana"/>
        <color rgb="FF1155CC"/>
        <sz val="11.0"/>
        <u/>
      </rPr>
      <t>Mystic Matrimony Ranking Bonus</t>
    </r>
    <r>
      <rPr>
        <rFont val="Verdana"/>
        <sz val="11.0"/>
      </rPr>
      <t>〈Nine-Tailed Fox Warlords 1 x 1〉</t>
    </r>
  </si>
  <si>
    <r>
      <rPr>
        <rFont val="Verdana"/>
        <color rgb="FF1155CC"/>
        <sz val="11.0"/>
        <u/>
      </rPr>
      <t>171929▸</t>
    </r>
    <r>
      <rPr>
        <rFont val="Verdana"/>
        <color rgb="FF1155CC"/>
        <sz val="11.0"/>
        <u/>
      </rPr>
      <t>Mystic Matrimony Ranking Bonus</t>
    </r>
    <r>
      <rPr>
        <rFont val="Verdana"/>
        <sz val="11.0"/>
      </rPr>
      <t>〈Nine-Tailed Fox Warlords 2 x 1〉</t>
    </r>
  </si>
  <si>
    <r>
      <rPr>
        <rFont val="Verdana"/>
        <color rgb="FF1155CC"/>
        <sz val="11.0"/>
        <u/>
      </rPr>
      <t>171930▸</t>
    </r>
    <r>
      <rPr>
        <rFont val="Verdana"/>
        <color rgb="FF1155CC"/>
        <sz val="11.0"/>
        <u/>
      </rPr>
      <t>Mystic Matrimony Ranking Bonus</t>
    </r>
    <r>
      <rPr>
        <rFont val="Verdana"/>
        <sz val="11.0"/>
      </rPr>
      <t>〈Chapter Ticket x 1〉</t>
    </r>
  </si>
  <si>
    <r>
      <rPr>
        <rFont val="Verdana"/>
        <color rgb="FF1155CC"/>
        <sz val="11.0"/>
        <u/>
      </rPr>
      <t>171931▸</t>
    </r>
    <r>
      <rPr>
        <rFont val="Verdana"/>
        <color rgb="FF1155CC"/>
        <sz val="11.0"/>
        <u/>
      </rPr>
      <t>Mystic Matrimony Ranking Bonus</t>
    </r>
    <r>
      <rPr>
        <rFont val="Verdana"/>
        <sz val="11.0"/>
      </rPr>
      <t>〈1500 Gold x 1〉</t>
    </r>
  </si>
  <si>
    <r>
      <rPr>
        <rFont val="Verdana"/>
        <color rgb="FF1155CC"/>
        <sz val="11.0"/>
        <u/>
      </rPr>
      <t>171924▸</t>
    </r>
    <r>
      <rPr>
        <rFont val="Verdana"/>
        <color rgb="FF1155CC"/>
        <sz val="11.0"/>
        <u/>
      </rPr>
      <t>Mystic Matrimony Ranking Bonus</t>
    </r>
    <r>
      <rPr>
        <rFont val="Verdana"/>
        <sz val="11.0"/>
      </rPr>
      <t>〈Enchanted Cobalt Green Kimono x 1〉</t>
    </r>
  </si>
  <si>
    <r>
      <rPr>
        <rFont val="Verdana"/>
        <color rgb="FF1155CC"/>
        <sz val="11.0"/>
        <u/>
      </rPr>
      <t>171925▸</t>
    </r>
    <r>
      <rPr>
        <rFont val="Verdana"/>
        <color rgb="FF1155CC"/>
        <sz val="11.0"/>
        <u/>
      </rPr>
      <t>Mystic Matrimony Ranking Bonus</t>
    </r>
    <r>
      <rPr>
        <rFont val="Verdana"/>
        <sz val="11.0"/>
      </rPr>
      <t>〈His Ogre Ensemble x 1〉</t>
    </r>
  </si>
  <si>
    <r>
      <rPr>
        <rFont val="Verdana"/>
        <color rgb="FF1155CC"/>
        <sz val="11.0"/>
        <u/>
      </rPr>
      <t>171926▸</t>
    </r>
    <r>
      <rPr>
        <rFont val="Verdana"/>
        <color rgb="FF1155CC"/>
        <sz val="11.0"/>
        <u/>
      </rPr>
      <t>Mystic Matrimony Ranking Bonus</t>
    </r>
    <r>
      <rPr>
        <rFont val="Verdana"/>
        <sz val="11.0"/>
      </rPr>
      <t>〈His Draconic Dressrobes x 1〉</t>
    </r>
  </si>
  <si>
    <r>
      <rPr>
        <rFont val="Verdana"/>
        <color rgb="FF1155CC"/>
        <sz val="11.0"/>
        <u/>
      </rPr>
      <t>171927▸</t>
    </r>
    <r>
      <rPr>
        <rFont val="Verdana"/>
        <color rgb="FF1155CC"/>
        <sz val="11.0"/>
        <u/>
      </rPr>
      <t>Mystic Matrimony Ranking Bonus</t>
    </r>
    <r>
      <rPr>
        <rFont val="Verdana"/>
        <sz val="11.0"/>
      </rPr>
      <t>〈His Vampiric Vestments x 1〉</t>
    </r>
  </si>
  <si>
    <r>
      <rPr>
        <rFont val="Verdana"/>
        <color rgb="FF1155CC"/>
        <sz val="11.0"/>
        <u/>
      </rPr>
      <t>171928▸</t>
    </r>
    <r>
      <rPr>
        <rFont val="Verdana"/>
        <color rgb="FF1155CC"/>
        <sz val="11.0"/>
        <u/>
      </rPr>
      <t>Mystic Matrimony Ranking Bonus</t>
    </r>
    <r>
      <rPr>
        <rFont val="Verdana"/>
        <sz val="11.0"/>
      </rPr>
      <t>〈Nine-Tailed Fox Warlords 1 x 1〉</t>
    </r>
  </si>
  <si>
    <r>
      <rPr>
        <rFont val="Verdana"/>
        <color rgb="FF1155CC"/>
        <sz val="11.0"/>
        <u/>
      </rPr>
      <t>171929▸</t>
    </r>
    <r>
      <rPr>
        <rFont val="Verdana"/>
        <color rgb="FF1155CC"/>
        <sz val="11.0"/>
        <u/>
      </rPr>
      <t>Mystic Matrimony Ranking Bonus</t>
    </r>
    <r>
      <rPr>
        <rFont val="Verdana"/>
        <sz val="11.0"/>
      </rPr>
      <t>〈Nine-Tailed Fox Warlords 2 x 1〉</t>
    </r>
  </si>
  <si>
    <r>
      <rPr>
        <rFont val="Verdana"/>
        <color rgb="FF1155CC"/>
        <sz val="11.0"/>
        <u/>
      </rPr>
      <t>171930▸</t>
    </r>
    <r>
      <rPr>
        <rFont val="Verdana"/>
        <color rgb="FF1155CC"/>
        <sz val="11.0"/>
        <u/>
      </rPr>
      <t>Mystic Matrimony Ranking Bonus</t>
    </r>
    <r>
      <rPr>
        <rFont val="Verdana"/>
        <sz val="11.0"/>
      </rPr>
      <t>〈Chapter Ticket x 1〉</t>
    </r>
  </si>
  <si>
    <r>
      <rPr>
        <rFont val="Verdana"/>
        <color rgb="FF1155CC"/>
        <sz val="11.0"/>
        <u/>
      </rPr>
      <t>171931▸</t>
    </r>
    <r>
      <rPr>
        <rFont val="Verdana"/>
        <color rgb="FF1155CC"/>
        <sz val="11.0"/>
        <u/>
      </rPr>
      <t>Mystic Matrimony Ranking Bonus</t>
    </r>
    <r>
      <rPr>
        <rFont val="Verdana"/>
        <sz val="11.0"/>
      </rPr>
      <t>〈1500 Gold x 1〉</t>
    </r>
  </si>
  <si>
    <r>
      <rPr>
        <rFont val="Verdana"/>
        <color rgb="FF1155CC"/>
        <sz val="11.0"/>
        <u/>
      </rPr>
      <t>171925▸</t>
    </r>
    <r>
      <rPr>
        <rFont val="Verdana"/>
        <color rgb="FF1155CC"/>
        <sz val="11.0"/>
        <u/>
      </rPr>
      <t>Mystic Matrimony Ranking Bonus</t>
    </r>
    <r>
      <rPr>
        <rFont val="Verdana"/>
        <sz val="11.0"/>
      </rPr>
      <t>〈His Ogre Ensemble x 1〉</t>
    </r>
  </si>
  <si>
    <r>
      <rPr>
        <rFont val="Verdana"/>
        <color rgb="FF1155CC"/>
        <sz val="11.0"/>
        <u/>
      </rPr>
      <t>171926▸</t>
    </r>
    <r>
      <rPr>
        <rFont val="Verdana"/>
        <color rgb="FF1155CC"/>
        <sz val="11.0"/>
        <u/>
      </rPr>
      <t>Mystic Matrimony Ranking Bonus</t>
    </r>
    <r>
      <rPr>
        <rFont val="Verdana"/>
        <sz val="11.0"/>
      </rPr>
      <t>〈His Draconic Dressrobes x 1〉</t>
    </r>
  </si>
  <si>
    <r>
      <rPr>
        <rFont val="Verdana"/>
        <color rgb="FF1155CC"/>
        <sz val="11.0"/>
        <u/>
      </rPr>
      <t>171927▸</t>
    </r>
    <r>
      <rPr>
        <rFont val="Verdana"/>
        <color rgb="FF1155CC"/>
        <sz val="11.0"/>
        <u/>
      </rPr>
      <t>Mystic Matrimony Ranking Bonus</t>
    </r>
    <r>
      <rPr>
        <rFont val="Verdana"/>
        <sz val="11.0"/>
      </rPr>
      <t>〈His Vampiric Vestments x 1〉</t>
    </r>
  </si>
  <si>
    <r>
      <rPr>
        <rFont val="Verdana"/>
        <color rgb="FF1155CC"/>
        <sz val="11.0"/>
        <u/>
      </rPr>
      <t>171928▸</t>
    </r>
    <r>
      <rPr>
        <rFont val="Verdana"/>
        <color rgb="FF1155CC"/>
        <sz val="11.0"/>
        <u/>
      </rPr>
      <t>Mystic Matrimony Ranking Bonus</t>
    </r>
    <r>
      <rPr>
        <rFont val="Verdana"/>
        <sz val="11.0"/>
      </rPr>
      <t>〈Nine-Tailed Fox Warlords 1 x 1〉</t>
    </r>
  </si>
  <si>
    <r>
      <rPr>
        <rFont val="Verdana"/>
        <color rgb="FF1155CC"/>
        <sz val="11.0"/>
        <u/>
      </rPr>
      <t>171929▸</t>
    </r>
    <r>
      <rPr>
        <rFont val="Verdana"/>
        <color rgb="FF1155CC"/>
        <sz val="11.0"/>
        <u/>
      </rPr>
      <t>Mystic Matrimony Ranking Bonus</t>
    </r>
    <r>
      <rPr>
        <rFont val="Verdana"/>
        <sz val="11.0"/>
      </rPr>
      <t>〈Nine-Tailed Fox Warlords 2 x 1〉</t>
    </r>
  </si>
  <si>
    <r>
      <rPr>
        <rFont val="Verdana"/>
        <color rgb="FF1155CC"/>
        <sz val="11.0"/>
        <u/>
      </rPr>
      <t>171930▸</t>
    </r>
    <r>
      <rPr>
        <rFont val="Verdana"/>
        <color rgb="FF1155CC"/>
        <sz val="11.0"/>
        <u/>
      </rPr>
      <t>Mystic Matrimony Ranking Bonus</t>
    </r>
    <r>
      <rPr>
        <rFont val="Verdana"/>
        <sz val="11.0"/>
      </rPr>
      <t>〈Chapter Ticket x 1〉</t>
    </r>
  </si>
  <si>
    <r>
      <rPr>
        <rFont val="Verdana"/>
        <color rgb="FF1155CC"/>
        <sz val="11.0"/>
        <u/>
      </rPr>
      <t>171931▸</t>
    </r>
    <r>
      <rPr>
        <rFont val="Verdana"/>
        <color rgb="FF1155CC"/>
        <sz val="11.0"/>
        <u/>
      </rPr>
      <t>Mystic Matrimony Ranking Bonus</t>
    </r>
    <r>
      <rPr>
        <rFont val="Verdana"/>
        <sz val="11.0"/>
      </rPr>
      <t>〈1500 Gold x 1〉</t>
    </r>
  </si>
  <si>
    <r>
      <rPr>
        <rFont val="Verdana"/>
        <color rgb="FF1155CC"/>
        <sz val="11.0"/>
        <u/>
      </rPr>
      <t>171928▸</t>
    </r>
    <r>
      <rPr>
        <rFont val="Verdana"/>
        <color rgb="FF1155CC"/>
        <sz val="11.0"/>
        <u/>
      </rPr>
      <t>Mystic Matrimony Ranking Bonus</t>
    </r>
    <r>
      <rPr>
        <rFont val="Verdana"/>
        <sz val="11.0"/>
      </rPr>
      <t>〈Nine-Tailed Fox Warlords 1 x 1〉</t>
    </r>
  </si>
  <si>
    <r>
      <rPr>
        <rFont val="Verdana"/>
        <color rgb="FF1155CC"/>
        <sz val="11.0"/>
        <u/>
      </rPr>
      <t>171929▸</t>
    </r>
    <r>
      <rPr>
        <rFont val="Verdana"/>
        <color rgb="FF1155CC"/>
        <sz val="11.0"/>
        <u/>
      </rPr>
      <t>Mystic Matrimony Ranking Bonus</t>
    </r>
    <r>
      <rPr>
        <rFont val="Verdana"/>
        <sz val="11.0"/>
      </rPr>
      <t>〈Nine-Tailed Fox Warlords 2 x 1〉</t>
    </r>
  </si>
  <si>
    <r>
      <rPr>
        <rFont val="Verdana"/>
        <color rgb="FF1155CC"/>
        <sz val="11.0"/>
        <u/>
      </rPr>
      <t>171930▸</t>
    </r>
    <r>
      <rPr>
        <rFont val="Verdana"/>
        <color rgb="FF1155CC"/>
        <sz val="11.0"/>
        <u/>
      </rPr>
      <t>Mystic Matrimony Ranking Bonus</t>
    </r>
    <r>
      <rPr>
        <rFont val="Verdana"/>
        <sz val="11.0"/>
      </rPr>
      <t>〈Chapter Ticket x 1〉</t>
    </r>
  </si>
  <si>
    <r>
      <rPr>
        <rFont val="Verdana"/>
        <color rgb="FF1155CC"/>
        <sz val="11.0"/>
        <u/>
      </rPr>
      <t>171931▸</t>
    </r>
    <r>
      <rPr>
        <rFont val="Verdana"/>
        <color rgb="FF1155CC"/>
        <sz val="11.0"/>
        <u/>
      </rPr>
      <t>Mystic Matrimony Ranking Bonus</t>
    </r>
    <r>
      <rPr>
        <rFont val="Verdana"/>
        <sz val="11.0"/>
      </rPr>
      <t>〈1500 Gold x 1〉</t>
    </r>
  </si>
  <si>
    <r>
      <rPr>
        <rFont val="Verdana"/>
        <color rgb="FF1155CC"/>
        <sz val="11.0"/>
        <u/>
      </rPr>
      <t>171930▸</t>
    </r>
    <r>
      <rPr>
        <rFont val="Verdana"/>
        <color rgb="FF1155CC"/>
        <sz val="11.0"/>
        <u/>
      </rPr>
      <t>Mystic Matrimony Ranking Bonus</t>
    </r>
    <r>
      <rPr>
        <rFont val="Verdana"/>
        <sz val="11.0"/>
      </rPr>
      <t>〈Chapter Ticket x 1〉</t>
    </r>
  </si>
  <si>
    <r>
      <rPr>
        <rFont val="Verdana"/>
        <color rgb="FF1155CC"/>
        <sz val="11.0"/>
        <u/>
      </rPr>
      <t>171931▸</t>
    </r>
    <r>
      <rPr>
        <rFont val="Verdana"/>
        <color rgb="FF1155CC"/>
        <sz val="11.0"/>
        <u/>
      </rPr>
      <t>Mystic Matrimony Ranking Bonus</t>
    </r>
    <r>
      <rPr>
        <rFont val="Verdana"/>
        <sz val="11.0"/>
      </rPr>
      <t>〈1500 Gold x 1〉</t>
    </r>
  </si>
  <si>
    <r>
      <rPr>
        <rFont val="Verdana"/>
        <color rgb="FF1155CC"/>
        <sz val="11.0"/>
        <u/>
      </rPr>
      <t>171931▸</t>
    </r>
    <r>
      <rPr>
        <rFont val="Verdana"/>
        <color rgb="FF1155CC"/>
        <sz val="11.0"/>
        <u/>
      </rPr>
      <t>Mystic Matrimony Ranking Bonus</t>
    </r>
    <r>
      <rPr>
        <rFont val="Verdana"/>
        <sz val="11.0"/>
      </rPr>
      <t>〈1500 Gold x 1〉</t>
    </r>
  </si>
  <si>
    <t>https://common-legacy-app-admin.us.ikemen-sengoku.jp/admin/specialstory?search_title=Demon+of+My+Dreams</t>
  </si>
  <si>
    <t>https://common-legacy-app-admin.us.ikemen-sengoku.jp/admin/specialstory?search_title=Let%27s+Meet+in+a+Dream</t>
  </si>
  <si>
    <t>ストーリータイプ</t>
  </si>
  <si>
    <t>特別ストーリータイトル</t>
  </si>
  <si>
    <t>キャラ名</t>
  </si>
  <si>
    <t>チケットID</t>
  </si>
  <si>
    <t>公開開始</t>
  </si>
  <si>
    <t>公開終了</t>
  </si>
  <si>
    <t>編集ボタン</t>
  </si>
  <si>
    <t>本番反映</t>
  </si>
  <si>
    <t>他PF反映</t>
  </si>
  <si>
    <t>イベント
***</t>
  </si>
  <si>
    <t>Demon of My Dreams (Nobunaga)</t>
  </si>
  <si>
    <t>Nobunaga</t>
  </si>
  <si>
    <t>2023-11-06
17:00:00</t>
  </si>
  <si>
    <t>無期限</t>
  </si>
  <si>
    <t>Demon of My Dreams (Masamune)</t>
  </si>
  <si>
    <t>Masamune</t>
  </si>
  <si>
    <t>Demon of My Dreams (Hideyoshi)</t>
  </si>
  <si>
    <t>Hideyoshi</t>
  </si>
  <si>
    <t>Demon of My Dreams (Ieyasu)</t>
  </si>
  <si>
    <t>Ieyasu</t>
  </si>
  <si>
    <t>Demon of My Dreams (Mitsuhide)</t>
  </si>
  <si>
    <t>Mitsuhide</t>
  </si>
  <si>
    <t>Demon of My Dreams (Mitsunari)</t>
  </si>
  <si>
    <t>Mitsunari</t>
  </si>
  <si>
    <t>Demon of My Dreams (Yukimura)</t>
  </si>
  <si>
    <t>Yukimura</t>
  </si>
  <si>
    <t>Demon of My Dreams (Shingen)</t>
  </si>
  <si>
    <t>Shingen</t>
  </si>
  <si>
    <t>Demon of My Dreams (Kenshin)</t>
  </si>
  <si>
    <t>Kenshin</t>
  </si>
  <si>
    <t>Demon of My Dreams (Sasuke)</t>
  </si>
  <si>
    <t>Sasuke</t>
  </si>
  <si>
    <t>Demon of My Dreams (Kennyo)</t>
  </si>
  <si>
    <t>Kennyo</t>
  </si>
  <si>
    <t>Demon of My Dreams (Ranmaru)</t>
  </si>
  <si>
    <t>Ranmaru</t>
  </si>
  <si>
    <t>Demon of My Dreams (Yoshimoto)</t>
  </si>
  <si>
    <t>Yoshimoto</t>
  </si>
  <si>
    <t>Demon of My Dreams (Motonari)</t>
  </si>
  <si>
    <t>Motonari</t>
  </si>
  <si>
    <t>Demon of My Dreams (Keiji)</t>
  </si>
  <si>
    <t>Keiji</t>
  </si>
  <si>
    <t>Let's Meet in a Dream Part1</t>
  </si>
  <si>
    <t>All</t>
  </si>
  <si>
    <t>Let's Meet in a Dream Part2</t>
  </si>
  <si>
    <t>累計投票数</t>
  </si>
  <si>
    <t>確認内容</t>
  </si>
  <si>
    <t>特典情報</t>
  </si>
  <si>
    <t>特典サムネイル画像が表示されているか</t>
  </si>
  <si>
    <t>是否顯示特典縮圖</t>
  </si>
  <si>
    <t>管理ツール
コレクションイベント＞該当イベント＞コレクション＞全特典の確認</t>
  </si>
  <si>
    <t>特典一覧
＞コレクション一覧</t>
  </si>
  <si>
    <t>特典アイテムが右記の通り設定されているか</t>
  </si>
  <si>
    <t>管理工具
收集活動＞該活動＞收集＞確認所有特典</t>
  </si>
  <si>
    <t>特典一覽
＞收集一覽</t>
  </si>
  <si>
    <r>
      <rPr>
        <rFont val="微軟正黑體"/>
        <color theme="1"/>
        <sz val="9.0"/>
      </rPr>
      <t>特典道具是否按</t>
    </r>
    <r>
      <rPr>
        <rFont val="Microsoft JhengHei"/>
        <color rgb="FFFF0000"/>
        <sz val="9.0"/>
      </rPr>
      <t>右</t>
    </r>
    <r>
      <rPr>
        <rFont val="微軟正黑體"/>
        <color theme="1"/>
        <sz val="9.0"/>
      </rPr>
      <t>側設定</t>
    </r>
  </si>
  <si>
    <t>CollectionBonus!B5:N</t>
  </si>
  <si>
    <t>コレクトアイテム使用</t>
  </si>
  <si>
    <t>コレクトアイテム使用後に特典が取得できるか</t>
  </si>
  <si>
    <t>使用收集道具</t>
  </si>
  <si>
    <r>
      <rPr>
        <rFont val="微軟正黑體"/>
        <color theme="1"/>
        <sz val="9.0"/>
      </rPr>
      <t>使用收集</t>
    </r>
    <r>
      <rPr>
        <rFont val="Microsoft JhengHei"/>
        <color theme="1"/>
        <sz val="9.0"/>
      </rPr>
      <t>道具</t>
    </r>
    <r>
      <rPr>
        <rFont val="微軟正黑體"/>
        <color theme="1"/>
        <sz val="9.0"/>
      </rPr>
      <t>後是否能取得特典</t>
    </r>
  </si>
  <si>
    <t>コレクションイベント＞該当イベント＞コレクション＞全特典の確認</t>
  </si>
  <si>
    <t>受け取り文言が右記の通り設定されているか ※受取箱に入れるもののみ確認する</t>
  </si>
  <si>
    <t>收集活動＞該活動＞收集＞確認所有特典</t>
  </si>
  <si>
    <t>是否已按照右列內容設定領取文案※僅確認放入領取箱中的項目</t>
  </si>
  <si>
    <t>Mystic Matrimony◆Collection Bonus</t>
  </si>
  <si>
    <t>特典道具是否按右側設定</t>
  </si>
  <si>
    <t>Shaved Ice (+50 Stamina)</t>
  </si>
  <si>
    <t>個数が左記の通り設定されているか</t>
  </si>
  <si>
    <r>
      <rPr>
        <rFont val="微軟正黑體"/>
        <color rgb="FF999999"/>
        <sz val="9.0"/>
      </rPr>
      <t>個數是否按</t>
    </r>
    <r>
      <rPr>
        <rFont val="Microsoft JhengHei"/>
        <color rgb="FF999999"/>
        <sz val="9.0"/>
      </rPr>
      <t>右</t>
    </r>
    <r>
      <rPr>
        <rFont val="微軟正黑體"/>
        <color rgb="FF999999"/>
        <sz val="9.0"/>
      </rPr>
      <t>側設定</t>
    </r>
  </si>
  <si>
    <t>1</t>
  </si>
  <si>
    <t>使用收集道具後是否能取得特典</t>
  </si>
  <si>
    <t>イベント限定アイテムの受取期限がイベント終了日時になっているか</t>
  </si>
  <si>
    <t>活動限定道具的領取期限是否為活動結束日期和時間</t>
  </si>
  <si>
    <r>
      <rPr>
        <rFont val="微軟正黑體"/>
        <color theme="1"/>
        <sz val="9.0"/>
      </rPr>
      <t>通常は</t>
    </r>
    <r>
      <rPr>
        <rFont val="Arial"/>
        <color theme="1"/>
        <sz val="9.0"/>
      </rPr>
      <t>2</t>
    </r>
    <r>
      <rPr>
        <rFont val="微軟正黑體"/>
        <color theme="1"/>
        <sz val="9.0"/>
      </rPr>
      <t>週間</t>
    </r>
    <r>
      <rPr>
        <rFont val="微軟正黑體"/>
        <color rgb="FFFF0000"/>
        <sz val="9.0"/>
      </rPr>
      <t>（活動限定：活動結束時間／其餘</t>
    </r>
    <r>
      <rPr>
        <rFont val="Arial"/>
        <color rgb="FFFF0000"/>
        <sz val="9.0"/>
      </rPr>
      <t>2</t>
    </r>
    <r>
      <rPr>
        <rFont val="微軟正黑體"/>
        <color rgb="FFFF0000"/>
        <sz val="9.0"/>
      </rPr>
      <t>週）</t>
    </r>
  </si>
  <si>
    <t>500 Gold</t>
  </si>
  <si>
    <t>通常は2週間（活動限定：活動結束時間／其餘2週）</t>
  </si>
  <si>
    <t>Closet Storage</t>
  </si>
  <si>
    <t>Yoshimoto with a Lantern</t>
  </si>
  <si>
    <t>Mystic Matrimony Bonus Story ～Yoshimoto～</t>
  </si>
  <si>
    <t>Makeup (+100 Glamour)</t>
  </si>
  <si>
    <t>Castle Storage</t>
  </si>
  <si>
    <t>Motonari with a Lantern</t>
  </si>
  <si>
    <t>Perfume (+100 Grace)</t>
  </si>
  <si>
    <t>Mystic Matrimony Bonus Story ～Motonari～</t>
  </si>
  <si>
    <t>Limited Chapter Ticket</t>
  </si>
  <si>
    <t>Kicho with a Lantern</t>
  </si>
  <si>
    <t>Kanetsugu with a Lantern</t>
  </si>
  <si>
    <t>Shaved Ice (+100 Stamina)</t>
  </si>
  <si>
    <t>Mystic Matrimony Bonus Story ～Kicho～</t>
  </si>
  <si>
    <t>(Main) Dramatic Elixir (+1)</t>
  </si>
  <si>
    <t>Nobunaga with a Lantern</t>
  </si>
  <si>
    <t>Masamune with a Lantern</t>
  </si>
  <si>
    <t>Perfume (+500 Grace)</t>
  </si>
  <si>
    <t>(Main) Romantic Elixir (+1)</t>
  </si>
  <si>
    <t>Mystic Matrimony Bonus Story ～Kanetsugu～</t>
  </si>
  <si>
    <t>Vampire Wings</t>
  </si>
  <si>
    <t>(Main) Elixir of Love (+1:+1)</t>
  </si>
  <si>
    <t>Dragon Horns</t>
  </si>
  <si>
    <t>Mystic Matrimony Bonus Story ～Nobunaga～</t>
  </si>
  <si>
    <t>3000 Gold</t>
  </si>
  <si>
    <t>Ogre Horns</t>
  </si>
  <si>
    <t>Midnight Parkview Veranda</t>
  </si>
  <si>
    <t>Gacha Token</t>
  </si>
  <si>
    <t>Mystic Matrimony Bonus Story ～Masamune～</t>
  </si>
  <si>
    <t>Mystic Matrimony Trophy</t>
  </si>
  <si>
    <t>コレクトアイテム使用
＞オーバーフロー特典</t>
  </si>
  <si>
    <t>使用收集道具
＞超額特典
（超出全收集數量以後）</t>
  </si>
  <si>
    <t>かき氷（10回復）</t>
  </si>
  <si>
    <t>特典一覽
＞特典詳細</t>
  </si>
  <si>
    <t>Bonus!S5:V</t>
  </si>
  <si>
    <t>2026/2/11 驗證單配置資料與後台不符，驗證單資料名稱缺少 Bonus  Story</t>
  </si>
  <si>
    <t>アイテム：プレゼント登録
ストーリー：コレクションイベント＞該当イベント＞ストーリー＞特別</t>
  </si>
  <si>
    <t>項目：禮品登記
故事：收藏活動 &gt; 適用活動 &gt; 故事 &gt; 特別</t>
  </si>
  <si>
    <t>present!A6:G</t>
  </si>
  <si>
    <t>Bonus!J5:M</t>
  </si>
  <si>
    <t>https://common-legacy-app-admin.us.ikemen-sengoku.jp/admin/collection/collect_event_story/collect_203</t>
  </si>
  <si>
    <t>タイトル</t>
  </si>
  <si>
    <t>画像</t>
  </si>
  <si>
    <t>チケット</t>
  </si>
  <si>
    <t>ストーリー
請求画像</t>
  </si>
  <si>
    <t>説明</t>
  </si>
  <si>
    <t>編集</t>
  </si>
  <si>
    <t>Mystic Matrimony ~My Fated Bride~</t>
  </si>
  <si>
    <t>恋遊戯『戦国妖絵巻』</t>
  </si>
  <si>
    <t>恋遊戯『特別ストーリー』</t>
  </si>
  <si>
    <t>恋遊戯『アフターストーリー』</t>
  </si>
  <si>
    <t>https://common-legacy-app-admin.us.ikemen-sengoku.jp/admin/present/list?item_name=Mystic+Matrimony</t>
  </si>
  <si>
    <t>アイテム</t>
  </si>
  <si>
    <t>個数</t>
  </si>
  <si>
    <t>イベント名</t>
  </si>
  <si>
    <t>開始</t>
  </si>
  <si>
    <t>終了</t>
  </si>
  <si>
    <t>削除</t>
  </si>
  <si>
    <t>***</t>
  </si>
  <si>
    <t>https://common-legacy-app-admin.us.ikemen-sengoku.jp/admin/isgame/collection/all_setting/203#event_collection_bonus_mst</t>
  </si>
  <si>
    <t>https://common-legacy-app-admin.us.ikemen-sengoku.jp/admin/collection/collect_event_collection_bonus/ce_214_collect_bonus_group</t>
  </si>
  <si>
    <t>present Item Count</t>
  </si>
  <si>
    <t>special story ID</t>
  </si>
  <si>
    <t>special story Name</t>
  </si>
  <si>
    <t>Combine Present Name with Story Name</t>
  </si>
  <si>
    <r>
      <rPr>
        <rFont val="Verdana"/>
        <color rgb="FF1155CC"/>
        <sz val="11.0"/>
        <u/>
      </rPr>
      <t>6313▸</t>
    </r>
    <r>
      <rPr>
        <rFont val="Verdana"/>
        <color rgb="FF1155CC"/>
        <sz val="11.0"/>
        <u/>
      </rPr>
      <t>Demon of My Dreams</t>
    </r>
  </si>
  <si>
    <r>
      <rPr>
        <rFont val="Verdana"/>
        <color rgb="FF1155CC"/>
        <sz val="11.0"/>
        <u/>
      </rPr>
      <t>171932▸</t>
    </r>
    <r>
      <rPr>
        <rFont val="Verdana"/>
        <color rgb="FF1155CC"/>
        <sz val="11.0"/>
        <u/>
      </rPr>
      <t>Mystic Matrimony◆Collection Bonus</t>
    </r>
    <r>
      <rPr>
        <rFont val="Verdana"/>
        <sz val="11.0"/>
      </rPr>
      <t>〈Shaved Ice (+50 Stamina) x 1〉</t>
    </r>
  </si>
  <si>
    <r>
      <rPr>
        <rFont val="Verdana"/>
        <color rgb="FF1155CC"/>
        <sz val="11.0"/>
        <u/>
      </rPr>
      <t>171933▸</t>
    </r>
    <r>
      <rPr>
        <rFont val="Verdana"/>
        <color rgb="FF1155CC"/>
        <sz val="11.0"/>
        <u/>
      </rPr>
      <t>Mystic Matrimony◆Collection Bonus</t>
    </r>
    <r>
      <rPr>
        <rFont val="Verdana"/>
        <sz val="11.0"/>
      </rPr>
      <t>〈500 Gold x 1〉</t>
    </r>
  </si>
  <si>
    <r>
      <rPr>
        <rFont val="Verdana"/>
        <color rgb="FF1155CC"/>
        <sz val="11.0"/>
        <u/>
      </rPr>
      <t>171934▸</t>
    </r>
    <r>
      <rPr>
        <rFont val="Verdana"/>
        <color rgb="FF1155CC"/>
        <sz val="11.0"/>
        <u/>
      </rPr>
      <t>Mystic Matrimony◆Collection Bonus</t>
    </r>
    <r>
      <rPr>
        <rFont val="Verdana"/>
        <sz val="11.0"/>
      </rPr>
      <t>〈Closet Storage x 1〉</t>
    </r>
  </si>
  <si>
    <r>
      <rPr>
        <rFont val="Verdana"/>
        <color rgb="FF1155CC"/>
        <sz val="11.0"/>
        <u/>
      </rPr>
      <t>171935▸</t>
    </r>
    <r>
      <rPr>
        <rFont val="Verdana"/>
        <color rgb="FF1155CC"/>
        <sz val="11.0"/>
        <u/>
      </rPr>
      <t>Mystic Matrimony◆Collection Bonus</t>
    </r>
    <r>
      <rPr>
        <rFont val="Verdana"/>
        <sz val="11.0"/>
      </rPr>
      <t>〈Shaved Ice (+50 Stamina) x 1〉</t>
    </r>
  </si>
  <si>
    <r>
      <rPr>
        <rFont val="Verdana"/>
        <color rgb="FF1155CC"/>
        <sz val="11.0"/>
        <u/>
      </rPr>
      <t>171936▸</t>
    </r>
    <r>
      <rPr>
        <rFont val="Verdana"/>
        <color rgb="FF1155CC"/>
        <sz val="11.0"/>
        <u/>
      </rPr>
      <t>Mystic Matrimony◆Collection Bonus</t>
    </r>
    <r>
      <rPr>
        <rFont val="Verdana"/>
        <sz val="11.0"/>
      </rPr>
      <t>〈Yoshimoto with a Lantern x 1〉</t>
    </r>
  </si>
  <si>
    <r>
      <rPr>
        <rFont val="Verdana"/>
        <color rgb="FF1155CC"/>
        <sz val="11.0"/>
        <u/>
      </rPr>
      <t>171937▸</t>
    </r>
    <r>
      <rPr>
        <rFont val="Verdana"/>
        <color rgb="FF1155CC"/>
        <sz val="11.0"/>
        <u/>
      </rPr>
      <t>Mystic Matrimony◆Collection Bonus</t>
    </r>
    <r>
      <rPr>
        <rFont val="Verdana"/>
        <sz val="11.0"/>
      </rPr>
      <t>〈Shaved Ice (+50 Stamina) x 1〉</t>
    </r>
  </si>
  <si>
    <r>
      <rPr>
        <rFont val="Verdana"/>
        <color rgb="FF1155CC"/>
        <sz val="11.0"/>
        <u/>
      </rPr>
      <t>171938▸</t>
    </r>
    <r>
      <rPr>
        <rFont val="Verdana"/>
        <color rgb="FF1155CC"/>
        <sz val="11.0"/>
        <u/>
      </rPr>
      <t>Mystic Matrimony◆Collection Bonus</t>
    </r>
    <r>
      <rPr>
        <rFont val="Verdana"/>
        <sz val="11.0"/>
      </rPr>
      <t>〈500 Gold x 1〉</t>
    </r>
  </si>
  <si>
    <r>
      <rPr>
        <rFont val="Verdana"/>
        <color rgb="FF1155CC"/>
        <sz val="11.0"/>
        <u/>
      </rPr>
      <t>171939▸</t>
    </r>
    <r>
      <rPr>
        <rFont val="Verdana"/>
        <color rgb="FF1155CC"/>
        <sz val="11.0"/>
        <u/>
      </rPr>
      <t>Mystic Matrimony◆Collection Bonus</t>
    </r>
    <r>
      <rPr>
        <rFont val="Verdana"/>
        <sz val="11.0"/>
      </rPr>
      <t>〈Shaved Ice (+50 Stamina) x 1〉</t>
    </r>
  </si>
  <si>
    <r>
      <rPr>
        <rFont val="Verdana"/>
        <color rgb="FF1155CC"/>
        <sz val="11.0"/>
        <u/>
      </rPr>
      <t>6319▸</t>
    </r>
    <r>
      <rPr>
        <rFont val="Verdana"/>
        <color rgb="FF1155CC"/>
        <sz val="11.0"/>
        <u/>
      </rPr>
      <t>Mystic Matrimony Bonus Story ～Yoshimoto～</t>
    </r>
  </si>
  <si>
    <r>
      <rPr>
        <rFont val="Verdana"/>
        <color rgb="FF1155CC"/>
        <sz val="11.0"/>
        <u/>
      </rPr>
      <t>171940▸</t>
    </r>
    <r>
      <rPr>
        <rFont val="Verdana"/>
        <color rgb="FF1155CC"/>
        <sz val="11.0"/>
        <u/>
      </rPr>
      <t>Mystic Matrimony◆Collection Bonus</t>
    </r>
    <r>
      <rPr>
        <rFont val="Verdana"/>
        <sz val="11.0"/>
      </rPr>
      <t>〈Makeup (+100 Glamour) x 1〉</t>
    </r>
  </si>
  <si>
    <r>
      <rPr>
        <rFont val="Verdana"/>
        <color rgb="FF1155CC"/>
        <sz val="11.0"/>
        <u/>
      </rPr>
      <t>171941▸</t>
    </r>
    <r>
      <rPr>
        <rFont val="Verdana"/>
        <color rgb="FF1155CC"/>
        <sz val="11.0"/>
        <u/>
      </rPr>
      <t>Mystic Matrimony◆Collection Bonus</t>
    </r>
    <r>
      <rPr>
        <rFont val="Verdana"/>
        <sz val="11.0"/>
      </rPr>
      <t>〈Castle Storage x 1〉</t>
    </r>
  </si>
  <si>
    <r>
      <rPr>
        <rFont val="Verdana"/>
        <color rgb="FF1155CC"/>
        <sz val="11.0"/>
        <u/>
      </rPr>
      <t>171942▸</t>
    </r>
    <r>
      <rPr>
        <rFont val="Verdana"/>
        <color rgb="FF1155CC"/>
        <sz val="11.0"/>
        <u/>
      </rPr>
      <t>Mystic Matrimony◆Collection Bonus</t>
    </r>
    <r>
      <rPr>
        <rFont val="Verdana"/>
        <sz val="11.0"/>
      </rPr>
      <t>〈Shaved Ice (+50 Stamina) x 1〉</t>
    </r>
  </si>
  <si>
    <r>
      <rPr>
        <rFont val="Verdana"/>
        <color rgb="FF1155CC"/>
        <sz val="11.0"/>
        <u/>
      </rPr>
      <t>171943▸</t>
    </r>
    <r>
      <rPr>
        <rFont val="Verdana"/>
        <color rgb="FF1155CC"/>
        <sz val="11.0"/>
        <u/>
      </rPr>
      <t>Mystic Matrimony◆Collection Bonus</t>
    </r>
    <r>
      <rPr>
        <rFont val="Verdana"/>
        <sz val="11.0"/>
      </rPr>
      <t>〈Motonari with a Lantern x 1〉</t>
    </r>
  </si>
  <si>
    <r>
      <rPr>
        <rFont val="Verdana"/>
        <color rgb="FF1155CC"/>
        <sz val="11.0"/>
        <u/>
      </rPr>
      <t>171944▸</t>
    </r>
    <r>
      <rPr>
        <rFont val="Verdana"/>
        <color rgb="FF1155CC"/>
        <sz val="11.0"/>
        <u/>
      </rPr>
      <t>Mystic Matrimony◆Collection Bonus</t>
    </r>
    <r>
      <rPr>
        <rFont val="Verdana"/>
        <sz val="11.0"/>
      </rPr>
      <t>〈500 Gold x 1〉</t>
    </r>
  </si>
  <si>
    <r>
      <rPr>
        <rFont val="Verdana"/>
        <color rgb="FF1155CC"/>
        <sz val="11.0"/>
        <u/>
      </rPr>
      <t>171945▸</t>
    </r>
    <r>
      <rPr>
        <rFont val="Verdana"/>
        <color rgb="FF1155CC"/>
        <sz val="11.0"/>
        <u/>
      </rPr>
      <t>Mystic Matrimony◆Collection Bonus</t>
    </r>
    <r>
      <rPr>
        <rFont val="Verdana"/>
        <sz val="11.0"/>
      </rPr>
      <t>〈Closet Storage x 1〉</t>
    </r>
  </si>
  <si>
    <r>
      <rPr>
        <rFont val="Verdana"/>
        <color rgb="FF1155CC"/>
        <sz val="11.0"/>
        <u/>
      </rPr>
      <t>171946▸</t>
    </r>
    <r>
      <rPr>
        <rFont val="Verdana"/>
        <color rgb="FF1155CC"/>
        <sz val="11.0"/>
        <u/>
      </rPr>
      <t>Mystic Matrimony◆Collection Bonus</t>
    </r>
    <r>
      <rPr>
        <rFont val="Verdana"/>
        <sz val="11.0"/>
      </rPr>
      <t>〈Shaved Ice (+50 Stamina) x 1〉</t>
    </r>
  </si>
  <si>
    <r>
      <rPr>
        <rFont val="Verdana"/>
        <color rgb="FF1155CC"/>
        <sz val="11.0"/>
        <u/>
      </rPr>
      <t>171947▸</t>
    </r>
    <r>
      <rPr>
        <rFont val="Verdana"/>
        <color rgb="FF1155CC"/>
        <sz val="11.0"/>
        <u/>
      </rPr>
      <t>Mystic Matrimony◆Collection Bonus</t>
    </r>
    <r>
      <rPr>
        <rFont val="Verdana"/>
        <sz val="11.0"/>
      </rPr>
      <t>〈Perfume (+100 Grace) x 1〉</t>
    </r>
  </si>
  <si>
    <r>
      <rPr>
        <rFont val="Verdana"/>
        <color rgb="FF1155CC"/>
        <sz val="11.0"/>
        <u/>
      </rPr>
      <t>6318▸</t>
    </r>
    <r>
      <rPr>
        <rFont val="Verdana"/>
        <color rgb="FF1155CC"/>
        <sz val="11.0"/>
        <u/>
      </rPr>
      <t>Mystic Matrimony Bonus Story ～Motonari～</t>
    </r>
  </si>
  <si>
    <r>
      <rPr>
        <rFont val="Verdana"/>
        <color rgb="FF1155CC"/>
        <sz val="11.0"/>
        <u/>
      </rPr>
      <t>171948▸</t>
    </r>
    <r>
      <rPr>
        <rFont val="Verdana"/>
        <color rgb="FF1155CC"/>
        <sz val="11.0"/>
        <u/>
      </rPr>
      <t>Mystic Matrimony◆Collection Bonus</t>
    </r>
    <r>
      <rPr>
        <rFont val="Verdana"/>
        <sz val="11.0"/>
      </rPr>
      <t>〈Limited Chapter Ticket x 1〉</t>
    </r>
  </si>
  <si>
    <r>
      <rPr>
        <rFont val="Verdana"/>
        <color rgb="FF1155CC"/>
        <sz val="11.0"/>
        <u/>
      </rPr>
      <t>171949▸</t>
    </r>
    <r>
      <rPr>
        <rFont val="Verdana"/>
        <color rgb="FF1155CC"/>
        <sz val="11.0"/>
        <u/>
      </rPr>
      <t>Mystic Matrimony◆Collection Bonus</t>
    </r>
    <r>
      <rPr>
        <rFont val="Verdana"/>
        <sz val="11.0"/>
      </rPr>
      <t>〈500 Gold x 1〉</t>
    </r>
  </si>
  <si>
    <r>
      <rPr>
        <rFont val="Verdana"/>
        <color rgb="FF1155CC"/>
        <sz val="11.0"/>
        <u/>
      </rPr>
      <t>171950▸</t>
    </r>
    <r>
      <rPr>
        <rFont val="Verdana"/>
        <color rgb="FF1155CC"/>
        <sz val="11.0"/>
        <u/>
      </rPr>
      <t>Mystic Matrimony◆Collection Bonus</t>
    </r>
    <r>
      <rPr>
        <rFont val="Verdana"/>
        <sz val="11.0"/>
      </rPr>
      <t>〈Castle Storage x 1〉</t>
    </r>
  </si>
  <si>
    <r>
      <rPr>
        <rFont val="Verdana"/>
        <color rgb="FF1155CC"/>
        <sz val="11.0"/>
        <u/>
      </rPr>
      <t>171951▸</t>
    </r>
    <r>
      <rPr>
        <rFont val="Verdana"/>
        <color rgb="FF1155CC"/>
        <sz val="11.0"/>
        <u/>
      </rPr>
      <t>Mystic Matrimony◆Collection Bonus</t>
    </r>
    <r>
      <rPr>
        <rFont val="Verdana"/>
        <sz val="11.0"/>
      </rPr>
      <t>〈Kicho with a Lantern x 1〉</t>
    </r>
  </si>
  <si>
    <r>
      <rPr>
        <rFont val="Verdana"/>
        <color rgb="FF1155CC"/>
        <sz val="11.0"/>
        <u/>
      </rPr>
      <t>171952▸</t>
    </r>
    <r>
      <rPr>
        <rFont val="Verdana"/>
        <color rgb="FF1155CC"/>
        <sz val="11.0"/>
        <u/>
      </rPr>
      <t>Mystic Matrimony◆Collection Bonus</t>
    </r>
    <r>
      <rPr>
        <rFont val="Verdana"/>
        <sz val="11.0"/>
      </rPr>
      <t>〈Perfume (+100 Grace) x 1〉</t>
    </r>
  </si>
  <si>
    <r>
      <rPr>
        <rFont val="Verdana"/>
        <color rgb="FF1155CC"/>
        <sz val="11.0"/>
        <u/>
      </rPr>
      <t>171953▸</t>
    </r>
    <r>
      <rPr>
        <rFont val="Verdana"/>
        <color rgb="FF1155CC"/>
        <sz val="11.0"/>
        <u/>
      </rPr>
      <t>Mystic Matrimony◆Collection Bonus</t>
    </r>
    <r>
      <rPr>
        <rFont val="Verdana"/>
        <sz val="11.0"/>
      </rPr>
      <t>〈500 Gold x 1〉</t>
    </r>
  </si>
  <si>
    <r>
      <rPr>
        <rFont val="Verdana"/>
        <color rgb="FF1155CC"/>
        <sz val="11.0"/>
        <u/>
      </rPr>
      <t>171954▸</t>
    </r>
    <r>
      <rPr>
        <rFont val="Verdana"/>
        <color rgb="FF1155CC"/>
        <sz val="11.0"/>
        <u/>
      </rPr>
      <t>Mystic Matrimony◆Collection Bonus</t>
    </r>
    <r>
      <rPr>
        <rFont val="Verdana"/>
        <sz val="11.0"/>
      </rPr>
      <t>〈Kanetsugu with a Lantern x 1〉</t>
    </r>
  </si>
  <si>
    <r>
      <rPr>
        <rFont val="Verdana"/>
        <color rgb="FF1155CC"/>
        <sz val="11.0"/>
        <u/>
      </rPr>
      <t>171955▸</t>
    </r>
    <r>
      <rPr>
        <rFont val="Verdana"/>
        <color rgb="FF1155CC"/>
        <sz val="11.0"/>
        <u/>
      </rPr>
      <t>Mystic Matrimony◆Collection Bonus</t>
    </r>
    <r>
      <rPr>
        <rFont val="Verdana"/>
        <sz val="11.0"/>
      </rPr>
      <t>〈Castle Storage x 1〉</t>
    </r>
  </si>
  <si>
    <r>
      <rPr>
        <rFont val="Verdana"/>
        <color rgb="FF1155CC"/>
        <sz val="11.0"/>
        <u/>
      </rPr>
      <t>171956▸</t>
    </r>
    <r>
      <rPr>
        <rFont val="Verdana"/>
        <color rgb="FF1155CC"/>
        <sz val="11.0"/>
        <u/>
      </rPr>
      <t>Mystic Matrimony◆Collection Bonus</t>
    </r>
    <r>
      <rPr>
        <rFont val="Verdana"/>
        <sz val="11.0"/>
      </rPr>
      <t>〈Makeup (+100 Glamour) x 1〉</t>
    </r>
  </si>
  <si>
    <r>
      <rPr>
        <rFont val="Verdana"/>
        <color rgb="FF1155CC"/>
        <sz val="11.0"/>
        <u/>
      </rPr>
      <t>171957▸</t>
    </r>
    <r>
      <rPr>
        <rFont val="Verdana"/>
        <color rgb="FF1155CC"/>
        <sz val="11.0"/>
        <u/>
      </rPr>
      <t>Mystic Matrimony◆Collection Bonus</t>
    </r>
    <r>
      <rPr>
        <rFont val="Verdana"/>
        <sz val="11.0"/>
      </rPr>
      <t>〈Shaved Ice (+100 Stamina) x 1〉</t>
    </r>
  </si>
  <si>
    <r>
      <rPr>
        <rFont val="Verdana"/>
        <color rgb="FF1155CC"/>
        <sz val="11.0"/>
        <u/>
      </rPr>
      <t>6317▸</t>
    </r>
    <r>
      <rPr>
        <rFont val="Verdana"/>
        <color rgb="FF1155CC"/>
        <sz val="11.0"/>
        <u/>
      </rPr>
      <t>Mystic Matrimony Bonus Story ～Kicho～</t>
    </r>
  </si>
  <si>
    <r>
      <rPr>
        <rFont val="Verdana"/>
        <color rgb="FF1155CC"/>
        <sz val="11.0"/>
        <u/>
      </rPr>
      <t>171958▸</t>
    </r>
    <r>
      <rPr>
        <rFont val="Verdana"/>
        <color rgb="FF1155CC"/>
        <sz val="11.0"/>
        <u/>
      </rPr>
      <t>Mystic Matrimony◆Collection Bonus</t>
    </r>
    <r>
      <rPr>
        <rFont val="Verdana"/>
        <sz val="11.0"/>
      </rPr>
      <t>〈Closet Storage x 1〉</t>
    </r>
  </si>
  <si>
    <r>
      <rPr>
        <rFont val="Verdana"/>
        <color rgb="FF1155CC"/>
        <sz val="11.0"/>
        <u/>
      </rPr>
      <t>171959▸</t>
    </r>
    <r>
      <rPr>
        <rFont val="Verdana"/>
        <color rgb="FF1155CC"/>
        <sz val="11.0"/>
        <u/>
      </rPr>
      <t>Mystic Matrimony◆Collection Bonus</t>
    </r>
    <r>
      <rPr>
        <rFont val="Verdana"/>
        <sz val="11.0"/>
      </rPr>
      <t>〈1500 Gold x 1〉</t>
    </r>
  </si>
  <si>
    <r>
      <rPr>
        <rFont val="Verdana"/>
        <color rgb="FF1155CC"/>
        <sz val="11.0"/>
        <u/>
      </rPr>
      <t>171960▸</t>
    </r>
    <r>
      <rPr>
        <rFont val="Verdana"/>
        <color rgb="FF1155CC"/>
        <sz val="11.0"/>
        <u/>
      </rPr>
      <t>Mystic Matrimony◆Collection Bonus</t>
    </r>
    <r>
      <rPr>
        <rFont val="Verdana"/>
        <sz val="11.0"/>
      </rPr>
      <t>〈(Main) Dramatic Elixir (+1) x 1〉</t>
    </r>
  </si>
  <si>
    <r>
      <rPr>
        <rFont val="Verdana"/>
        <color rgb="FF1155CC"/>
        <sz val="11.0"/>
        <u/>
      </rPr>
      <t>171961▸</t>
    </r>
    <r>
      <rPr>
        <rFont val="Verdana"/>
        <color rgb="FF1155CC"/>
        <sz val="11.0"/>
        <u/>
      </rPr>
      <t>Mystic Matrimony◆Collection Bonus</t>
    </r>
    <r>
      <rPr>
        <rFont val="Verdana"/>
        <sz val="11.0"/>
      </rPr>
      <t>〈Nobunaga with a Lantern x 1〉</t>
    </r>
  </si>
  <si>
    <r>
      <rPr>
        <rFont val="Verdana"/>
        <color rgb="FF1155CC"/>
        <sz val="11.0"/>
        <u/>
      </rPr>
      <t>171962▸</t>
    </r>
    <r>
      <rPr>
        <rFont val="Verdana"/>
        <color rgb="FF1155CC"/>
        <sz val="11.0"/>
        <u/>
      </rPr>
      <t>Mystic Matrimony◆Collection Bonus</t>
    </r>
    <r>
      <rPr>
        <rFont val="Verdana"/>
        <sz val="11.0"/>
      </rPr>
      <t>〈Castle Storage x 1〉</t>
    </r>
  </si>
  <si>
    <r>
      <rPr>
        <rFont val="Verdana"/>
        <color rgb="FF1155CC"/>
        <sz val="11.0"/>
        <u/>
      </rPr>
      <t>171963▸</t>
    </r>
    <r>
      <rPr>
        <rFont val="Verdana"/>
        <color rgb="FF1155CC"/>
        <sz val="11.0"/>
        <u/>
      </rPr>
      <t>Mystic Matrimony◆Collection Bonus</t>
    </r>
    <r>
      <rPr>
        <rFont val="Verdana"/>
        <sz val="11.0"/>
      </rPr>
      <t>〈Limited Chapter Ticket x 1〉</t>
    </r>
  </si>
  <si>
    <r>
      <rPr>
        <rFont val="Verdana"/>
        <color rgb="FF1155CC"/>
        <sz val="11.0"/>
        <u/>
      </rPr>
      <t>171964▸</t>
    </r>
    <r>
      <rPr>
        <rFont val="Verdana"/>
        <color rgb="FF1155CC"/>
        <sz val="11.0"/>
        <u/>
      </rPr>
      <t>Mystic Matrimony◆Collection Bonus</t>
    </r>
    <r>
      <rPr>
        <rFont val="Verdana"/>
        <sz val="11.0"/>
      </rPr>
      <t>〈Masamune with a Lantern x 1〉</t>
    </r>
  </si>
  <si>
    <r>
      <rPr>
        <rFont val="Verdana"/>
        <color rgb="FF1155CC"/>
        <sz val="11.0"/>
        <u/>
      </rPr>
      <t>171965▸</t>
    </r>
    <r>
      <rPr>
        <rFont val="Verdana"/>
        <color rgb="FF1155CC"/>
        <sz val="11.0"/>
        <u/>
      </rPr>
      <t>Mystic Matrimony◆Collection Bonus</t>
    </r>
    <r>
      <rPr>
        <rFont val="Verdana"/>
        <sz val="11.0"/>
      </rPr>
      <t>〈1500 Gold x 1〉</t>
    </r>
  </si>
  <si>
    <r>
      <rPr>
        <rFont val="Verdana"/>
        <color rgb="FF1155CC"/>
        <sz val="11.0"/>
        <u/>
      </rPr>
      <t>171966▸</t>
    </r>
    <r>
      <rPr>
        <rFont val="Verdana"/>
        <color rgb="FF1155CC"/>
        <sz val="11.0"/>
        <u/>
      </rPr>
      <t>Mystic Matrimony◆Collection Bonus</t>
    </r>
    <r>
      <rPr>
        <rFont val="Verdana"/>
        <sz val="11.0"/>
      </rPr>
      <t>〈Perfume (+500 Grace) x 1〉</t>
    </r>
  </si>
  <si>
    <r>
      <rPr>
        <rFont val="Verdana"/>
        <color rgb="FF1155CC"/>
        <sz val="11.0"/>
        <u/>
      </rPr>
      <t>171967▸</t>
    </r>
    <r>
      <rPr>
        <rFont val="Verdana"/>
        <color rgb="FF1155CC"/>
        <sz val="11.0"/>
        <u/>
      </rPr>
      <t>Mystic Matrimony◆Collection Bonus</t>
    </r>
    <r>
      <rPr>
        <rFont val="Verdana"/>
        <sz val="11.0"/>
      </rPr>
      <t>〈(Main) Romantic Elixir (+1) x 1〉</t>
    </r>
  </si>
  <si>
    <r>
      <rPr>
        <rFont val="Verdana"/>
        <color rgb="FF1155CC"/>
        <sz val="11.0"/>
        <u/>
      </rPr>
      <t>6316▸</t>
    </r>
    <r>
      <rPr>
        <rFont val="Verdana"/>
        <color rgb="FF1155CC"/>
        <sz val="11.0"/>
        <u/>
      </rPr>
      <t>Mystic Matrimony Bonus Story ～Kanetsugu～</t>
    </r>
  </si>
  <si>
    <r>
      <rPr>
        <rFont val="Verdana"/>
        <color rgb="FF1155CC"/>
        <sz val="11.0"/>
        <u/>
      </rPr>
      <t>171968▸</t>
    </r>
    <r>
      <rPr>
        <rFont val="Verdana"/>
        <color rgb="FF1155CC"/>
        <sz val="11.0"/>
        <u/>
      </rPr>
      <t>Mystic Matrimony◆Collection Bonus</t>
    </r>
    <r>
      <rPr>
        <rFont val="Verdana"/>
        <sz val="11.0"/>
      </rPr>
      <t>〈Shaved Ice (+100 Stamina) x 1〉</t>
    </r>
  </si>
  <si>
    <r>
      <rPr>
        <rFont val="Verdana"/>
        <color rgb="FF1155CC"/>
        <sz val="11.0"/>
        <u/>
      </rPr>
      <t>171969▸</t>
    </r>
    <r>
      <rPr>
        <rFont val="Verdana"/>
        <color rgb="FF1155CC"/>
        <sz val="11.0"/>
        <u/>
      </rPr>
      <t>Mystic Matrimony◆Collection Bonus</t>
    </r>
    <r>
      <rPr>
        <rFont val="Verdana"/>
        <sz val="11.0"/>
      </rPr>
      <t>〈Closet Storage x 1〉</t>
    </r>
  </si>
  <si>
    <r>
      <rPr>
        <rFont val="Verdana"/>
        <color rgb="FF1155CC"/>
        <sz val="11.0"/>
        <u/>
      </rPr>
      <t>171970▸</t>
    </r>
    <r>
      <rPr>
        <rFont val="Verdana"/>
        <color rgb="FF1155CC"/>
        <sz val="11.0"/>
        <u/>
      </rPr>
      <t>Mystic Matrimony◆Collection Bonus</t>
    </r>
    <r>
      <rPr>
        <rFont val="Verdana"/>
        <sz val="11.0"/>
      </rPr>
      <t>〈Vampire Wings x 1〉</t>
    </r>
  </si>
  <si>
    <r>
      <rPr>
        <rFont val="Verdana"/>
        <color rgb="FF1155CC"/>
        <sz val="11.0"/>
        <u/>
      </rPr>
      <t>171971▸</t>
    </r>
    <r>
      <rPr>
        <rFont val="Verdana"/>
        <color rgb="FF1155CC"/>
        <sz val="11.0"/>
        <u/>
      </rPr>
      <t>Mystic Matrimony◆Collection Bonus</t>
    </r>
    <r>
      <rPr>
        <rFont val="Verdana"/>
        <sz val="11.0"/>
      </rPr>
      <t>〈(Main) Elixir of Love (+1:+1) x 1〉</t>
    </r>
  </si>
  <si>
    <r>
      <rPr>
        <rFont val="Verdana"/>
        <color rgb="FF1155CC"/>
        <sz val="11.0"/>
        <u/>
      </rPr>
      <t>171972▸</t>
    </r>
    <r>
      <rPr>
        <rFont val="Verdana"/>
        <color rgb="FF1155CC"/>
        <sz val="11.0"/>
        <u/>
      </rPr>
      <t>Mystic Matrimony◆Collection Bonus</t>
    </r>
    <r>
      <rPr>
        <rFont val="Verdana"/>
        <sz val="11.0"/>
      </rPr>
      <t>〈Closet Storage x 1〉</t>
    </r>
  </si>
  <si>
    <r>
      <rPr>
        <rFont val="Verdana"/>
        <color rgb="FF1155CC"/>
        <sz val="11.0"/>
        <u/>
      </rPr>
      <t>171973▸</t>
    </r>
    <r>
      <rPr>
        <rFont val="Verdana"/>
        <color rgb="FF1155CC"/>
        <sz val="11.0"/>
        <u/>
      </rPr>
      <t>Mystic Matrimony◆Collection Bonus</t>
    </r>
    <r>
      <rPr>
        <rFont val="Verdana"/>
        <sz val="11.0"/>
      </rPr>
      <t>〈Dragon Horns x 1〉</t>
    </r>
  </si>
  <si>
    <r>
      <rPr>
        <rFont val="Verdana"/>
        <color rgb="FF1155CC"/>
        <sz val="11.0"/>
        <u/>
      </rPr>
      <t>171974▸</t>
    </r>
    <r>
      <rPr>
        <rFont val="Verdana"/>
        <color rgb="FF1155CC"/>
        <sz val="11.0"/>
        <u/>
      </rPr>
      <t>Mystic Matrimony◆Collection Bonus</t>
    </r>
    <r>
      <rPr>
        <rFont val="Verdana"/>
        <sz val="11.0"/>
      </rPr>
      <t>〈Closet Storage x 1〉</t>
    </r>
  </si>
  <si>
    <r>
      <rPr>
        <rFont val="Verdana"/>
        <color rgb="FF1155CC"/>
        <sz val="11.0"/>
        <u/>
      </rPr>
      <t>171975▸</t>
    </r>
    <r>
      <rPr>
        <rFont val="Verdana"/>
        <color rgb="FF1155CC"/>
        <sz val="11.0"/>
        <u/>
      </rPr>
      <t>Mystic Matrimony◆Collection Bonus</t>
    </r>
    <r>
      <rPr>
        <rFont val="Verdana"/>
        <sz val="11.0"/>
      </rPr>
      <t>〈Shaved Ice (+50 Stamina) x 1〉</t>
    </r>
  </si>
  <si>
    <r>
      <rPr>
        <rFont val="Verdana"/>
        <color rgb="FF1155CC"/>
        <sz val="11.0"/>
        <u/>
      </rPr>
      <t>6315▸</t>
    </r>
    <r>
      <rPr>
        <rFont val="Verdana"/>
        <color rgb="FF1155CC"/>
        <sz val="11.0"/>
        <u/>
      </rPr>
      <t>Mystic Matrimony Bonus Story ～Nobunaga～</t>
    </r>
  </si>
  <si>
    <r>
      <rPr>
        <rFont val="Verdana"/>
        <color rgb="FF1155CC"/>
        <sz val="11.0"/>
        <u/>
      </rPr>
      <t>171976▸</t>
    </r>
    <r>
      <rPr>
        <rFont val="Verdana"/>
        <color rgb="FF1155CC"/>
        <sz val="11.0"/>
        <u/>
      </rPr>
      <t>Mystic Matrimony◆Collection Bonus</t>
    </r>
    <r>
      <rPr>
        <rFont val="Verdana"/>
        <sz val="11.0"/>
      </rPr>
      <t>〈3000 Gold x 1〉</t>
    </r>
  </si>
  <si>
    <r>
      <rPr>
        <rFont val="Verdana"/>
        <color rgb="FF1155CC"/>
        <sz val="11.0"/>
        <u/>
      </rPr>
      <t>171977▸</t>
    </r>
    <r>
      <rPr>
        <rFont val="Verdana"/>
        <color rgb="FF1155CC"/>
        <sz val="11.0"/>
        <u/>
      </rPr>
      <t>Mystic Matrimony◆Collection Bonus</t>
    </r>
    <r>
      <rPr>
        <rFont val="Verdana"/>
        <sz val="11.0"/>
      </rPr>
      <t>〈Ogre Horns x 1〉</t>
    </r>
  </si>
  <si>
    <r>
      <rPr>
        <rFont val="Verdana"/>
        <color rgb="FF1155CC"/>
        <sz val="11.0"/>
        <u/>
      </rPr>
      <t>171978▸</t>
    </r>
    <r>
      <rPr>
        <rFont val="Verdana"/>
        <color rgb="FF1155CC"/>
        <sz val="11.0"/>
        <u/>
      </rPr>
      <t>Mystic Matrimony◆Collection Bonus</t>
    </r>
    <r>
      <rPr>
        <rFont val="Verdana"/>
        <sz val="11.0"/>
      </rPr>
      <t>〈Midnight Parkview Veranda x 1〉</t>
    </r>
  </si>
  <si>
    <r>
      <rPr>
        <rFont val="Verdana"/>
        <color rgb="FF1155CC"/>
        <sz val="11.0"/>
        <u/>
      </rPr>
      <t>171979▸</t>
    </r>
    <r>
      <rPr>
        <rFont val="Verdana"/>
        <color rgb="FF1155CC"/>
        <sz val="11.0"/>
        <u/>
      </rPr>
      <t>Mystic Matrimony◆Collection Bonus</t>
    </r>
    <r>
      <rPr>
        <rFont val="Verdana"/>
        <sz val="11.0"/>
      </rPr>
      <t>〈Gacha Token x 1〉</t>
    </r>
  </si>
  <si>
    <r>
      <rPr>
        <rFont val="Verdana"/>
        <color rgb="FF1155CC"/>
        <sz val="11.0"/>
        <u/>
      </rPr>
      <t>6314▸</t>
    </r>
    <r>
      <rPr>
        <rFont val="Verdana"/>
        <color rgb="FF1155CC"/>
        <sz val="11.0"/>
        <u/>
      </rPr>
      <t>Mystic Matrimony Bonus Story ～Masamune～</t>
    </r>
  </si>
  <si>
    <r>
      <rPr>
        <rFont val="Verdana"/>
        <color rgb="FF1155CC"/>
        <sz val="11.0"/>
        <u/>
      </rPr>
      <t>171980▸</t>
    </r>
    <r>
      <rPr>
        <rFont val="Verdana"/>
        <color rgb="FF1155CC"/>
        <sz val="11.0"/>
        <u/>
      </rPr>
      <t>Mystic Matrimony◆Collection Bonus</t>
    </r>
    <r>
      <rPr>
        <rFont val="Verdana"/>
        <sz val="11.0"/>
      </rPr>
      <t>〈Mystic Matrimony Trophy x 1〉</t>
    </r>
  </si>
  <si>
    <r>
      <rPr>
        <rFont val="Verdana"/>
        <color rgb="FF1155CC"/>
        <sz val="11.0"/>
        <u/>
      </rPr>
      <t>171981▸</t>
    </r>
    <r>
      <rPr>
        <rFont val="Verdana"/>
        <color rgb="FF1155CC"/>
        <sz val="11.0"/>
        <u/>
      </rPr>
      <t>Mystic Matrimony◆Collection Bonus</t>
    </r>
    <r>
      <rPr>
        <rFont val="Verdana"/>
        <sz val="11.0"/>
      </rPr>
      <t>〈Shaved Ice (+10 Stamina) x 1〉</t>
    </r>
  </si>
  <si>
    <t>Shaved Ice (+10 Stamina)</t>
  </si>
  <si>
    <t>項目</t>
  </si>
  <si>
    <t>確認事項</t>
  </si>
  <si>
    <t>確認箇所・詳細</t>
  </si>
  <si>
    <t>管理ツール
コレクションイベント＞該当イベント＞フィーバー設定</t>
  </si>
  <si>
    <t>開始日時が左記の通り設定されているか</t>
  </si>
  <si>
    <t>管理工具
收集活動＞該活動＞Fever 設定</t>
  </si>
  <si>
    <r>
      <rPr>
        <rFont val="微軟正黑體"/>
        <color theme="1"/>
        <sz val="9.0"/>
      </rPr>
      <t>開始日期時間是否按</t>
    </r>
    <r>
      <rPr>
        <rFont val="Microsoft JhengHei"/>
        <color rgb="FFFF0000"/>
        <sz val="9.0"/>
      </rPr>
      <t>右</t>
    </r>
    <r>
      <rPr>
        <rFont val="微軟正黑體"/>
        <color theme="1"/>
        <sz val="9.0"/>
      </rPr>
      <t>側設定</t>
    </r>
  </si>
  <si>
    <t>終了日時が左記の通り設定されているか</t>
  </si>
  <si>
    <r>
      <rPr>
        <rFont val="微軟正黑體"/>
        <color theme="1"/>
        <sz val="9.0"/>
      </rPr>
      <t>結束日期時間是否按</t>
    </r>
    <r>
      <rPr>
        <rFont val="Microsoft JhengHei"/>
        <color rgb="FFFF0000"/>
        <sz val="9.0"/>
      </rPr>
      <t>右</t>
    </r>
    <r>
      <rPr>
        <rFont val="微軟正黑體"/>
        <color theme="1"/>
        <sz val="9.0"/>
      </rPr>
      <t>側設定</t>
    </r>
  </si>
  <si>
    <t>ミニゲームFV倍率が左記の通り設定されているか</t>
  </si>
  <si>
    <r>
      <rPr>
        <rFont val="微軟正黑體"/>
        <color theme="1"/>
        <sz val="9.0"/>
      </rPr>
      <t>小遊戲</t>
    </r>
    <r>
      <rPr>
        <rFont val="Arial"/>
        <color theme="1"/>
        <sz val="9.0"/>
      </rPr>
      <t>Fever</t>
    </r>
    <r>
      <rPr>
        <rFont val="微軟正黑體"/>
        <color theme="1"/>
        <sz val="9.0"/>
      </rPr>
      <t>倍率是否按</t>
    </r>
    <r>
      <rPr>
        <rFont val="Microsoft JhengHei"/>
        <color rgb="FFFF0000"/>
        <sz val="9.0"/>
      </rPr>
      <t>右</t>
    </r>
    <r>
      <rPr>
        <rFont val="微軟正黑體"/>
        <color theme="1"/>
        <sz val="9.0"/>
      </rPr>
      <t>側設定</t>
    </r>
  </si>
  <si>
    <t>ストーリーFV倍率が左記の通り設定されているか</t>
  </si>
  <si>
    <r>
      <rPr>
        <rFont val="微軟正黑體"/>
        <color theme="1"/>
        <sz val="9.0"/>
      </rPr>
      <t>故事</t>
    </r>
    <r>
      <rPr>
        <rFont val="Arial"/>
        <color theme="1"/>
        <sz val="9.0"/>
      </rPr>
      <t>Fever</t>
    </r>
    <r>
      <rPr>
        <rFont val="微軟正黑體"/>
        <color theme="1"/>
        <sz val="9.0"/>
      </rPr>
      <t>倍率是否按</t>
    </r>
    <r>
      <rPr>
        <rFont val="微軟正黑體"/>
        <color rgb="FFFF0000"/>
        <sz val="9.0"/>
      </rPr>
      <t>右</t>
    </r>
    <r>
      <rPr>
        <rFont val="微軟正黑體"/>
        <color theme="1"/>
        <sz val="9.0"/>
      </rPr>
      <t>側設定</t>
    </r>
  </si>
  <si>
    <t>FVが正しく動作しているか</t>
  </si>
  <si>
    <t>Fever 是否正常運作</t>
  </si>
  <si>
    <t>コレクションイベント＞該当イベント＞フィーバー設定</t>
  </si>
  <si>
    <t>收集活動＞該活動＞Fever 設定</t>
  </si>
  <si>
    <t>小遊戲Fever倍率是否按右側設定</t>
  </si>
  <si>
    <t>故事Fever倍率是否按右側設定</t>
  </si>
  <si>
    <t>ミニゲーム表示用文言が左記の通り設定されているか</t>
  </si>
  <si>
    <r>
      <rPr>
        <rFont val="微軟正黑體"/>
        <color rgb="FF999999"/>
        <sz val="9.0"/>
      </rPr>
      <t>小遊戲顯示用文案是否按</t>
    </r>
    <r>
      <rPr>
        <rFont val="Microsoft JhengHei"/>
        <color rgb="FF999999"/>
        <sz val="9.0"/>
      </rPr>
      <t>右</t>
    </r>
    <r>
      <rPr>
        <rFont val="微軟正黑體"/>
        <color rgb="FF999999"/>
        <sz val="9.0"/>
      </rPr>
      <t>側設定</t>
    </r>
  </si>
  <si>
    <t>Do Princess Lessons &amp; get 3x Hearts!</t>
  </si>
  <si>
    <t>小遊戲顯示用文案是否按右側設定</t>
  </si>
  <si>
    <t>https://common-legacy-app-admin.us.ikemen-sengoku.jp/admin/isgame/collection/all_setting/203#event_fever_mst</t>
  </si>
  <si>
    <t>https://common-legacy-app-admin.us.ikemen-sengoku.jp/admin/collection/collect_fever_mst/collect_214</t>
  </si>
  <si>
    <t>coefficient minigame</t>
  </si>
  <si>
    <t>coefficient story</t>
  </si>
  <si>
    <t>ミニゲーム
表示用文言</t>
  </si>
  <si>
    <t>確認環境</t>
  </si>
  <si>
    <t>話数 / タイトル</t>
  </si>
  <si>
    <t>参照_仕様 other data</t>
  </si>
  <si>
    <t>保存先のキャラクターが右記の通りか</t>
  </si>
  <si>
    <t>保存目標角色是否如右方所示</t>
  </si>
  <si>
    <t>タイトルが右記の通り表示されているか</t>
  </si>
  <si>
    <t>標題是否如右方所示顯示</t>
  </si>
  <si>
    <t>ストーリーが正常に再生できるか</t>
  </si>
  <si>
    <t>故事是否能正常播放</t>
  </si>
  <si>
    <t>管理ツール
ストーリー管理＞チャプター編集</t>
  </si>
  <si>
    <t>スクリプト内に画像のリンク切れや、日本語が残っていないか</t>
  </si>
  <si>
    <t>管理工具
故事管理＞章節編輯</t>
  </si>
  <si>
    <t>腳本內是否沒有圖片連結失效或殘留日文</t>
  </si>
  <si>
    <t>スクリプトが本番反映されているか</t>
  </si>
  <si>
    <t>腳本是否已反映至正式環境</t>
  </si>
  <si>
    <t>タイトルの日本語名称で検索する</t>
  </si>
  <si>
    <t>管理ツール
ストーリー管理＞スクリプトリソース状況一覧</t>
  </si>
  <si>
    <t>スクリプトリソースが反映されているか</t>
  </si>
  <si>
    <t>管理工具
故事管理＞腳本資源狀況一覽</t>
  </si>
  <si>
    <t>腳本資源是否已反映</t>
  </si>
  <si>
    <t>Kanetsugu</t>
  </si>
  <si>
    <t>イベント用Flash</t>
  </si>
  <si>
    <t>ストーリー管理＞チャプター編集</t>
  </si>
  <si>
    <t>故事管理＞章節編輯</t>
  </si>
  <si>
    <t>Link</t>
  </si>
  <si>
    <t>ストーリー管理＞スクリプトリソース状況一覧</t>
  </si>
  <si>
    <t>故事管理＞腳本資源狀況一覽</t>
  </si>
  <si>
    <t>English Name</t>
  </si>
  <si>
    <t>アバターサムネイルが表示されているか</t>
  </si>
  <si>
    <t>裝扮縮圖是否顯示</t>
  </si>
  <si>
    <t>アバターが着用できるか</t>
  </si>
  <si>
    <t>是否可穿脫，且穿著時的裝扮是否正確顯示</t>
  </si>
  <si>
    <t>管理ツール
アバター素材管理</t>
  </si>
  <si>
    <t>アバター名が左記の通り設定されているか</t>
  </si>
  <si>
    <t>管理工具
管理工具 裝扮(Avatar)素材管理</t>
  </si>
  <si>
    <t>裝扮名稱是否如右方所示設定</t>
  </si>
  <si>
    <t>魅力値が左記の通り設定されているか</t>
  </si>
  <si>
    <t>魅力值是否如右方所示設定</t>
  </si>
  <si>
    <t>アバターカテゴリが左記の通り設定されているか</t>
  </si>
  <si>
    <t>裝扮分類是否如右方所示設定</t>
  </si>
  <si>
    <t>6_1_3883</t>
  </si>
  <si>
    <t>6_1_3886</t>
  </si>
  <si>
    <t>6_1_3885</t>
  </si>
  <si>
    <t>6_1_3870</t>
  </si>
  <si>
    <t>6_1_3871</t>
  </si>
  <si>
    <t>6_1_3869</t>
  </si>
  <si>
    <t>641_104</t>
  </si>
  <si>
    <t>652_035</t>
  </si>
  <si>
    <t>640_119</t>
  </si>
  <si>
    <t>653_072</t>
  </si>
  <si>
    <t>648_128</t>
  </si>
  <si>
    <t>697_079</t>
  </si>
  <si>
    <t>692_084</t>
  </si>
  <si>
    <t>651_068</t>
  </si>
  <si>
    <t>647_121</t>
  </si>
  <si>
    <t>656_066</t>
  </si>
  <si>
    <t>Blue Anemone Hair Clip</t>
  </si>
  <si>
    <t>453_337</t>
  </si>
  <si>
    <t>211_569</t>
  </si>
  <si>
    <t>521_370</t>
  </si>
  <si>
    <t>011_567</t>
  </si>
  <si>
    <t>853_008</t>
  </si>
  <si>
    <t>311_1142</t>
  </si>
  <si>
    <t>552_045</t>
  </si>
  <si>
    <r>
      <rPr>
        <rFont val="微軟正黑體"/>
        <color theme="1"/>
        <sz val="9.0"/>
      </rPr>
      <t>管理工具</t>
    </r>
    <r>
      <rPr>
        <rFont val="Arial"/>
        <color theme="1"/>
        <sz val="9.0"/>
      </rPr>
      <t xml:space="preserve">
</t>
    </r>
    <r>
      <rPr>
        <rFont val="細明體"/>
        <color theme="1"/>
        <sz val="9.0"/>
      </rPr>
      <t>裝扮</t>
    </r>
    <r>
      <rPr>
        <rFont val="Arial"/>
        <color theme="1"/>
        <sz val="9.0"/>
      </rPr>
      <t>(Avatar)</t>
    </r>
    <r>
      <rPr>
        <rFont val="細明體"/>
        <color theme="1"/>
        <sz val="9.0"/>
      </rPr>
      <t>素材管理</t>
    </r>
  </si>
  <si>
    <t>550_014</t>
  </si>
  <si>
    <r>
      <rPr>
        <rFont val="微軟正黑體"/>
        <color theme="1"/>
        <sz val="9.0"/>
      </rPr>
      <t>管理工具</t>
    </r>
    <r>
      <rPr>
        <rFont val="Arial"/>
        <color theme="1"/>
        <sz val="9.0"/>
      </rPr>
      <t xml:space="preserve">
</t>
    </r>
    <r>
      <rPr>
        <rFont val="細明體"/>
        <color theme="1"/>
        <sz val="9.0"/>
      </rPr>
      <t>裝扮</t>
    </r>
    <r>
      <rPr>
        <rFont val="Arial"/>
        <color theme="1"/>
        <sz val="9.0"/>
      </rPr>
      <t>(Avatar)</t>
    </r>
    <r>
      <rPr>
        <rFont val="細明體"/>
        <color theme="1"/>
        <sz val="9.0"/>
      </rPr>
      <t>素材管理</t>
    </r>
  </si>
  <si>
    <t>Ieyasu with a Lantern</t>
  </si>
  <si>
    <t>6_1_3873</t>
  </si>
  <si>
    <r>
      <rPr>
        <rFont val="微軟正黑體"/>
        <color theme="1"/>
        <sz val="9.0"/>
      </rPr>
      <t>管理工具</t>
    </r>
    <r>
      <rPr>
        <rFont val="Arial"/>
        <color theme="1"/>
        <sz val="9.0"/>
      </rPr>
      <t xml:space="preserve">
</t>
    </r>
    <r>
      <rPr>
        <rFont val="細明體"/>
        <color theme="1"/>
        <sz val="9.0"/>
      </rPr>
      <t>裝扮</t>
    </r>
    <r>
      <rPr>
        <rFont val="Arial"/>
        <color theme="1"/>
        <sz val="9.0"/>
      </rPr>
      <t>(Avatar)</t>
    </r>
    <r>
      <rPr>
        <rFont val="細明體"/>
        <color theme="1"/>
        <sz val="9.0"/>
      </rPr>
      <t>素材管理</t>
    </r>
  </si>
  <si>
    <t>Mitsunari with a Lantern</t>
  </si>
  <si>
    <t>6_1_3875</t>
  </si>
  <si>
    <r>
      <rPr>
        <rFont val="微軟正黑體"/>
        <color theme="1"/>
        <sz val="9.0"/>
      </rPr>
      <t>管理工具</t>
    </r>
    <r>
      <rPr>
        <rFont val="Arial"/>
        <color theme="1"/>
        <sz val="9.0"/>
      </rPr>
      <t xml:space="preserve">
</t>
    </r>
    <r>
      <rPr>
        <rFont val="細明體"/>
        <color theme="1"/>
        <sz val="9.0"/>
      </rPr>
      <t>裝扮</t>
    </r>
    <r>
      <rPr>
        <rFont val="Arial"/>
        <color theme="1"/>
        <sz val="9.0"/>
      </rPr>
      <t>(Avatar)</t>
    </r>
    <r>
      <rPr>
        <rFont val="細明體"/>
        <color theme="1"/>
        <sz val="9.0"/>
      </rPr>
      <t>素材管理</t>
    </r>
  </si>
  <si>
    <t>Sasuke with a Lantern</t>
  </si>
  <si>
    <t>6_1_3879</t>
  </si>
  <si>
    <r>
      <rPr>
        <rFont val="微軟正黑體"/>
        <color theme="1"/>
        <sz val="9.0"/>
      </rPr>
      <t>管理工具</t>
    </r>
    <r>
      <rPr>
        <rFont val="Arial"/>
        <color theme="1"/>
        <sz val="9.0"/>
      </rPr>
      <t xml:space="preserve">
</t>
    </r>
    <r>
      <rPr>
        <rFont val="細明體"/>
        <color theme="1"/>
        <sz val="9.0"/>
      </rPr>
      <t>裝扮</t>
    </r>
    <r>
      <rPr>
        <rFont val="Arial"/>
        <color theme="1"/>
        <sz val="9.0"/>
      </rPr>
      <t>(Avatar)</t>
    </r>
    <r>
      <rPr>
        <rFont val="細明體"/>
        <color theme="1"/>
        <sz val="9.0"/>
      </rPr>
      <t>素材管理</t>
    </r>
  </si>
  <si>
    <t>Kennyo with a Lantern</t>
  </si>
  <si>
    <t>6_1_3880</t>
  </si>
  <si>
    <r>
      <rPr>
        <rFont val="微軟正黑體"/>
        <color theme="1"/>
        <sz val="9.0"/>
      </rPr>
      <t>管理工具</t>
    </r>
    <r>
      <rPr>
        <rFont val="Arial"/>
        <color theme="1"/>
        <sz val="9.0"/>
      </rPr>
      <t xml:space="preserve">
</t>
    </r>
    <r>
      <rPr>
        <rFont val="細明體"/>
        <color theme="1"/>
        <sz val="9.0"/>
      </rPr>
      <t>裝扮</t>
    </r>
    <r>
      <rPr>
        <rFont val="Arial"/>
        <color theme="1"/>
        <sz val="9.0"/>
      </rPr>
      <t>(Avatar)</t>
    </r>
    <r>
      <rPr>
        <rFont val="細明體"/>
        <color theme="1"/>
        <sz val="9.0"/>
      </rPr>
      <t>素材管理</t>
    </r>
  </si>
  <si>
    <t>Mitsuhide with a Lantern</t>
  </si>
  <si>
    <t>6_1_3874</t>
  </si>
  <si>
    <r>
      <rPr>
        <rFont val="微軟正黑體"/>
        <color theme="1"/>
        <sz val="9.0"/>
      </rPr>
      <t>管理工具</t>
    </r>
    <r>
      <rPr>
        <rFont val="Arial"/>
        <color theme="1"/>
        <sz val="9.0"/>
      </rPr>
      <t xml:space="preserve">
</t>
    </r>
    <r>
      <rPr>
        <rFont val="細明體"/>
        <color theme="1"/>
        <sz val="9.0"/>
      </rPr>
      <t>裝扮</t>
    </r>
    <r>
      <rPr>
        <rFont val="Arial"/>
        <color theme="1"/>
        <sz val="9.0"/>
      </rPr>
      <t>(Avatar)</t>
    </r>
    <r>
      <rPr>
        <rFont val="細明體"/>
        <color theme="1"/>
        <sz val="9.0"/>
      </rPr>
      <t>素材管理</t>
    </r>
  </si>
  <si>
    <t>Yukimura with a Lantern</t>
  </si>
  <si>
    <t>6_1_3876</t>
  </si>
  <si>
    <r>
      <rPr>
        <rFont val="微軟正黑體"/>
        <color theme="1"/>
        <sz val="9.0"/>
      </rPr>
      <t>管理工具</t>
    </r>
    <r>
      <rPr>
        <rFont val="Arial"/>
        <color theme="1"/>
        <sz val="9.0"/>
      </rPr>
      <t xml:space="preserve">
</t>
    </r>
    <r>
      <rPr>
        <rFont val="細明體"/>
        <color theme="1"/>
        <sz val="9.0"/>
      </rPr>
      <t>裝扮</t>
    </r>
    <r>
      <rPr>
        <rFont val="Arial"/>
        <color theme="1"/>
        <sz val="9.0"/>
      </rPr>
      <t>(Avatar)</t>
    </r>
    <r>
      <rPr>
        <rFont val="細明體"/>
        <color theme="1"/>
        <sz val="9.0"/>
      </rPr>
      <t>素材管理</t>
    </r>
  </si>
  <si>
    <t>アバター名</t>
  </si>
  <si>
    <t>アバター詳細</t>
  </si>
  <si>
    <t>素材編集</t>
  </si>
  <si>
    <r>
      <rPr>
        <rFont val="Verdana"/>
        <color rgb="FF1155CC"/>
        <sz val="11.0"/>
        <u/>
      </rPr>
      <t>素材一覧</t>
    </r>
  </si>
  <si>
    <t>https://common-legacy-app-admin.us.ikemen-sengoku.jp/admin/avatar/item?item_name=Mystic+Matrimony</t>
  </si>
  <si>
    <r>
      <rPr>
        <rFont val="Verdana"/>
        <color rgb="FF1155CC"/>
        <sz val="11.0"/>
        <u/>
      </rPr>
      <t>素材一覧</t>
    </r>
  </si>
  <si>
    <r>
      <rPr>
        <rFont val="Verdana"/>
        <color rgb="FF1155CC"/>
        <sz val="11.0"/>
        <u/>
      </rPr>
      <t>素材一覧</t>
    </r>
  </si>
  <si>
    <r>
      <rPr>
        <rFont val="Verdana"/>
        <color rgb="FF1155CC"/>
        <sz val="11.0"/>
        <u/>
      </rPr>
      <t>素材一覧</t>
    </r>
  </si>
  <si>
    <r>
      <rPr>
        <rFont val="Verdana"/>
        <color rgb="FF1155CC"/>
        <sz val="11.0"/>
        <u/>
      </rPr>
      <t>素材一覧</t>
    </r>
  </si>
  <si>
    <r>
      <rPr>
        <rFont val="Verdana"/>
        <color rgb="FF1155CC"/>
        <sz val="11.0"/>
        <u/>
      </rPr>
      <t>素材一覧</t>
    </r>
  </si>
  <si>
    <r>
      <rPr>
        <rFont val="Verdana"/>
        <color rgb="FF1155CC"/>
        <sz val="11.0"/>
        <u/>
      </rPr>
      <t>素材一覧</t>
    </r>
  </si>
  <si>
    <r>
      <rPr>
        <rFont val="Verdana"/>
        <color rgb="FF1155CC"/>
        <sz val="11.0"/>
        <u/>
      </rPr>
      <t>素材一覧</t>
    </r>
  </si>
  <si>
    <r>
      <rPr>
        <rFont val="Verdana"/>
        <color rgb="FF1155CC"/>
        <sz val="11.0"/>
        <u/>
      </rPr>
      <t>素材一覧</t>
    </r>
  </si>
  <si>
    <t>https://common-legacy-app-admin.us.ikemen-sengoku.jp/admin/avatar/item?item_category_cd=&amp;item_name=with+a+Lantern</t>
  </si>
  <si>
    <r>
      <rPr>
        <rFont val="Verdana"/>
        <color rgb="FF1155CC"/>
        <sz val="11.0"/>
        <u/>
      </rPr>
      <t>素材一覧</t>
    </r>
  </si>
  <si>
    <t>Hideyoshi with a Lantern</t>
  </si>
  <si>
    <r>
      <rPr>
        <rFont val="Verdana"/>
        <color rgb="FF1155CC"/>
        <sz val="11.0"/>
        <u/>
      </rPr>
      <t>素材一覧</t>
    </r>
  </si>
  <si>
    <r>
      <rPr>
        <rFont val="Verdana"/>
        <color rgb="FF1155CC"/>
        <sz val="11.0"/>
        <u/>
      </rPr>
      <t>素材一覧</t>
    </r>
  </si>
  <si>
    <r>
      <rPr>
        <rFont val="Verdana"/>
        <color rgb="FF1155CC"/>
        <sz val="11.0"/>
        <u/>
      </rPr>
      <t>素材一覧</t>
    </r>
  </si>
  <si>
    <r>
      <rPr>
        <rFont val="Verdana"/>
        <color rgb="FF1155CC"/>
        <sz val="11.0"/>
        <u/>
      </rPr>
      <t>素材一覧</t>
    </r>
  </si>
  <si>
    <r>
      <rPr>
        <rFont val="Verdana"/>
        <color rgb="FF1155CC"/>
        <sz val="11.0"/>
        <u/>
      </rPr>
      <t>素材一覧</t>
    </r>
  </si>
  <si>
    <t>Shingen with a Lantern</t>
  </si>
  <si>
    <r>
      <rPr>
        <rFont val="Verdana"/>
        <color rgb="FF1155CC"/>
        <sz val="11.0"/>
        <u/>
      </rPr>
      <t>素材一覧</t>
    </r>
  </si>
  <si>
    <t>Kenshin with a Lantern</t>
  </si>
  <si>
    <r>
      <rPr>
        <rFont val="Verdana"/>
        <color rgb="FF1155CC"/>
        <sz val="11.0"/>
        <u/>
      </rPr>
      <t>素材一覧</t>
    </r>
  </si>
  <si>
    <r>
      <rPr>
        <rFont val="Verdana"/>
        <color rgb="FF1155CC"/>
        <sz val="11.0"/>
        <u/>
      </rPr>
      <t>素材一覧</t>
    </r>
  </si>
  <si>
    <r>
      <rPr>
        <rFont val="Verdana"/>
        <color rgb="FF1155CC"/>
        <sz val="11.0"/>
        <u/>
      </rPr>
      <t>素材一覧</t>
    </r>
  </si>
  <si>
    <t>Ranmaru with a Lantern</t>
  </si>
  <si>
    <r>
      <rPr>
        <rFont val="Verdana"/>
        <color rgb="FF1155CC"/>
        <sz val="11.0"/>
        <u/>
      </rPr>
      <t>素材一覧</t>
    </r>
  </si>
  <si>
    <r>
      <rPr>
        <rFont val="Verdana"/>
        <color rgb="FF1155CC"/>
        <sz val="11.0"/>
        <u/>
      </rPr>
      <t>素材一覧</t>
    </r>
  </si>
  <si>
    <r>
      <rPr>
        <rFont val="Verdana"/>
        <color rgb="FF1155CC"/>
        <sz val="11.0"/>
        <u/>
      </rPr>
      <t>素材一覧</t>
    </r>
  </si>
  <si>
    <t>Keiji with a Lantern</t>
  </si>
  <si>
    <r>
      <rPr>
        <rFont val="Verdana"/>
        <color rgb="FF1155CC"/>
        <sz val="11.0"/>
        <u/>
      </rPr>
      <t>素材一覧</t>
    </r>
  </si>
  <si>
    <r>
      <rPr>
        <rFont val="Verdana"/>
        <color rgb="FF1155CC"/>
        <sz val="11.0"/>
        <u/>
      </rPr>
      <t>素材一覧</t>
    </r>
  </si>
  <si>
    <r>
      <rPr>
        <rFont val="Verdana"/>
        <color rgb="FF1155CC"/>
        <sz val="11.0"/>
        <u/>
      </rPr>
      <t>素材一覧</t>
    </r>
  </si>
  <si>
    <r>
      <rPr>
        <rFont val="Verdana"/>
        <color rgb="FF1155CC"/>
        <sz val="11.0"/>
        <u/>
      </rPr>
      <t>素材一覧</t>
    </r>
  </si>
  <si>
    <t>https://common-legacy-app-admin.us.ikemen-sengoku.jp/admin/avatar/item?item_category_cd=&amp;item_name=Nine-Tailed+Fox</t>
  </si>
  <si>
    <r>
      <rPr>
        <rFont val="Verdana"/>
        <color rgb="FF1155CC"/>
        <sz val="11.0"/>
        <u/>
      </rPr>
      <t>素材一覧</t>
    </r>
  </si>
  <si>
    <r>
      <rPr>
        <rFont val="Verdana"/>
        <color rgb="FF1155CC"/>
        <sz val="11.0"/>
        <u/>
      </rPr>
      <t>素材一覧</t>
    </r>
  </si>
  <si>
    <r>
      <rPr>
        <rFont val="Verdana"/>
        <color rgb="FF1155CC"/>
        <sz val="11.0"/>
        <u/>
      </rPr>
      <t>素材一覧</t>
    </r>
  </si>
  <si>
    <r>
      <rPr>
        <rFont val="Verdana"/>
        <color rgb="FF1155CC"/>
        <sz val="11.0"/>
        <u/>
      </rPr>
      <t>素材一覧</t>
    </r>
  </si>
  <si>
    <r>
      <rPr>
        <rFont val="Verdana"/>
        <color rgb="FF1155CC"/>
        <sz val="11.0"/>
        <u/>
      </rPr>
      <t>素材一覧</t>
    </r>
  </si>
  <si>
    <r>
      <rPr>
        <rFont val="Verdana"/>
        <color rgb="FF1155CC"/>
        <sz val="11.0"/>
        <u/>
      </rPr>
      <t>素材一覧</t>
    </r>
  </si>
  <si>
    <t>https://common-legacy-app-admin.us.ikemen-sengoku.jp/admin/avatar/item?item_category_cd=&amp;item_name=Blue+Anemone+Hair+Clip</t>
  </si>
  <si>
    <t>キャラ</t>
  </si>
  <si>
    <t>角色</t>
  </si>
  <si>
    <t>カード情報</t>
  </si>
  <si>
    <t>スチル / 彼カード画像が表示されているか</t>
  </si>
  <si>
    <t>CG/ 武將卡圖片是否顯示</t>
  </si>
  <si>
    <t>管理ツール
マスタ管理＞思い出スチル管理</t>
  </si>
  <si>
    <t>保存先キャラが右記の通り設定されているか</t>
  </si>
  <si>
    <t>管理工具
主數據管理 &gt; 回憶繪卷 (Still) 管理</t>
  </si>
  <si>
    <t>保存目標角色是否如右方所示設定</t>
  </si>
  <si>
    <t>ー</t>
  </si>
  <si>
    <t>タイトルが右記の通り設定されているか</t>
  </si>
  <si>
    <t>標題是否如右方所示設定</t>
  </si>
  <si>
    <t>カテゴリが右記の通り設定されているか</t>
  </si>
  <si>
    <t>仕様書と管理ツールの表記が一致していないため、以下を参照しながら確認する
▼横カード
【管理TOP】
・カテゴリ：スチル
【該当カード＞編集】
・スチルの種類設定：武将カード（彼部屋）
・彼部屋カテゴリー：スチル
▼縦カード
【管理TOP】
カテゴリ：縦カードその他
【該当カード＞編集】
・スチルの種類設定：武将カード（彼部屋）
・彼部屋カテゴリー：縦カードその他
▼スチル
【管理TOP】
カテゴリ：縦カードその他
【該当カード＞編集】
・スチルの種類設定：通常スチル
・彼部屋カテゴリー：縦カードその他</t>
  </si>
  <si>
    <t>公開開始日期時間是否按右側所示設定</t>
  </si>
  <si>
    <t>類別 (Category) 是否如右方所示設定</t>
  </si>
  <si>
    <t>保存先キャラが左記の通り設定されているか</t>
  </si>
  <si>
    <t>タイトルが左記の通り設定されているか</t>
  </si>
  <si>
    <t>カテゴリが左記の通り設定されているか</t>
  </si>
  <si>
    <t>公開開始日時が左記の通り設定されているか</t>
  </si>
  <si>
    <t>https://common-legacy-app-admin.us.ikemen-sengoku.jp/admin/still</t>
  </si>
  <si>
    <t>Mystic Matrimony ~</t>
  </si>
  <si>
    <t>still_cd</t>
  </si>
  <si>
    <t>キャラ名
スチル名</t>
  </si>
  <si>
    <t>Character Name</t>
  </si>
  <si>
    <t>Card Name</t>
  </si>
  <si>
    <t>イベント名
説明</t>
  </si>
  <si>
    <t>eye_off</t>
  </si>
  <si>
    <t>eye_on</t>
  </si>
  <si>
    <t>武将
カード</t>
  </si>
  <si>
    <t>カテゴリ</t>
  </si>
  <si>
    <t>ボイスID</t>
  </si>
  <si>
    <t>同時付与
カード</t>
  </si>
  <si>
    <t>本編スチル
表示順</t>
  </si>
  <si>
    <t>表示期間</t>
  </si>
  <si>
    <t>Masamune
Mystic Matrimony ~Masamune~</t>
  </si>
  <si>
    <t>Mystic Matrimony ~Masamune~</t>
  </si>
  <si>
    <t>○</t>
  </si>
  <si>
    <t>縦カード
その他</t>
  </si>
  <si>
    <t>-</t>
  </si>
  <si>
    <t>2026/02/21
指定なし</t>
  </si>
  <si>
    <t>2026/02/21 17:00:00</t>
  </si>
  <si>
    <t>Nobunaga
Mystic Matrimony ~Nobunaga~</t>
  </si>
  <si>
    <t>Mystic Matrimony ~Nobunaga~</t>
  </si>
  <si>
    <t>Kanetsugu
Mystic Matrimony ~Kanetsugu~</t>
  </si>
  <si>
    <t>Mystic Matrimony ~Kanetsugu~</t>
  </si>
  <si>
    <t>Kicho
Mystic Matrimony ~Kicho~</t>
  </si>
  <si>
    <t>Mystic Matrimony ~Kicho~</t>
  </si>
  <si>
    <t>Motonari
Mystic Matrimony ~Motonari~</t>
  </si>
  <si>
    <t>Mystic Matrimony ~Motonari~</t>
  </si>
  <si>
    <t>Yoshimoto
Mystic Matrimony ~Yoshimoto~</t>
  </si>
  <si>
    <t>セット名</t>
  </si>
  <si>
    <t>禮包名稱</t>
  </si>
  <si>
    <t>日時 / 訴求文言 / 説明文 / 内容物</t>
  </si>
  <si>
    <t>個数 / 価格</t>
  </si>
  <si>
    <t>Table</t>
  </si>
  <si>
    <t>Column1</t>
  </si>
  <si>
    <t>Result1</t>
  </si>
  <si>
    <t>Column2</t>
  </si>
  <si>
    <t>Result2</t>
  </si>
  <si>
    <t>セット販売全体</t>
  </si>
  <si>
    <t>管理ツール
セット販売管理</t>
  </si>
  <si>
    <t>販売開始日時が右記の通り設定されているか</t>
  </si>
  <si>
    <t>禮包販售整體</t>
  </si>
  <si>
    <t>管理工具
禮包販售管理</t>
  </si>
  <si>
    <t>販售開始日期/時間是否如右方所示設定</t>
  </si>
  <si>
    <t>販売終了日時が右記の通り設定されているか</t>
  </si>
  <si>
    <t>販售結束日期/時間是否如右方所示設定</t>
  </si>
  <si>
    <t>セット販売画面</t>
  </si>
  <si>
    <t>画面内に日本語が残っていないか</t>
  </si>
  <si>
    <t>禮包販售畫面</t>
  </si>
  <si>
    <t>畫面內是否沒有殘留日文</t>
  </si>
  <si>
    <t>セット販売管理＞該当セット</t>
  </si>
  <si>
    <t>禮包販售管理＞該禮包</t>
  </si>
  <si>
    <t>item_mst!I4:R</t>
  </si>
  <si>
    <t>セット名が右記の通り設定されているか</t>
  </si>
  <si>
    <t>禮包名稱是否如右方所示設定</t>
  </si>
  <si>
    <t>set_list!A5:F</t>
  </si>
  <si>
    <t>購入制限が右記の通り設定されているか</t>
  </si>
  <si>
    <t>購買限制是否如右方所示設定</t>
  </si>
  <si>
    <t>説明文が右記の通り設定されているか</t>
  </si>
  <si>
    <t>說明文是否如右方所示設定</t>
  </si>
  <si>
    <t>Only 100 Coins! Don't miss out on this super discounted set!
*The Limited Items will disappear from your Present Box when the event is over.</t>
  </si>
  <si>
    <r>
      <rPr>
        <rFont val="Calibri"/>
        <color rgb="FF1155CC"/>
        <sz val="11.0"/>
        <u/>
      </rPr>
      <t>https://redmine.ls.aws.cybird.ne.jp/issues/313501</t>
    </r>
  </si>
  <si>
    <t>内容物(アイテム名・個数・サムネ)が正しいか</t>
  </si>
  <si>
    <t>內容物（道具名稱・數量・縮圖）是否正確</t>
  </si>
  <si>
    <t>set_list!B5:F</t>
  </si>
  <si>
    <t>セットサムネ画像が表示されているか</t>
  </si>
  <si>
    <t>禮包縮圖是否正常顯示</t>
  </si>
  <si>
    <t>販売価格が右記の通りか</t>
  </si>
  <si>
    <t>販售價格是否如右方所示</t>
  </si>
  <si>
    <t>shop_item!A5:K</t>
  </si>
  <si>
    <t>セットを購入することができるか</t>
  </si>
  <si>
    <t>是否可以購買該禮包</t>
  </si>
  <si>
    <t>購入後、アイテムが受取箱に付与されているか</t>
  </si>
  <si>
    <t>購買後，道具是否有發送到領取箱</t>
  </si>
  <si>
    <t>活動限定道具的領取期限是否為活動結束日期/時間</t>
  </si>
  <si>
    <r>
      <rPr>
        <rFont val="微軟正黑體"/>
        <color theme="1"/>
        <sz val="9.0"/>
      </rPr>
      <t>通常アイテムは無期限</t>
    </r>
    <r>
      <rPr>
        <rFont val="Arial"/>
        <color theme="1"/>
        <sz val="9.0"/>
      </rPr>
      <t xml:space="preserve"> (N/A) </t>
    </r>
    <r>
      <rPr>
        <rFont val="微軟正黑體"/>
        <color theme="1"/>
        <sz val="9.0"/>
      </rPr>
      <t>一般道具無期限</t>
    </r>
  </si>
  <si>
    <t>32% OFF!
Tons of useful items &amp; great discounts!
*The Limited Items will disappear from your Present Box when the event is over.</t>
  </si>
  <si>
    <t>2026/2/10 驗證單配置資料與後台不符，驗證單資料多 "Special obi and Kimono included!"</t>
  </si>
  <si>
    <t>通常アイテムは無期限</t>
  </si>
  <si>
    <t>Limited 2 per Player! 
Available for the first 72 hours of the event!
*The Limited Items will disappear from your Present Box when the event is over.</t>
  </si>
  <si>
    <t>Only 24 hours left! Reach your goal with this special set!
*The Limited Items will disappear from your Present Box when the event is over.</t>
  </si>
  <si>
    <t>Limited to 3 per each Lucky Time! Get 20 Chapter Tickets at a great discount!
*The Limited Chapter Tickets will disappear from your Present Box when the event is over.</t>
  </si>
  <si>
    <t>Limited to 3 per each Lucky Time! Chock full of stamina items to help you during Princess Lessons!
*The Shaved Ice will disappear from your Present Box when the event is over.</t>
  </si>
  <si>
    <t>2026/2/10 驗證單配置資料與後台不符</t>
  </si>
  <si>
    <t>【Limited to 1 per Player】
*The Limited Items will disappear from your Present Box when the event is over.</t>
  </si>
  <si>
    <t>Get all the help you need with this set, full of Perfume and Chapter Tickets!
*The Limited Chapter Tickets will disappear from your Present Box when the event is over.</t>
  </si>
  <si>
    <t>Get all the stamina items you need during Princess Lessons!
*The Limited Items will disappear from your Present Box when the event is over.</t>
  </si>
  <si>
    <t>Perfect if you need a little boost!
*The Limited Chapter Tickets will disappear from your Present Box when the event is over.</t>
  </si>
  <si>
    <t>コレクトアイテム単品</t>
  </si>
  <si>
    <t>收集道具單售</t>
  </si>
  <si>
    <t>アイテム名が右記の通り設定されているか</t>
  </si>
  <si>
    <t>Mystic Matrimony★Hearts (for Coins)</t>
  </si>
  <si>
    <r>
      <rPr>
        <rFont val="Microsoft JhengHei"/>
        <color theme="1"/>
        <sz val="9.0"/>
      </rPr>
      <t>道具</t>
    </r>
    <r>
      <rPr>
        <rFont val="微軟正黑體"/>
        <color theme="1"/>
        <sz val="9.0"/>
      </rPr>
      <t>縮圖是否正常顯示</t>
    </r>
  </si>
  <si>
    <t>アイテムを購入することができるか</t>
  </si>
  <si>
    <t>是否可以購買該道具</t>
  </si>
  <si>
    <t>受取期限がイベント終了日時になっているか</t>
  </si>
  <si>
    <t>Mystic Matrimony★Hearts (for Gold)</t>
  </si>
  <si>
    <r>
      <rPr>
        <rFont val="Microsoft JhengHei"/>
        <color theme="1"/>
        <sz val="9.0"/>
      </rPr>
      <t>道具</t>
    </r>
    <r>
      <rPr>
        <rFont val="微軟正黑體"/>
        <color theme="1"/>
        <sz val="9.0"/>
      </rPr>
      <t>縮圖是否正常顯示</t>
    </r>
  </si>
  <si>
    <t>購買限制是否按右側設定</t>
  </si>
  <si>
    <t>1つ購入し、購入上限数が変化しているか確認する</t>
  </si>
  <si>
    <t>https://common-legacy-app-admin.us.ikemen-sengoku.jp/admin/combinedsale/item/843</t>
  </si>
  <si>
    <t>ID / コード</t>
  </si>
  <si>
    <t>Database ID</t>
  </si>
  <si>
    <t>Code Name</t>
  </si>
  <si>
    <t>セットサムネイル</t>
  </si>
  <si>
    <t>アイテムコード : 名称</t>
  </si>
  <si>
    <t>set ID</t>
  </si>
  <si>
    <t>set Name</t>
  </si>
  <si>
    <t>セット
編集※</t>
  </si>
  <si>
    <t>ID only</t>
  </si>
  <si>
    <t>購入
制限</t>
  </si>
  <si>
    <t>limit</t>
  </si>
  <si>
    <t>順番</t>
  </si>
  <si>
    <t>詳細
画像</t>
  </si>
  <si>
    <t>タイプ</t>
  </si>
  <si>
    <t>セット販売
アイテム情報</t>
  </si>
  <si>
    <t>セット販売
アイテム詳細</t>
  </si>
  <si>
    <t>アイテムマスタ
開始時刻
(itemMst)</t>
  </si>
  <si>
    <t>アイテムマスタ
終了時刻
(itemMst)</t>
  </si>
  <si>
    <t>ショップマスタ
開始時刻
(shopItemMst)</t>
  </si>
  <si>
    <t>ショップマスタ
終了時刻
(shopItemMst)</t>
  </si>
  <si>
    <t>セットアイテムマスタ
開始時刻
(combinedsaleItemMst)</t>
  </si>
  <si>
    <t>セットアイテムマスタ
終了時刻
(combinedsaleItemMst)</t>
  </si>
  <si>
    <t>76615/csit00843_1</t>
  </si>
  <si>
    <r>
      <rPr>
        <rFont val="Verdana"/>
        <color rgb="FF1155CC"/>
        <sz val="11.0"/>
        <u/>
      </rPr>
      <t>set_0843001 : Mystic Matrimony◆100 Coin Set</t>
    </r>
  </si>
  <si>
    <t>ID: 13402</t>
  </si>
  <si>
    <t>nml</t>
  </si>
  <si>
    <r>
      <rPr>
        <rFont val="Verdana"/>
        <color rgb="FF1155CC"/>
        <sz val="11.0"/>
        <u/>
      </rPr>
      <t>編集</t>
    </r>
  </si>
  <si>
    <r>
      <rPr>
        <rFont val="Verdana"/>
        <color rgb="FF1155CC"/>
        <sz val="11.0"/>
        <u/>
      </rPr>
      <t>編集</t>
    </r>
  </si>
  <si>
    <t>76616/csit00843_2</t>
  </si>
  <si>
    <r>
      <rPr>
        <rFont val="Verdana"/>
        <color rgb="FF1155CC"/>
        <sz val="11.0"/>
        <u/>
      </rPr>
      <t>set_0843002 : Mystic Matrimony◆Special Set</t>
    </r>
  </si>
  <si>
    <r>
      <rPr>
        <rFont val="Verdana"/>
        <color rgb="FF1155CC"/>
        <sz val="11.0"/>
        <u/>
      </rPr>
      <t>ID: 13403</t>
    </r>
  </si>
  <si>
    <r>
      <rPr>
        <rFont val="Verdana"/>
        <color rgb="FF1155CC"/>
        <sz val="11.0"/>
        <u/>
      </rPr>
      <t>編集</t>
    </r>
  </si>
  <si>
    <r>
      <rPr>
        <rFont val="Verdana"/>
        <color rgb="FF1155CC"/>
        <sz val="11.0"/>
        <u/>
      </rPr>
      <t>編集</t>
    </r>
  </si>
  <si>
    <t>76617/csit00843_3</t>
  </si>
  <si>
    <r>
      <rPr>
        <rFont val="Verdana"/>
        <color rgb="FF1155CC"/>
        <sz val="11.0"/>
        <u/>
      </rPr>
      <t>set_0843003 : Mystic Matrimony◆Early Bird Set</t>
    </r>
  </si>
  <si>
    <r>
      <rPr>
        <rFont val="Verdana"/>
        <color rgb="FF1155CC"/>
        <sz val="11.0"/>
        <u/>
      </rPr>
      <t>ID: 13404</t>
    </r>
  </si>
  <si>
    <r>
      <rPr>
        <rFont val="Verdana"/>
        <color rgb="FF1155CC"/>
        <sz val="11.0"/>
        <u/>
      </rPr>
      <t>編集</t>
    </r>
  </si>
  <si>
    <r>
      <rPr>
        <rFont val="Verdana"/>
        <color rgb="FF1155CC"/>
        <sz val="11.0"/>
        <u/>
      </rPr>
      <t>編集</t>
    </r>
  </si>
  <si>
    <t>76618/csit00843_4</t>
  </si>
  <si>
    <r>
      <rPr>
        <rFont val="Verdana"/>
        <color rgb="FF1155CC"/>
        <sz val="11.0"/>
        <u/>
      </rPr>
      <t>set_0843004 : Mystic Matrimony◆Last Dash Set</t>
    </r>
  </si>
  <si>
    <r>
      <rPr>
        <rFont val="Verdana"/>
        <color rgb="FF1155CC"/>
        <sz val="11.0"/>
        <u/>
      </rPr>
      <t>ID: 13405</t>
    </r>
  </si>
  <si>
    <t>3個</t>
  </si>
  <si>
    <r>
      <rPr>
        <rFont val="Verdana"/>
        <color rgb="FF1155CC"/>
        <sz val="11.0"/>
        <u/>
      </rPr>
      <t>編集</t>
    </r>
  </si>
  <si>
    <r>
      <rPr>
        <rFont val="Verdana"/>
        <color rgb="FF1155CC"/>
        <sz val="11.0"/>
        <u/>
      </rPr>
      <t>編集</t>
    </r>
  </si>
  <si>
    <t>76619/csit00843_5</t>
  </si>
  <si>
    <r>
      <rPr>
        <rFont val="Verdana"/>
        <color rgb="FF1155CC"/>
        <sz val="11.0"/>
        <u/>
      </rPr>
      <t>set_0843005 : Mystic Matrimony◆Lucky Story Set</t>
    </r>
  </si>
  <si>
    <r>
      <rPr>
        <rFont val="Verdana"/>
        <color rgb="FF1155CC"/>
        <sz val="11.0"/>
        <u/>
      </rPr>
      <t>ID: 13406</t>
    </r>
  </si>
  <si>
    <r>
      <rPr>
        <rFont val="Verdana"/>
        <color rgb="FF1155CC"/>
        <sz val="11.0"/>
        <u/>
      </rPr>
      <t>編集</t>
    </r>
  </si>
  <si>
    <r>
      <rPr>
        <rFont val="Verdana"/>
        <color rgb="FF1155CC"/>
        <sz val="11.0"/>
        <u/>
      </rPr>
      <t>編集</t>
    </r>
  </si>
  <si>
    <t>76620/csit00843_6</t>
  </si>
  <si>
    <r>
      <rPr>
        <rFont val="Verdana"/>
        <color rgb="FF1155CC"/>
        <sz val="11.0"/>
        <u/>
      </rPr>
      <t>set_0843006 : Mystic Matrimony◆Lucky Lesson Set</t>
    </r>
  </si>
  <si>
    <r>
      <rPr>
        <rFont val="Verdana"/>
        <color rgb="FF1155CC"/>
        <sz val="11.0"/>
        <u/>
      </rPr>
      <t>ID: 13407</t>
    </r>
  </si>
  <si>
    <r>
      <rPr>
        <rFont val="Verdana"/>
        <color rgb="FF1155CC"/>
        <sz val="11.0"/>
        <u/>
      </rPr>
      <t>編集</t>
    </r>
  </si>
  <si>
    <r>
      <rPr>
        <rFont val="Verdana"/>
        <color rgb="FF1155CC"/>
        <sz val="11.0"/>
        <u/>
      </rPr>
      <t>編集</t>
    </r>
  </si>
  <si>
    <t>76621/csit00843_7</t>
  </si>
  <si>
    <r>
      <rPr>
        <rFont val="Verdana"/>
        <color rgb="FF1155CC"/>
        <sz val="11.0"/>
        <u/>
      </rPr>
      <t>set_0843007 : Mystic Matrimony◆Lucky Story Set</t>
    </r>
  </si>
  <si>
    <r>
      <rPr>
        <rFont val="Verdana"/>
        <color rgb="FF1155CC"/>
        <sz val="11.0"/>
        <u/>
      </rPr>
      <t>ID: 13408</t>
    </r>
  </si>
  <si>
    <r>
      <rPr>
        <rFont val="Verdana"/>
        <color rgb="FF1155CC"/>
        <sz val="11.0"/>
        <u/>
      </rPr>
      <t>編集</t>
    </r>
  </si>
  <si>
    <r>
      <rPr>
        <rFont val="Verdana"/>
        <color rgb="FF1155CC"/>
        <sz val="11.0"/>
        <u/>
      </rPr>
      <t>編集</t>
    </r>
  </si>
  <si>
    <t>76622/csit00843_8</t>
  </si>
  <si>
    <r>
      <rPr>
        <rFont val="Verdana"/>
        <color rgb="FF1155CC"/>
        <sz val="11.0"/>
        <u/>
      </rPr>
      <t>set_0843008 : Mystic Matrimony◆Lucky Story Set</t>
    </r>
  </si>
  <si>
    <r>
      <rPr>
        <rFont val="Verdana"/>
        <color rgb="FF1155CC"/>
        <sz val="11.0"/>
        <u/>
      </rPr>
      <t>ID: 13409</t>
    </r>
  </si>
  <si>
    <r>
      <rPr>
        <rFont val="Verdana"/>
        <color rgb="FF1155CC"/>
        <sz val="11.0"/>
        <u/>
      </rPr>
      <t>編集</t>
    </r>
  </si>
  <si>
    <r>
      <rPr>
        <rFont val="Verdana"/>
        <color rgb="FF1155CC"/>
        <sz val="11.0"/>
        <u/>
      </rPr>
      <t>編集</t>
    </r>
  </si>
  <si>
    <t>76623/csit00843_9</t>
  </si>
  <si>
    <r>
      <rPr>
        <rFont val="Verdana"/>
        <color rgb="FF1155CC"/>
        <sz val="11.0"/>
        <u/>
      </rPr>
      <t>set_0843009 : Mystic Matrimony◆Lucky Lesson Set</t>
    </r>
  </si>
  <si>
    <r>
      <rPr>
        <rFont val="Verdana"/>
        <color rgb="FF1155CC"/>
        <sz val="11.0"/>
        <u/>
      </rPr>
      <t>ID: 13410</t>
    </r>
  </si>
  <si>
    <r>
      <rPr>
        <rFont val="Verdana"/>
        <color rgb="FF1155CC"/>
        <sz val="11.0"/>
        <u/>
      </rPr>
      <t>編集</t>
    </r>
  </si>
  <si>
    <r>
      <rPr>
        <rFont val="Verdana"/>
        <color rgb="FF1155CC"/>
        <sz val="11.0"/>
        <u/>
      </rPr>
      <t>編集</t>
    </r>
  </si>
  <si>
    <t>76624/csit00843_10</t>
  </si>
  <si>
    <r>
      <rPr>
        <rFont val="Verdana"/>
        <color rgb="FF1155CC"/>
        <sz val="11.0"/>
        <u/>
      </rPr>
      <t>set_0843010 : Mystic Matrimony◆Lucky Story Set</t>
    </r>
  </si>
  <si>
    <r>
      <rPr>
        <rFont val="Verdana"/>
        <color rgb="FF1155CC"/>
        <sz val="11.0"/>
        <u/>
      </rPr>
      <t>ID: 13411</t>
    </r>
  </si>
  <si>
    <r>
      <rPr>
        <rFont val="Verdana"/>
        <color rgb="FF1155CC"/>
        <sz val="11.0"/>
        <u/>
      </rPr>
      <t>編集</t>
    </r>
  </si>
  <si>
    <r>
      <rPr>
        <rFont val="Verdana"/>
        <color rgb="FF1155CC"/>
        <sz val="11.0"/>
        <u/>
      </rPr>
      <t>編集</t>
    </r>
  </si>
  <si>
    <t>76625/csit00843_11</t>
  </si>
  <si>
    <r>
      <rPr>
        <rFont val="Verdana"/>
        <color rgb="FF1155CC"/>
        <sz val="11.0"/>
        <u/>
      </rPr>
      <t>set_0843011 : Mystic Matrimony◆Mini Warlord Set A</t>
    </r>
  </si>
  <si>
    <r>
      <rPr>
        <rFont val="Verdana"/>
        <color rgb="FF1155CC"/>
        <sz val="11.0"/>
        <u/>
      </rPr>
      <t>ID: 13412</t>
    </r>
  </si>
  <si>
    <r>
      <rPr>
        <rFont val="Verdana"/>
        <color rgb="FF1155CC"/>
        <sz val="11.0"/>
        <u/>
      </rPr>
      <t>編集</t>
    </r>
  </si>
  <si>
    <r>
      <rPr>
        <rFont val="Verdana"/>
        <color rgb="FF1155CC"/>
        <sz val="11.0"/>
        <u/>
      </rPr>
      <t>編集</t>
    </r>
  </si>
  <si>
    <t>76626/csit00843_12</t>
  </si>
  <si>
    <r>
      <rPr>
        <rFont val="Verdana"/>
        <color rgb="FF1155CC"/>
        <sz val="11.0"/>
        <u/>
      </rPr>
      <t>set_0843012 : Mystic Matrimony◆Mini Warlord Set B</t>
    </r>
  </si>
  <si>
    <r>
      <rPr>
        <rFont val="Verdana"/>
        <color rgb="FF1155CC"/>
        <sz val="11.0"/>
        <u/>
      </rPr>
      <t>ID: 13413</t>
    </r>
  </si>
  <si>
    <r>
      <rPr>
        <rFont val="Verdana"/>
        <color rgb="FF1155CC"/>
        <sz val="11.0"/>
        <u/>
      </rPr>
      <t>編集</t>
    </r>
  </si>
  <si>
    <r>
      <rPr>
        <rFont val="Verdana"/>
        <color rgb="FF1155CC"/>
        <sz val="11.0"/>
        <u/>
      </rPr>
      <t>編集</t>
    </r>
  </si>
  <si>
    <t>76627/csit00843_13</t>
  </si>
  <si>
    <r>
      <rPr>
        <rFont val="Verdana"/>
        <color rgb="FF1155CC"/>
        <sz val="11.0"/>
        <u/>
      </rPr>
      <t>set_0843013 : Mystic Matrimony◆Mini Warlord Set C</t>
    </r>
  </si>
  <si>
    <r>
      <rPr>
        <rFont val="Verdana"/>
        <color rgb="FF1155CC"/>
        <sz val="11.0"/>
        <u/>
      </rPr>
      <t>ID: 13414</t>
    </r>
  </si>
  <si>
    <r>
      <rPr>
        <rFont val="Verdana"/>
        <color rgb="FF1155CC"/>
        <sz val="11.0"/>
        <u/>
      </rPr>
      <t>編集</t>
    </r>
  </si>
  <si>
    <r>
      <rPr>
        <rFont val="Verdana"/>
        <color rgb="FF1155CC"/>
        <sz val="11.0"/>
        <u/>
      </rPr>
      <t>編集</t>
    </r>
  </si>
  <si>
    <t>76628/csit00843_14</t>
  </si>
  <si>
    <r>
      <rPr>
        <rFont val="Verdana"/>
        <color rgb="FF1155CC"/>
        <sz val="11.0"/>
        <u/>
      </rPr>
      <t>set_0843014 : Back Again! Demon of My Dreams◆Story Set</t>
    </r>
  </si>
  <si>
    <r>
      <rPr>
        <rFont val="Verdana"/>
        <color rgb="FF1155CC"/>
        <sz val="11.0"/>
        <u/>
      </rPr>
      <t>ID: 13415</t>
    </r>
  </si>
  <si>
    <r>
      <rPr>
        <rFont val="Verdana"/>
        <color rgb="FF1155CC"/>
        <sz val="11.0"/>
        <u/>
      </rPr>
      <t>編集</t>
    </r>
  </si>
  <si>
    <r>
      <rPr>
        <rFont val="Verdana"/>
        <color rgb="FF1155CC"/>
        <sz val="11.0"/>
        <u/>
      </rPr>
      <t>編集</t>
    </r>
  </si>
  <si>
    <t>76629/csit00843_15</t>
  </si>
  <si>
    <r>
      <rPr>
        <rFont val="Verdana"/>
        <color rgb="FF1155CC"/>
        <sz val="11.0"/>
        <u/>
      </rPr>
      <t>set_0843015 : Mystic Matrimony◆Story Set</t>
    </r>
  </si>
  <si>
    <r>
      <rPr>
        <rFont val="Verdana"/>
        <color rgb="FF1155CC"/>
        <sz val="11.0"/>
        <u/>
      </rPr>
      <t>ID: 13416</t>
    </r>
  </si>
  <si>
    <t>999個</t>
  </si>
  <si>
    <r>
      <rPr>
        <rFont val="Verdana"/>
        <color rgb="FF1155CC"/>
        <sz val="11.0"/>
        <u/>
      </rPr>
      <t>編集</t>
    </r>
  </si>
  <si>
    <r>
      <rPr>
        <rFont val="Verdana"/>
        <color rgb="FF1155CC"/>
        <sz val="11.0"/>
        <u/>
      </rPr>
      <t>編集</t>
    </r>
  </si>
  <si>
    <t>76630/csit00843_16</t>
  </si>
  <si>
    <r>
      <rPr>
        <rFont val="Verdana"/>
        <color rgb="FF1155CC"/>
        <sz val="11.0"/>
        <u/>
      </rPr>
      <t>set_0843016 : Mystic Matrimony◆Shaved Ice Set</t>
    </r>
  </si>
  <si>
    <r>
      <rPr>
        <rFont val="Verdana"/>
        <color rgb="FF1155CC"/>
        <sz val="11.0"/>
        <u/>
      </rPr>
      <t>ID: 13417</t>
    </r>
  </si>
  <si>
    <r>
      <rPr>
        <rFont val="Verdana"/>
        <color rgb="FF1155CC"/>
        <sz val="11.0"/>
        <u/>
      </rPr>
      <t>編集</t>
    </r>
  </si>
  <si>
    <r>
      <rPr>
        <rFont val="Verdana"/>
        <color rgb="FF1155CC"/>
        <sz val="11.0"/>
        <u/>
      </rPr>
      <t>編集</t>
    </r>
  </si>
  <si>
    <t>76631/csit00843_17</t>
  </si>
  <si>
    <r>
      <rPr>
        <rFont val="Verdana"/>
        <color rgb="FF1155CC"/>
        <sz val="11.0"/>
        <u/>
      </rPr>
      <t>set_0843017 : Mystic Matrimony◆Story Set Mini</t>
    </r>
  </si>
  <si>
    <r>
      <rPr>
        <rFont val="Verdana"/>
        <color rgb="FF1155CC"/>
        <sz val="11.0"/>
        <u/>
      </rPr>
      <t>ID: 13418</t>
    </r>
  </si>
  <si>
    <r>
      <rPr>
        <rFont val="Verdana"/>
        <color rgb="FF1155CC"/>
        <sz val="11.0"/>
        <u/>
      </rPr>
      <t>編集</t>
    </r>
  </si>
  <si>
    <r>
      <rPr>
        <rFont val="Verdana"/>
        <color rgb="FF1155CC"/>
        <sz val="11.0"/>
        <u/>
      </rPr>
      <t>編集</t>
    </r>
  </si>
  <si>
    <t>https://common-legacy-app-admin.us.ikemen-sengoku.jp/admin/itemtrial/set_list/</t>
  </si>
  <si>
    <t>set Group</t>
  </si>
  <si>
    <t>セットアイテム種別</t>
  </si>
  <si>
    <t>アイテム名</t>
  </si>
  <si>
    <t>プレゼント</t>
  </si>
  <si>
    <t>Hearts</t>
  </si>
  <si>
    <t>Mystic Matrimony◆100 Coin Set</t>
  </si>
  <si>
    <t>Mystic Matrimony◆Special Set</t>
  </si>
  <si>
    <t>Mystic Matrimony◆Early Bird Set</t>
  </si>
  <si>
    <t>Mystic Matrimony◆Last Dash Set</t>
  </si>
  <si>
    <t>Mystic Matrimony◆Lucky Story Set</t>
  </si>
  <si>
    <t>Mystic Matrimony◆Lucky Lesson Set</t>
  </si>
  <si>
    <t>Mystic Matrimony◆Mini Warlord Set A</t>
  </si>
  <si>
    <t>Mystic Matrimony◆Mini Warlord Set B</t>
  </si>
  <si>
    <t>Mystic Matrimony◆Mini Warlord Set C</t>
  </si>
  <si>
    <t>特別ストーリー</t>
  </si>
  <si>
    <t>Demon of My Dreams (Kanetsugu)</t>
  </si>
  <si>
    <t>Mystic Matrimony◆Story Set</t>
  </si>
  <si>
    <t>Perfume (+3000 Grace)</t>
  </si>
  <si>
    <t>Mystic Matrimony◆Shaved Ice Set</t>
  </si>
  <si>
    <t>Mystic Matrimony◆Story Set Mini</t>
  </si>
  <si>
    <t>Perfume (+1000 Grace)</t>
  </si>
  <si>
    <t>2000 Gold</t>
  </si>
  <si>
    <t>https://common-legacy-app-admin.us.ikemen-sengoku.jp/admin/shopitem?item_name=Mystic+Matrimony</t>
  </si>
  <si>
    <t>ショップアイテム
カテゴリー</t>
  </si>
  <si>
    <t>商品名</t>
  </si>
  <si>
    <t>販売
個数</t>
  </si>
  <si>
    <t>価格(C)</t>
  </si>
  <si>
    <t>価格(P)</t>
  </si>
  <si>
    <t>販売開始</t>
  </si>
  <si>
    <t>販売終了</t>
  </si>
  <si>
    <t>その他</t>
  </si>
  <si>
    <t>セット販売</t>
  </si>
  <si>
    <t>集計</t>
  </si>
  <si>
    <t>エンフラ・バナー</t>
  </si>
  <si>
    <t>本編促進</t>
  </si>
  <si>
    <t>特典</t>
  </si>
  <si>
    <t>コレクション特典</t>
  </si>
  <si>
    <t>フィーバー</t>
  </si>
  <si>
    <t>ストーリー</t>
  </si>
  <si>
    <t>新規アバター</t>
  </si>
  <si>
    <t>新規武将カード・スチル</t>
  </si>
  <si>
    <t>合計</t>
  </si>
  <si>
    <t>今回の変更点/調整点</t>
  </si>
  <si>
    <t>施策名</t>
  </si>
  <si>
    <t>種別</t>
  </si>
  <si>
    <t>名称</t>
  </si>
  <si>
    <t>あやかし恋遊戯</t>
  </si>
  <si>
    <t>省略Ver</t>
  </si>
  <si>
    <t>開催期間</t>
  </si>
  <si>
    <t>バナーキャプション</t>
  </si>
  <si>
    <t>バナー表示箇所</t>
  </si>
  <si>
    <t>イベント開催期間</t>
  </si>
  <si>
    <t>The only thing left to do, is to fall head over heels…</t>
  </si>
  <si>
    <t>応援セット</t>
  </si>
  <si>
    <t>ショップ</t>
  </si>
  <si>
    <t>ランキング表示期間</t>
  </si>
  <si>
    <t>Check your Ranking!</t>
  </si>
  <si>
    <t>イベント一覧</t>
  </si>
  <si>
    <t>ミニゲームFV倍率</t>
  </si>
  <si>
    <t>ストーリーFV倍率</t>
  </si>
  <si>
    <t>物語フィーバー①</t>
  </si>
  <si>
    <t>姫磨きフィーバー①</t>
  </si>
  <si>
    <t>物語フィーバー②</t>
  </si>
  <si>
    <t>物語フィーバー③</t>
  </si>
  <si>
    <t>姫磨きフィーバー②</t>
  </si>
  <si>
    <t>物語フィーバー④</t>
  </si>
  <si>
    <t>エントリーFlash</t>
  </si>
  <si>
    <t>開催告知</t>
  </si>
  <si>
    <t>ランキング応援セット発売</t>
  </si>
  <si>
    <t>マイページアイコン</t>
  </si>
  <si>
    <t>ヘルプ用Flash</t>
  </si>
  <si>
    <t>キャラBD当日アイコン</t>
  </si>
  <si>
    <r>
      <rPr>
        <rFont val="微軟正黑體"/>
        <b/>
        <color theme="1"/>
        <sz val="9.0"/>
      </rPr>
      <t>本次的變更點</t>
    </r>
    <r>
      <rPr>
        <rFont val="Arial"/>
        <b/>
        <color theme="1"/>
        <sz val="9.0"/>
      </rPr>
      <t>/</t>
    </r>
    <r>
      <rPr>
        <rFont val="微軟正黑體"/>
        <b/>
        <color theme="1"/>
        <sz val="9.0"/>
      </rPr>
      <t>調整點</t>
    </r>
  </si>
  <si>
    <t>使用開始日時</t>
  </si>
  <si>
    <t>使用終了日時</t>
  </si>
  <si>
    <t>特典ストーリー情報</t>
  </si>
  <si>
    <t>title（special_story_mst）</t>
  </si>
  <si>
    <t>国内特典名</t>
  </si>
  <si>
    <t>政宗</t>
  </si>
  <si>
    <t>信長</t>
  </si>
  <si>
    <t>兼続</t>
  </si>
  <si>
    <t>帰蝶</t>
  </si>
  <si>
    <t>元就</t>
  </si>
  <si>
    <t>義元</t>
  </si>
  <si>
    <t>Mystic Matrimony After Story ～Masamune～</t>
  </si>
  <si>
    <t>Mystic Matrimony After Story ～Nobunaga～</t>
  </si>
  <si>
    <t>Mystic Matrimony After Story ～Kanetsugu～</t>
  </si>
  <si>
    <t>Mystic Matrimony After Story ～Kicho～</t>
  </si>
  <si>
    <t>Mystic Matrimony After Story ～Motonari～</t>
  </si>
  <si>
    <t>Mystic Matrimony After Story ～Yoshimoto～</t>
  </si>
  <si>
    <t>戦国妖絵巻『鬼の彼に求められて…♡』</t>
  </si>
  <si>
    <t>戦国妖絵巻『龍の彼に求められて…♡』</t>
  </si>
  <si>
    <t>戦国妖絵巻『吸血鬼の彼に求められて…♡』</t>
  </si>
  <si>
    <t>Demon of My Dreams (Kicho)</t>
  </si>
  <si>
    <t>Demon of My Dreams</t>
  </si>
  <si>
    <t>共通</t>
  </si>
  <si>
    <t>戦国妖絵巻～今宵、夢で逢いましょう～前編</t>
  </si>
  <si>
    <t>戦国妖絵巻～今宵、夢で逢いましょう～後編</t>
  </si>
  <si>
    <t>各種特典</t>
  </si>
  <si>
    <t>特典名</t>
  </si>
  <si>
    <t>特典名　日本語</t>
  </si>
  <si>
    <t>特典名　英語</t>
  </si>
  <si>
    <t>取得条件</t>
  </si>
  <si>
    <t>取得開始日時</t>
  </si>
  <si>
    <t>取得終了日時</t>
  </si>
  <si>
    <t>早期前半特典</t>
  </si>
  <si>
    <t>妖に魅入られる髪飾り</t>
  </si>
  <si>
    <t>Collect 140 Hearts by 2/22 11:00 PM　PST for this!</t>
  </si>
  <si>
    <t>早期後半特典</t>
  </si>
  <si>
    <t>銀色に靡く艶髪</t>
  </si>
  <si>
    <t>Collect 240 Hearts by 2/23 11:00 PM　PST for this!</t>
  </si>
  <si>
    <t>早期～演技派な彼編～特典</t>
  </si>
  <si>
    <t>白い曼珠沙華の姫効果</t>
  </si>
  <si>
    <t>Collect 400 Hearts by 2/24 11:00 PM　PST for this!</t>
  </si>
  <si>
    <t>早期全コレクション特典</t>
  </si>
  <si>
    <t xml:space="preserve">Early Clear Bonus Platinum </t>
  </si>
  <si>
    <t>もう一つの妖絵巻の舞台</t>
  </si>
  <si>
    <t>Collect 560 Hearts by 2/25 11:00 PM　PST for this!</t>
  </si>
  <si>
    <t>かき氷（体力50回復）</t>
  </si>
  <si>
    <t>お小遣い（500両）</t>
  </si>
  <si>
    <t>かき氷（体力100回復）</t>
  </si>
  <si>
    <t>衣装箱×1</t>
  </si>
  <si>
    <t>秘密の棚×1</t>
  </si>
  <si>
    <t>夜を練り歩く義元</t>
  </si>
  <si>
    <t>練り香水（姫度100UP）</t>
  </si>
  <si>
    <t>練り香水（姫度500UP）</t>
  </si>
  <si>
    <t>艶紅（乙女度100UP）</t>
  </si>
  <si>
    <t>城がちゃ券（200pt）</t>
  </si>
  <si>
    <t>Gacha Ticket (200 pts)</t>
  </si>
  <si>
    <t>義元プレミアストーリー</t>
  </si>
  <si>
    <t>城がちゃ券（500pt）</t>
  </si>
  <si>
    <t>Gacha Ticket (500 pts)</t>
  </si>
  <si>
    <t>お小遣い（1500両）</t>
  </si>
  <si>
    <t>お小遣い（3000両）</t>
  </si>
  <si>
    <t>夜を練り歩く元就</t>
  </si>
  <si>
    <t>物語券（期間限定）×1</t>
  </si>
  <si>
    <t>【本編用】情熱の秘薬（+1）</t>
  </si>
  <si>
    <t>【本編用】幸福の秘薬（+1）</t>
  </si>
  <si>
    <t>【本編用】恋の秘薬（+1：+1）</t>
  </si>
  <si>
    <t>がちゃ札×1</t>
  </si>
  <si>
    <t>元就プレミアストーリー</t>
  </si>
  <si>
    <t>【続編用】激情の秘薬（+1）</t>
  </si>
  <si>
    <t>(Sequel) Elixir of Passion (+1)</t>
  </si>
  <si>
    <t>【続編用】至福の秘薬（+1）</t>
  </si>
  <si>
    <t>(Sequel) Elixir of Bliss (+1)</t>
  </si>
  <si>
    <t>【続編用】愛の秘薬（+1：+1）</t>
  </si>
  <si>
    <t>(Sequel) Elixir of Fate (+1:+1)</t>
  </si>
  <si>
    <t>夜を練り歩く帰蝶</t>
  </si>
  <si>
    <t>夜を練り歩く兼続</t>
  </si>
  <si>
    <t>帰蝶プレミアストーリー</t>
  </si>
  <si>
    <t>夜を練り歩く信長</t>
  </si>
  <si>
    <t>夜を練り歩く政宗</t>
  </si>
  <si>
    <t>兼続プレミアストーリー</t>
  </si>
  <si>
    <t>吸血鬼の翼</t>
  </si>
  <si>
    <t>龍の角</t>
  </si>
  <si>
    <t>信長プレミアストーリー</t>
  </si>
  <si>
    <t>鬼の角</t>
  </si>
  <si>
    <t>妖美な館</t>
  </si>
  <si>
    <t>政宗プレミアストーリー</t>
  </si>
  <si>
    <t>『恋遊戯』全コレクション称号</t>
  </si>
  <si>
    <t>570 Hearts+ Bonus</t>
  </si>
  <si>
    <t>※以降は10個コレクトアイテムを集めるごとに、かき氷（10回復）を1個</t>
  </si>
  <si>
    <t>本編・続編連動特典</t>
  </si>
  <si>
    <t>九狐になって～義元～</t>
  </si>
  <si>
    <t>Chapter 13 (10/10) Main Route</t>
  </si>
  <si>
    <t>九狐になって～元就～</t>
  </si>
  <si>
    <t>九狐になって～兼続～</t>
  </si>
  <si>
    <t>九狐になって～帰蝶～</t>
  </si>
  <si>
    <t>特別コレクション特典</t>
  </si>
  <si>
    <t>恋遊戯～義元～</t>
  </si>
  <si>
    <t>Mystic Matrimony ~Yoshimoto~</t>
  </si>
  <si>
    <t>あなたを求める龍の義元</t>
  </si>
  <si>
    <t>恋遊戯～元就～</t>
  </si>
  <si>
    <t>あなたを求める吸血鬼の元就</t>
  </si>
  <si>
    <t>恋遊戯～帰蝶～</t>
  </si>
  <si>
    <t>あなたを求める吸血鬼の帰蝶</t>
  </si>
  <si>
    <t>恋遊戯～兼続～</t>
  </si>
  <si>
    <t>あなたを求める龍の兼続</t>
  </si>
  <si>
    <t>恋遊戯～信長～</t>
  </si>
  <si>
    <t>あなたを求める鬼の信長</t>
  </si>
  <si>
    <t>恋遊戯～政宗～</t>
  </si>
  <si>
    <t>あなたを求める鬼の政宗</t>
  </si>
  <si>
    <t>ランキング特典特典</t>
  </si>
  <si>
    <t>『恋遊戯』天下取り称号</t>
  </si>
  <si>
    <t>妖に魅入られる姫の豪華着物</t>
  </si>
  <si>
    <t>鬼と化した彼服一式</t>
  </si>
  <si>
    <t>龍と化した彼服一式</t>
  </si>
  <si>
    <t>吸血鬼と化した彼服一式</t>
  </si>
  <si>
    <t>九狐と信長・政宗・兼続</t>
  </si>
  <si>
    <t>九狐と義元・元就・帰蝶</t>
  </si>
  <si>
    <t>物語券x1</t>
  </si>
  <si>
    <t>上限位</t>
  </si>
  <si>
    <t>下限位</t>
  </si>
  <si>
    <t>魅力値</t>
  </si>
  <si>
    <t>アバターカテゴリ</t>
  </si>
  <si>
    <t>id</t>
  </si>
  <si>
    <t>item_id</t>
  </si>
  <si>
    <t>置物</t>
  </si>
  <si>
    <t>6_1_3882</t>
  </si>
  <si>
    <t>夜を練り歩く家康</t>
  </si>
  <si>
    <t>夜を練り歩く三成</t>
  </si>
  <si>
    <t>夜を練り歩く佐助</t>
  </si>
  <si>
    <t>夜を練り歩く顕如</t>
  </si>
  <si>
    <t>夜を練り歩く光秀</t>
  </si>
  <si>
    <t>夜を練り歩く幸村</t>
  </si>
  <si>
    <t>夜を練り歩く慶次</t>
  </si>
  <si>
    <t>6_1_3884</t>
  </si>
  <si>
    <t>夜を練り歩く蘭丸</t>
  </si>
  <si>
    <t>6_1_3881</t>
  </si>
  <si>
    <t>夜を練り歩く謙信</t>
  </si>
  <si>
    <t>6_1_3878</t>
  </si>
  <si>
    <t>夜を練り歩く秀吉</t>
  </si>
  <si>
    <t>6_1_3872</t>
  </si>
  <si>
    <t>夜を練り歩く信玄</t>
  </si>
  <si>
    <t>6_1_3877</t>
  </si>
  <si>
    <t>ミニキャラ横_右上</t>
  </si>
  <si>
    <t>ミニキャラ天井_右1</t>
  </si>
  <si>
    <t>ミニキャラ横_左上</t>
  </si>
  <si>
    <t>ミニキャラ天井_左3</t>
  </si>
  <si>
    <t>ミニキャラ床_左3</t>
  </si>
  <si>
    <t>ミニキャラ顔横_左</t>
  </si>
  <si>
    <t>新称号4</t>
  </si>
  <si>
    <t>ミニキャラ床_左8</t>
  </si>
  <si>
    <t>ミニキャラ天井_左4</t>
  </si>
  <si>
    <t>ミニキャラ床_右1</t>
  </si>
  <si>
    <t>ミニキャラ天井_右6</t>
  </si>
  <si>
    <t>ミニキャラ集合系_前列</t>
  </si>
  <si>
    <t>ミニキャラ集合系_中列</t>
  </si>
  <si>
    <t>髪飾り_左</t>
  </si>
  <si>
    <t>Hair</t>
  </si>
  <si>
    <t>人物まわり（効果）</t>
  </si>
  <si>
    <t>壁紙</t>
  </si>
  <si>
    <t>小袖・振袖</t>
  </si>
  <si>
    <t>テキスト</t>
  </si>
  <si>
    <t>分類</t>
  </si>
  <si>
    <t>縦カードその他</t>
  </si>
  <si>
    <t>新規手紙</t>
  </si>
  <si>
    <t>新規ボイス</t>
  </si>
  <si>
    <t>国内版メモ</t>
  </si>
  <si>
    <t>※特商法対応のため、全てのセットにおいて、獲得できる個数をショップページに表示することをマストとする。
（例：ボイスメッセージ×1、甘いプチストーリー×6、武将カード×1など）
特商法対応の仕様書：G:\共有ドライブ\31-SGK-公開-21戦国_キャンペーン\06_キャンペーン\01_開発案件\16_特商法対応\01_仕様書</t>
  </si>
  <si>
    <t>説明文</t>
  </si>
  <si>
    <t>内容</t>
  </si>
  <si>
    <t>価格</t>
  </si>
  <si>
    <t>購入制限</t>
  </si>
  <si>
    <t>Limited 1 per Player! Pining for a Nobunaga, Masamune, Ieyasu and Yukimura Special Theme but have yet to get one? Now's your chance!
*The Limited Items will disappear from your Present Box when the event is over.</t>
  </si>
  <si>
    <t>32% OFF! Mitsuhide and Hideyoshi Special Theme included! 
Tons of useful items &amp; great discounts!
*The Limited Items will disappear from your Present Box when the event is over.</t>
  </si>
  <si>
    <t>制限なし</t>
  </si>
  <si>
    <t>Need those plush cuties for His Room? Pick up Plushie Masamune &amp; Plushie Keiji Special Themes here!
*The Limited Items will disappear from your Present Box when the event is over.</t>
  </si>
  <si>
    <t>Need those plush cuties for His Room? Pick up Plushie Ieyasu &amp; Plushie Mitsunari Special Themes here!
*The Limited Items will disappear from your Present Box when the event is over.</t>
  </si>
  <si>
    <t>Need those plush cuties for His Room? Pick up Plushie Yukimura &amp; Plushie Shingen Special Themes here!
*The Limited Items will disappear from your Present Box when the event is over.</t>
  </si>
  <si>
    <t>Need those plush cuties for His Room? Pick up Plushie Kanetsugu &amp; Plushie Kicho Special Themes here!
*The Limited Items will disappear from your Present Box when the event is over.</t>
  </si>
  <si>
    <t>コレクト
アイテム</t>
  </si>
  <si>
    <t>1日10個</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</si>
</sst>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yyyy/mm/dd\ h:mm:ss"/>
    <numFmt numFmtId="165" formatCode="m/d"/>
    <numFmt numFmtId="166" formatCode="yyyy-mm-dd h:mm:ss"/>
    <numFmt numFmtId="167" formatCode="m&quot;/&quot;d"/>
    <numFmt numFmtId="168" formatCode="yyyy/mm/dd h:mm"/>
    <numFmt numFmtId="169" formatCode="yyyy&quot;/&quot;mm&quot;/&quot;dd&quot; &quot;hh&quot;:&quot;mm&quot;:&quot;ss"/>
    <numFmt numFmtId="170" formatCode="yyyy-mm-dd h:mm"/>
    <numFmt numFmtId="171" formatCode="yyyy/m/d\ h:mm:ss"/>
    <numFmt numFmtId="172" formatCode="mm&quot;/&quot;dd&quot; &quot;h&quot;:&quot;mm"/>
    <numFmt numFmtId="173" formatCode="yyyy/mm/dd\ h:mm"/>
    <numFmt numFmtId="174" formatCode="yyyy/m/d\ h:mm"/>
  </numFmts>
  <fonts count="75">
    <font>
      <sz val="11.0"/>
      <color rgb="FF000000"/>
      <name val="Calibri"/>
      <scheme val="minor"/>
    </font>
    <font>
      <sz val="11.0"/>
      <color theme="1"/>
      <name val="Calibri"/>
    </font>
    <font>
      <u/>
      <sz val="11.0"/>
      <color rgb="FF0000FF"/>
      <name val="Calibri"/>
    </font>
    <font>
      <u/>
      <sz val="11.0"/>
      <color rgb="FF0000FF"/>
      <name val="Calibri"/>
    </font>
    <font>
      <sz val="11.0"/>
      <color rgb="FF000000"/>
      <name val="Calibri"/>
    </font>
    <font>
      <sz val="11.0"/>
      <color theme="0"/>
      <name val="Microsoft JhengHei"/>
    </font>
    <font/>
    <font>
      <sz val="11.0"/>
      <color rgb="FFFFFFFF"/>
      <name val="Calibri"/>
    </font>
    <font>
      <sz val="11.0"/>
      <color theme="1"/>
      <name val="Microsoft JhengHei"/>
    </font>
    <font>
      <sz val="11.0"/>
      <color rgb="FF000000"/>
      <name val="Microsoft JhengHei"/>
    </font>
    <font>
      <b/>
      <sz val="9.0"/>
      <color rgb="FF000000"/>
      <name val="Arial"/>
    </font>
    <font>
      <b/>
      <sz val="9.0"/>
      <color theme="1"/>
      <name val="Arial"/>
    </font>
    <font>
      <b/>
      <sz val="9.0"/>
      <color theme="1"/>
      <name val="Microsoft JhengHei"/>
    </font>
    <font>
      <sz val="9.0"/>
      <color theme="1"/>
      <name val="Arial"/>
    </font>
    <font>
      <u/>
      <sz val="9.0"/>
      <color rgb="FF0000FF"/>
      <name val="Arial"/>
    </font>
    <font>
      <u/>
      <sz val="9.0"/>
      <color theme="1"/>
      <name val="Arial"/>
    </font>
    <font>
      <u/>
      <sz val="9.0"/>
      <color rgb="FF0000FF"/>
      <name val="Arial"/>
    </font>
    <font>
      <u/>
      <sz val="9.0"/>
      <color rgb="FF0000FF"/>
      <name val="Microsoft JhengHei"/>
    </font>
    <font>
      <sz val="9.0"/>
      <color rgb="FF000000"/>
      <name val="Arial"/>
    </font>
    <font>
      <sz val="9.0"/>
      <color theme="1"/>
      <name val="Microsoft JhengHei"/>
    </font>
    <font>
      <b/>
      <sz val="10.0"/>
      <color theme="1"/>
      <name val="Calibri"/>
      <scheme val="minor"/>
    </font>
    <font>
      <color theme="1"/>
      <name val="Calibri"/>
      <scheme val="minor"/>
    </font>
    <font>
      <sz val="10.0"/>
      <color theme="1"/>
      <name val="Calibri"/>
      <scheme val="minor"/>
    </font>
    <font>
      <sz val="9.0"/>
      <color rgb="FF999999"/>
      <name val="Arial"/>
    </font>
    <font>
      <sz val="9.0"/>
      <color rgb="FF000000"/>
      <name val="Microsoft JhengHei"/>
    </font>
    <font>
      <sz val="9.0"/>
      <color rgb="FF999999"/>
      <name val="Microsoft JhengHei"/>
    </font>
    <font>
      <sz val="12.0"/>
      <color rgb="FF000000"/>
      <name val="Calibri"/>
      <scheme val="minor"/>
    </font>
    <font>
      <u/>
      <sz val="12.0"/>
      <color rgb="FF000000"/>
    </font>
    <font>
      <b/>
      <sz val="12.0"/>
      <color rgb="FF000000"/>
      <name val="Calibri"/>
      <scheme val="minor"/>
    </font>
    <font>
      <sz val="11.0"/>
      <color rgb="FFFFFFFF"/>
      <name val="Verdana"/>
    </font>
    <font>
      <sz val="11.0"/>
      <color rgb="FF333333"/>
      <name val="Verdana"/>
    </font>
    <font>
      <u/>
      <sz val="12.0"/>
      <color rgb="FF000000"/>
    </font>
    <font>
      <b/>
      <sz val="12.0"/>
      <color theme="1"/>
      <name val="Calibri"/>
      <scheme val="minor"/>
    </font>
    <font>
      <b/>
      <color theme="1"/>
      <name val="Calibri"/>
      <scheme val="minor"/>
    </font>
    <font>
      <sz val="11.0"/>
      <color theme="1"/>
      <name val="Verdana"/>
    </font>
    <font>
      <u/>
      <sz val="11.0"/>
      <color rgb="FF0000FF"/>
      <name val="Verdana"/>
    </font>
    <font>
      <u/>
      <sz val="11.0"/>
      <color rgb="FF333333"/>
      <name val="Verdana"/>
    </font>
    <font>
      <u/>
      <sz val="11.0"/>
      <color rgb="FF0000FF"/>
      <name val="Verdana"/>
    </font>
    <font>
      <u/>
      <color rgb="FF0000FF"/>
    </font>
    <font>
      <u/>
      <sz val="11.0"/>
      <color rgb="FF0000FF"/>
      <name val="Verdana"/>
    </font>
    <font>
      <u/>
      <sz val="11.0"/>
      <color rgb="FF0000FF"/>
      <name val="Verdana"/>
    </font>
    <font>
      <sz val="9.0"/>
      <color rgb="FFFF0000"/>
      <name val="Arial"/>
    </font>
    <font>
      <sz val="10.0"/>
      <color rgb="FF000000"/>
      <name val="Calibri"/>
      <scheme val="minor"/>
    </font>
    <font>
      <sz val="11.0"/>
      <color rgb="FF000000"/>
      <name val="Arial"/>
    </font>
    <font>
      <sz val="11.0"/>
      <color theme="1"/>
      <name val="Calibri"/>
      <scheme val="minor"/>
    </font>
    <font>
      <sz val="9.0"/>
      <color theme="1"/>
      <name val="Calibri"/>
      <scheme val="minor"/>
    </font>
    <font>
      <u/>
      <sz val="9.0"/>
      <color rgb="FF0000FF"/>
      <name val="Arial"/>
    </font>
    <font>
      <b/>
      <color rgb="FF578402"/>
      <name val="Verdana"/>
    </font>
    <font>
      <u/>
      <color rgb="FF000000"/>
    </font>
    <font>
      <u/>
      <color rgb="FF000000"/>
    </font>
    <font>
      <u/>
      <sz val="9.0"/>
      <color rgb="FF000000"/>
      <name val="Arial"/>
    </font>
    <font>
      <u/>
      <sz val="9.0"/>
      <color rgb="FF0000FF"/>
      <name val="Arial"/>
    </font>
    <font>
      <u/>
      <sz val="9.0"/>
      <color theme="1"/>
      <name val="Arial"/>
    </font>
    <font>
      <sz val="9.0"/>
      <color rgb="FF333333"/>
      <name val="Verdana"/>
    </font>
    <font>
      <u/>
      <color rgb="FF0000FF"/>
    </font>
    <font>
      <u/>
      <color rgb="FF0000FF"/>
    </font>
    <font>
      <sz val="10.0"/>
      <color theme="1"/>
      <name val="Arial"/>
    </font>
    <font>
      <b/>
      <sz val="9.0"/>
      <color rgb="FF333333"/>
      <name val="Verdana"/>
    </font>
    <font>
      <color theme="1"/>
      <name val="Verdana"/>
    </font>
    <font>
      <u/>
      <sz val="11.0"/>
      <color rgb="FF0000FF"/>
      <name val="Verdana"/>
    </font>
    <font>
      <sz val="26.0"/>
      <color rgb="FF333333"/>
      <name val="Verdana"/>
    </font>
    <font>
      <color rgb="FF333333"/>
      <name val="Inherit"/>
    </font>
    <font>
      <u/>
      <sz val="9.0"/>
      <color rgb="FF0000FF"/>
      <name val="Arial"/>
    </font>
    <font>
      <sz val="9.0"/>
      <color theme="1"/>
      <name val="MingLiu"/>
    </font>
    <font>
      <u/>
      <sz val="11.0"/>
      <color theme="1"/>
    </font>
    <font>
      <u/>
      <sz val="11.0"/>
      <color rgb="FF0000FF"/>
      <name val="Calibri"/>
    </font>
    <font>
      <sz val="12.0"/>
      <color theme="1"/>
      <name val="Calibri"/>
      <scheme val="minor"/>
    </font>
    <font>
      <u/>
      <sz val="11.0"/>
      <color rgb="FF0000FF"/>
      <name val="Verdana"/>
    </font>
    <font>
      <u/>
      <sz val="11.0"/>
      <color rgb="FF0000FF"/>
      <name val="Verdana"/>
    </font>
    <font>
      <u/>
      <sz val="11.0"/>
      <color rgb="FF0000FF"/>
      <name val="Verdana"/>
    </font>
    <font>
      <b/>
      <sz val="9.0"/>
      <color theme="1"/>
      <name val="Verdana"/>
    </font>
    <font>
      <sz val="9.0"/>
      <color rgb="FFFFFFFF"/>
      <name val="Arial"/>
    </font>
    <font>
      <b/>
      <sz val="14.0"/>
      <color rgb="FFFFFFFF"/>
      <name val="Arial"/>
    </font>
    <font>
      <b/>
      <sz val="9.0"/>
      <color rgb="FFFFFFFF"/>
      <name val="Arial"/>
    </font>
    <font>
      <sz val="9.0"/>
      <color rgb="FF333333"/>
      <name val="Arial"/>
    </font>
  </fonts>
  <fills count="28">
    <fill>
      <patternFill patternType="none"/>
    </fill>
    <fill>
      <patternFill patternType="lightGray"/>
    </fill>
    <fill>
      <patternFill patternType="solid">
        <fgColor rgb="FF0070C0"/>
        <bgColor rgb="FF0070C0"/>
      </patternFill>
    </fill>
    <fill>
      <patternFill patternType="solid">
        <fgColor rgb="FFDAEEF3"/>
        <bgColor rgb="FFDAEEF3"/>
      </patternFill>
    </fill>
    <fill>
      <patternFill patternType="solid">
        <fgColor rgb="FFA4C2F4"/>
        <bgColor rgb="FFA4C2F4"/>
      </patternFill>
    </fill>
    <fill>
      <patternFill patternType="solid">
        <fgColor rgb="FFFFFF00"/>
        <bgColor rgb="FFFFFF00"/>
      </patternFill>
    </fill>
    <fill>
      <patternFill patternType="solid">
        <fgColor rgb="FFCFE2F3"/>
        <bgColor rgb="FFCFE2F3"/>
      </patternFill>
    </fill>
    <fill>
      <patternFill patternType="solid">
        <fgColor rgb="FFFFF2CC"/>
        <bgColor rgb="FFFFF2CC"/>
      </patternFill>
    </fill>
    <fill>
      <patternFill patternType="solid">
        <fgColor rgb="FFD9EAD3"/>
        <bgColor rgb="FFD9EAD3"/>
      </patternFill>
    </fill>
    <fill>
      <patternFill patternType="solid">
        <fgColor rgb="FFD9D2E9"/>
        <bgColor rgb="FFD9D2E9"/>
      </patternFill>
    </fill>
    <fill>
      <patternFill patternType="solid">
        <fgColor rgb="FFCCCCCC"/>
        <bgColor rgb="FFCCCCCC"/>
      </patternFill>
    </fill>
    <fill>
      <patternFill patternType="solid">
        <fgColor rgb="FFFCE5CD"/>
        <bgColor rgb="FFFCE5CD"/>
      </patternFill>
    </fill>
    <fill>
      <patternFill patternType="solid">
        <fgColor rgb="FFFFFFFF"/>
        <bgColor rgb="FFFFFFFF"/>
      </patternFill>
    </fill>
    <fill>
      <patternFill patternType="solid">
        <fgColor rgb="FF999999"/>
        <bgColor rgb="FF999999"/>
      </patternFill>
    </fill>
    <fill>
      <patternFill patternType="solid">
        <fgColor rgb="FF404040"/>
        <bgColor rgb="FF404040"/>
      </patternFill>
    </fill>
    <fill>
      <patternFill patternType="solid">
        <fgColor rgb="FF434343"/>
        <bgColor rgb="FF434343"/>
      </patternFill>
    </fill>
    <fill>
      <patternFill patternType="solid">
        <fgColor rgb="FF000000"/>
        <bgColor rgb="FF000000"/>
      </patternFill>
    </fill>
    <fill>
      <patternFill patternType="solid">
        <fgColor rgb="FFFAEBD7"/>
        <bgColor rgb="FFFAEBD7"/>
      </patternFill>
    </fill>
    <fill>
      <patternFill patternType="solid">
        <fgColor rgb="FFFFE9F1"/>
        <bgColor rgb="FFFFE9F1"/>
      </patternFill>
    </fill>
    <fill>
      <patternFill patternType="solid">
        <fgColor rgb="FFB6D7A8"/>
        <bgColor rgb="FFB6D7A8"/>
      </patternFill>
    </fill>
    <fill>
      <patternFill patternType="solid">
        <fgColor rgb="FFCCC0DA"/>
        <bgColor rgb="FFCCC0DA"/>
      </patternFill>
    </fill>
    <fill>
      <patternFill patternType="solid">
        <fgColor rgb="FFFABF8F"/>
        <bgColor rgb="FFFABF8F"/>
      </patternFill>
    </fill>
    <fill>
      <patternFill patternType="solid">
        <fgColor rgb="FFDBEEF3"/>
        <bgColor rgb="FFDBEEF3"/>
      </patternFill>
    </fill>
    <fill>
      <patternFill patternType="solid">
        <fgColor rgb="FFFDE9D9"/>
        <bgColor rgb="FFFDE9D9"/>
      </patternFill>
    </fill>
    <fill>
      <patternFill patternType="solid">
        <fgColor theme="1"/>
        <bgColor theme="1"/>
      </patternFill>
    </fill>
    <fill>
      <patternFill patternType="solid">
        <fgColor rgb="FFFCD5B4"/>
        <bgColor rgb="FFFCD5B4"/>
      </patternFill>
    </fill>
    <fill>
      <patternFill patternType="solid">
        <fgColor rgb="FFF9CB9C"/>
        <bgColor rgb="FFF9CB9C"/>
      </patternFill>
    </fill>
    <fill>
      <patternFill patternType="solid">
        <fgColor rgb="FFB7B7B7"/>
        <bgColor rgb="FFB7B7B7"/>
      </patternFill>
    </fill>
  </fills>
  <borders count="5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top style="thin">
        <color rgb="FF000000"/>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E3E3E3"/>
      </left>
      <bottom style="thin">
        <color rgb="FFE3E3E3"/>
      </bottom>
    </border>
    <border>
      <left style="thin">
        <color rgb="FFE3E3E3"/>
      </left>
    </border>
    <border>
      <left style="thin">
        <color rgb="FFE3E3E3"/>
      </left>
      <bottom style="thin">
        <color rgb="FF0000FF"/>
      </bottom>
    </border>
    <border>
      <right style="thin">
        <color rgb="FF000000"/>
      </right>
      <bottom style="thin">
        <color rgb="FF000000"/>
      </bottom>
    </border>
    <border>
      <right style="thin">
        <color rgb="FF000000"/>
      </right>
      <top/>
      <bottom style="thin">
        <color rgb="FF000000"/>
      </bottom>
    </border>
    <border>
      <left style="thin">
        <color rgb="FF000000"/>
      </left>
      <right style="thin">
        <color rgb="FF000000"/>
      </right>
      <bottom/>
    </border>
    <border>
      <bottom style="thin">
        <color rgb="FFE3E3E3"/>
      </bottom>
    </border>
    <border>
      <left/>
      <right style="thin">
        <color rgb="FF000000"/>
      </right>
      <top style="thin">
        <color rgb="FF000000"/>
      </top>
    </border>
    <border>
      <left/>
      <right style="thin">
        <color rgb="FF000000"/>
      </right>
      <bottom style="thin">
        <color rgb="FF000000"/>
      </bottom>
    </border>
    <border>
      <left/>
      <right style="thin">
        <color rgb="FF000000"/>
      </right>
      <top/>
    </border>
    <border>
      <left/>
      <right style="thin">
        <color rgb="FF000000"/>
      </right>
    </border>
    <border>
      <left style="thin">
        <color rgb="FFEEEEEE"/>
      </left>
      <right style="thin">
        <color rgb="FFEEEEEE"/>
      </right>
      <top style="thin">
        <color rgb="FFEEEEEE"/>
      </top>
      <bottom style="thin">
        <color rgb="FFEEEEEE"/>
      </bottom>
    </border>
    <border>
      <left style="thin">
        <color rgb="FFEEEEEE"/>
      </left>
      <right style="thin">
        <color rgb="FFEEEEEE"/>
      </right>
      <top style="thin">
        <color rgb="FFEEEEEE"/>
      </top>
      <bottom style="thin">
        <color rgb="FF000000"/>
      </bottom>
    </border>
    <border>
      <right style="thin">
        <color rgb="FF000000"/>
      </right>
      <top style="thin">
        <color rgb="FF000000"/>
      </top>
    </border>
    <border>
      <right/>
      <top style="thin">
        <color rgb="FF000000"/>
      </top>
      <bottom style="thin">
        <color rgb="FF000000"/>
      </bottom>
    </border>
    <border>
      <left style="thin">
        <color rgb="FFEEEEEE"/>
      </left>
      <right style="thin">
        <color rgb="FFEEEEEE"/>
      </right>
      <top style="thin">
        <color rgb="FFEEEEEE"/>
      </top>
    </border>
    <border>
      <left style="thin">
        <color rgb="FFEEEEEE"/>
      </left>
      <top style="thin">
        <color rgb="FFEEEEEE"/>
      </top>
      <bottom style="thin">
        <color rgb="FFEEEEEE"/>
      </bottom>
    </border>
    <border>
      <left/>
      <right/>
      <top/>
      <bottom/>
    </border>
    <border>
      <bottom style="thin">
        <color rgb="FF000000"/>
      </bottom>
    </border>
    <border>
      <right style="thin">
        <color rgb="FF000000"/>
      </right>
    </border>
    <border>
      <left/>
      <right/>
      <top/>
      <bottom style="thin">
        <color rgb="FF000000"/>
      </bottom>
    </border>
    <border>
      <left/>
      <right style="thin">
        <color rgb="FF000000"/>
      </right>
      <top/>
      <bottom/>
    </border>
    <border>
      <left/>
      <top/>
      <bottom style="thin">
        <color rgb="FF000000"/>
      </bottom>
    </border>
    <border>
      <top/>
      <bottom style="thin">
        <color rgb="FF000000"/>
      </bottom>
    </border>
    <border>
      <left/>
      <top/>
    </border>
    <border>
      <top/>
    </border>
    <border>
      <right style="thin">
        <color rgb="FF000000"/>
      </right>
      <top/>
    </border>
    <border>
      <left/>
    </border>
    <border>
      <left/>
      <bottom style="thin">
        <color rgb="FF000000"/>
      </bottom>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left/>
      <top/>
      <bottom/>
    </border>
    <border>
      <right/>
      <top/>
      <bottom/>
    </border>
    <border>
      <left style="thin">
        <color rgb="FFE3E3E3"/>
      </left>
      <right/>
      <top/>
      <bottom style="thin">
        <color rgb="FFE3E3E3"/>
      </bottom>
    </border>
    <border>
      <left style="thin">
        <color rgb="FF000000"/>
      </left>
      <top/>
    </border>
    <border>
      <left style="thin">
        <color rgb="FF000000"/>
      </left>
      <right style="thin">
        <color rgb="FF000000"/>
      </right>
      <top/>
    </border>
  </borders>
  <cellStyleXfs count="1">
    <xf borderId="0" fillId="0" fontId="0" numFmtId="0" applyAlignment="1" applyFont="1"/>
  </cellStyleXfs>
  <cellXfs count="514">
    <xf borderId="0" fillId="0" fontId="0" numFmtId="0" xfId="0" applyAlignment="1" applyFont="1">
      <alignment readingOrder="0" shrinkToFit="0" vertical="center" wrapText="0"/>
    </xf>
    <xf borderId="0" fillId="0" fontId="1" numFmtId="0" xfId="0" applyAlignment="1" applyFont="1">
      <alignment horizontal="center" vertical="center"/>
    </xf>
    <xf borderId="0" fillId="0" fontId="2" numFmtId="0" xfId="0" applyAlignment="1" applyFont="1">
      <alignment vertical="center"/>
    </xf>
    <xf borderId="0" fillId="0" fontId="1" numFmtId="0" xfId="0" applyAlignment="1" applyFont="1">
      <alignment vertical="center"/>
    </xf>
    <xf borderId="0" fillId="0" fontId="3" numFmtId="0" xfId="0" applyAlignment="1" applyFont="1">
      <alignment readingOrder="0" vertical="center"/>
    </xf>
    <xf borderId="0" fillId="0" fontId="4" numFmtId="0" xfId="0" applyAlignment="1" applyFont="1">
      <alignment horizontal="center" vertical="center"/>
    </xf>
    <xf borderId="0" fillId="0" fontId="4" numFmtId="0" xfId="0" applyAlignment="1" applyFont="1">
      <alignment vertical="center"/>
    </xf>
    <xf borderId="1" fillId="2" fontId="5" numFmtId="0" xfId="0" applyAlignment="1" applyBorder="1" applyFill="1" applyFont="1">
      <alignment horizontal="center" vertical="center"/>
    </xf>
    <xf borderId="2" fillId="0" fontId="6" numFmtId="0" xfId="0" applyAlignment="1" applyBorder="1" applyFont="1">
      <alignment vertical="center"/>
    </xf>
    <xf borderId="3" fillId="0" fontId="6" numFmtId="0" xfId="0" applyAlignment="1" applyBorder="1" applyFont="1">
      <alignment vertical="center"/>
    </xf>
    <xf borderId="1" fillId="2" fontId="7" numFmtId="0" xfId="0" applyAlignment="1" applyBorder="1" applyFont="1">
      <alignment horizontal="center" vertical="center"/>
    </xf>
    <xf borderId="4" fillId="3" fontId="8" numFmtId="0" xfId="0" applyAlignment="1" applyBorder="1" applyFill="1" applyFont="1">
      <alignment horizontal="center" vertical="center"/>
    </xf>
    <xf borderId="4" fillId="0" fontId="9" numFmtId="0" xfId="0" applyAlignment="1" applyBorder="1" applyFont="1">
      <alignment horizontal="center" vertical="center"/>
    </xf>
    <xf borderId="4" fillId="0" fontId="4" numFmtId="0" xfId="0" applyAlignment="1" applyBorder="1" applyFont="1">
      <alignment horizontal="center" vertical="center"/>
    </xf>
    <xf borderId="4" fillId="0" fontId="4" numFmtId="0" xfId="0" applyAlignment="1" applyBorder="1" applyFont="1">
      <alignment horizontal="center" readingOrder="0" vertical="center"/>
    </xf>
    <xf borderId="4" fillId="0" fontId="4" numFmtId="0" xfId="0" applyAlignment="1" applyBorder="1" applyFont="1">
      <alignment vertical="center"/>
    </xf>
    <xf borderId="4" fillId="0" fontId="4" numFmtId="0" xfId="0" applyAlignment="1" applyBorder="1" applyFont="1">
      <alignment horizontal="center" shrinkToFit="0" vertical="center" wrapText="1"/>
    </xf>
    <xf borderId="0" fillId="0" fontId="1" numFmtId="0" xfId="0" applyAlignment="1" applyFont="1">
      <alignment readingOrder="0" vertical="center"/>
    </xf>
    <xf borderId="5" fillId="0" fontId="9" numFmtId="0" xfId="0" applyAlignment="1" applyBorder="1" applyFont="1">
      <alignment horizontal="center" vertical="center"/>
    </xf>
    <xf borderId="5" fillId="0" fontId="4" numFmtId="0" xfId="0" applyAlignment="1" applyBorder="1" applyFont="1">
      <alignment horizontal="center" vertical="center"/>
    </xf>
    <xf borderId="6" fillId="0" fontId="6" numFmtId="0" xfId="0" applyAlignment="1" applyBorder="1" applyFont="1">
      <alignment vertical="center"/>
    </xf>
    <xf borderId="7" fillId="0" fontId="6" numFmtId="0" xfId="0" applyAlignment="1" applyBorder="1" applyFont="1">
      <alignment vertical="center"/>
    </xf>
    <xf borderId="5" fillId="4" fontId="10" numFmtId="0" xfId="0" applyAlignment="1" applyBorder="1" applyFill="1" applyFont="1">
      <alignment horizontal="center" shrinkToFit="0" vertical="center" wrapText="1"/>
    </xf>
    <xf borderId="5" fillId="5" fontId="10" numFmtId="0" xfId="0" applyAlignment="1" applyBorder="1" applyFill="1" applyFont="1">
      <alignment horizontal="center" shrinkToFit="0" vertical="center" wrapText="1"/>
    </xf>
    <xf borderId="1" fillId="6" fontId="11" numFmtId="0" xfId="0" applyAlignment="1" applyBorder="1" applyFill="1" applyFont="1">
      <alignment horizontal="center" shrinkToFit="0" vertical="center" wrapText="1"/>
    </xf>
    <xf borderId="8" fillId="7" fontId="11" numFmtId="0" xfId="0" applyAlignment="1" applyBorder="1" applyFill="1" applyFont="1">
      <alignment horizontal="center" shrinkToFit="0" vertical="center" wrapText="1"/>
    </xf>
    <xf borderId="9" fillId="4" fontId="11" numFmtId="0" xfId="0" applyAlignment="1" applyBorder="1" applyFont="1">
      <alignment horizontal="center" shrinkToFit="0" vertical="center" wrapText="1"/>
    </xf>
    <xf borderId="9" fillId="4" fontId="12" numFmtId="0" xfId="0" applyAlignment="1" applyBorder="1" applyFont="1">
      <alignment horizontal="center" shrinkToFit="0" vertical="center" wrapText="1"/>
    </xf>
    <xf borderId="4" fillId="0" fontId="13" numFmtId="0" xfId="0" applyAlignment="1" applyBorder="1" applyFont="1">
      <alignment horizontal="center" shrinkToFit="0" vertical="center" wrapText="1"/>
    </xf>
    <xf borderId="5" fillId="8" fontId="13" numFmtId="0" xfId="0" applyAlignment="1" applyBorder="1" applyFill="1" applyFont="1">
      <alignment horizontal="left" shrinkToFit="0" vertical="center" wrapText="1"/>
    </xf>
    <xf borderId="5" fillId="9" fontId="13" numFmtId="0" xfId="0" applyAlignment="1" applyBorder="1" applyFill="1" applyFont="1">
      <alignment horizontal="left" shrinkToFit="0" vertical="center" wrapText="1"/>
    </xf>
    <xf borderId="4" fillId="8" fontId="13" numFmtId="0" xfId="0" applyAlignment="1" applyBorder="1" applyFont="1">
      <alignment horizontal="left" shrinkToFit="0" vertical="center" wrapText="1"/>
    </xf>
    <xf borderId="5" fillId="9" fontId="13" numFmtId="0" xfId="0" applyAlignment="1" applyBorder="1" applyFont="1">
      <alignment shrinkToFit="0" vertical="center" wrapText="1"/>
    </xf>
    <xf borderId="4" fillId="8" fontId="13" numFmtId="164" xfId="0" applyAlignment="1" applyBorder="1" applyFont="1" applyNumberFormat="1">
      <alignment horizontal="left" shrinkToFit="0" vertical="center" wrapText="1"/>
    </xf>
    <xf borderId="4" fillId="0" fontId="13" numFmtId="0" xfId="0" applyAlignment="1" applyBorder="1" applyFont="1">
      <alignment horizontal="center" readingOrder="0" shrinkToFit="0" vertical="center" wrapText="1"/>
    </xf>
    <xf borderId="4" fillId="0" fontId="13" numFmtId="165" xfId="0" applyAlignment="1" applyBorder="1" applyFont="1" applyNumberFormat="1">
      <alignment horizontal="center" readingOrder="0" shrinkToFit="0" vertical="center" wrapText="1"/>
    </xf>
    <xf borderId="4" fillId="10" fontId="13" numFmtId="0" xfId="0" applyAlignment="1" applyBorder="1" applyFill="1" applyFont="1">
      <alignment horizontal="center" shrinkToFit="0" vertical="center" wrapText="1"/>
    </xf>
    <xf borderId="4" fillId="0" fontId="13" numFmtId="0" xfId="0" applyAlignment="1" applyBorder="1" applyFont="1">
      <alignment horizontal="left" shrinkToFit="0" vertical="center" wrapText="1"/>
    </xf>
    <xf borderId="4" fillId="0" fontId="14" numFmtId="0" xfId="0" applyAlignment="1" applyBorder="1" applyFont="1">
      <alignment horizontal="left" shrinkToFit="0" vertical="center" wrapText="1"/>
    </xf>
    <xf borderId="4" fillId="8" fontId="13" numFmtId="164" xfId="0" applyAlignment="1" applyBorder="1" applyFont="1" applyNumberFormat="1">
      <alignment horizontal="left" vertical="center"/>
    </xf>
    <xf borderId="4" fillId="0" fontId="13" numFmtId="0" xfId="0" applyAlignment="1" applyBorder="1" applyFont="1">
      <alignment vertical="center"/>
    </xf>
    <xf borderId="5" fillId="11" fontId="13" numFmtId="0" xfId="0" applyAlignment="1" applyBorder="1" applyFill="1" applyFont="1">
      <alignment shrinkToFit="0" vertical="center" wrapText="1"/>
    </xf>
    <xf borderId="4" fillId="8" fontId="13" numFmtId="0" xfId="0" applyAlignment="1" applyBorder="1" applyFont="1">
      <alignment shrinkToFit="0" vertical="center" wrapText="1"/>
    </xf>
    <xf borderId="4" fillId="8" fontId="13" numFmtId="164" xfId="0" applyAlignment="1" applyBorder="1" applyFont="1" applyNumberFormat="1">
      <alignment shrinkToFit="0" vertical="center" wrapText="1"/>
    </xf>
    <xf borderId="5" fillId="8" fontId="13" numFmtId="164" xfId="0" applyAlignment="1" applyBorder="1" applyFont="1" applyNumberFormat="1">
      <alignment horizontal="left" shrinkToFit="0" vertical="center" wrapText="1"/>
    </xf>
    <xf borderId="4" fillId="0" fontId="13" numFmtId="165" xfId="0" applyAlignment="1" applyBorder="1" applyFont="1" applyNumberFormat="1">
      <alignment horizontal="center" shrinkToFit="0" vertical="center" wrapText="1"/>
    </xf>
    <xf borderId="4" fillId="0" fontId="15" numFmtId="0" xfId="0" applyAlignment="1" applyBorder="1" applyFont="1">
      <alignment shrinkToFit="0" vertical="center" wrapText="1"/>
    </xf>
    <xf borderId="4" fillId="0" fontId="13" numFmtId="0" xfId="0" applyAlignment="1" applyBorder="1" applyFont="1">
      <alignment shrinkToFit="0" vertical="center" wrapText="1"/>
    </xf>
    <xf borderId="5" fillId="0" fontId="13" numFmtId="0" xfId="0" applyAlignment="1" applyBorder="1" applyFont="1">
      <alignment shrinkToFit="0" vertical="center" wrapText="1"/>
    </xf>
    <xf borderId="4" fillId="0" fontId="13" numFmtId="164" xfId="0" applyAlignment="1" applyBorder="1" applyFont="1" applyNumberFormat="1">
      <alignment horizontal="left" shrinkToFit="0" vertical="center" wrapText="1"/>
    </xf>
    <xf borderId="4" fillId="0" fontId="13" numFmtId="164" xfId="0" applyAlignment="1" applyBorder="1" applyFont="1" applyNumberFormat="1">
      <alignment horizontal="left" vertical="center"/>
    </xf>
    <xf borderId="4" fillId="0" fontId="13" numFmtId="164" xfId="0" applyAlignment="1" applyBorder="1" applyFont="1" applyNumberFormat="1">
      <alignment shrinkToFit="0" vertical="center" wrapText="1"/>
    </xf>
    <xf borderId="5" fillId="0" fontId="13" numFmtId="164" xfId="0" applyAlignment="1" applyBorder="1" applyFont="1" applyNumberFormat="1">
      <alignment horizontal="left" shrinkToFit="0" vertical="center" wrapText="1"/>
    </xf>
    <xf borderId="5" fillId="8" fontId="13" numFmtId="0" xfId="0" applyAlignment="1" applyBorder="1" applyFont="1">
      <alignment vertical="center"/>
    </xf>
    <xf borderId="5" fillId="8" fontId="16" numFmtId="0" xfId="0" applyAlignment="1" applyBorder="1" applyFont="1">
      <alignment readingOrder="0" vertical="center"/>
    </xf>
    <xf borderId="5" fillId="9" fontId="17" numFmtId="0" xfId="0" applyAlignment="1" applyBorder="1" applyFont="1">
      <alignment readingOrder="0" shrinkToFit="0" vertical="center" wrapText="1"/>
    </xf>
    <xf borderId="4" fillId="8" fontId="18" numFmtId="0" xfId="0" applyAlignment="1" applyBorder="1" applyFont="1">
      <alignment horizontal="left" shrinkToFit="0" vertical="center" wrapText="1"/>
    </xf>
    <xf borderId="5" fillId="0" fontId="13" numFmtId="0" xfId="0" applyAlignment="1" applyBorder="1" applyFont="1">
      <alignment vertical="center"/>
    </xf>
    <xf borderId="5" fillId="9" fontId="19" numFmtId="0" xfId="0" applyAlignment="1" applyBorder="1" applyFont="1">
      <alignment shrinkToFit="0" vertical="center" wrapText="1"/>
    </xf>
    <xf borderId="5" fillId="0" fontId="13" numFmtId="0" xfId="0" applyAlignment="1" applyBorder="1" applyFont="1">
      <alignment horizontal="left" shrinkToFit="0" vertical="center" wrapText="1"/>
    </xf>
    <xf borderId="5" fillId="0" fontId="19" numFmtId="0" xfId="0" applyAlignment="1" applyBorder="1" applyFont="1">
      <alignment horizontal="left" shrinkToFit="0" vertical="center" wrapText="1"/>
    </xf>
    <xf borderId="5" fillId="9" fontId="19" numFmtId="0" xfId="0" applyAlignment="1" applyBorder="1" applyFont="1">
      <alignment horizontal="left" shrinkToFit="0" vertical="center" wrapText="1"/>
    </xf>
    <xf borderId="5" fillId="11" fontId="18" numFmtId="0" xfId="0" applyAlignment="1" applyBorder="1" applyFont="1">
      <alignment shrinkToFit="0" vertical="center" wrapText="1"/>
    </xf>
    <xf borderId="4" fillId="0" fontId="13" numFmtId="0" xfId="0" applyAlignment="1" applyBorder="1" applyFont="1">
      <alignment horizontal="left" vertical="center"/>
    </xf>
    <xf borderId="4" fillId="8" fontId="19" numFmtId="164" xfId="0" applyAlignment="1" applyBorder="1" applyFont="1" applyNumberFormat="1">
      <alignment shrinkToFit="0" vertical="center" wrapText="1"/>
    </xf>
    <xf borderId="4" fillId="0" fontId="19" numFmtId="164" xfId="0" applyAlignment="1" applyBorder="1" applyFont="1" applyNumberFormat="1">
      <alignment shrinkToFit="0" vertical="center" wrapText="1"/>
    </xf>
    <xf borderId="10" fillId="8" fontId="13" numFmtId="0" xfId="0" applyAlignment="1" applyBorder="1" applyFont="1">
      <alignment horizontal="left" shrinkToFit="0" vertical="center" wrapText="1"/>
    </xf>
    <xf borderId="4" fillId="0" fontId="19" numFmtId="0" xfId="0" applyAlignment="1" applyBorder="1" applyFont="1">
      <alignment shrinkToFit="0" vertical="center" wrapText="1"/>
    </xf>
    <xf borderId="4" fillId="10" fontId="13" numFmtId="0" xfId="0" applyAlignment="1" applyBorder="1" applyFont="1">
      <alignment shrinkToFit="0" vertical="center" wrapText="1"/>
    </xf>
    <xf borderId="4" fillId="10" fontId="19" numFmtId="164" xfId="0" applyAlignment="1" applyBorder="1" applyFont="1" applyNumberFormat="1">
      <alignment shrinkToFit="0" vertical="center" wrapText="1"/>
    </xf>
    <xf borderId="4" fillId="10" fontId="13" numFmtId="0" xfId="0" applyAlignment="1" applyBorder="1" applyFont="1">
      <alignment horizontal="left" shrinkToFit="0" vertical="center" wrapText="1"/>
    </xf>
    <xf borderId="4" fillId="10" fontId="13" numFmtId="165" xfId="0" applyAlignment="1" applyBorder="1" applyFont="1" applyNumberFormat="1">
      <alignment horizontal="center" shrinkToFit="0" vertical="center" wrapText="1"/>
    </xf>
    <xf borderId="4" fillId="10" fontId="13" numFmtId="164" xfId="0" applyAlignment="1" applyBorder="1" applyFont="1" applyNumberFormat="1">
      <alignment shrinkToFit="0" vertical="center" wrapText="1"/>
    </xf>
    <xf borderId="4" fillId="11" fontId="18" numFmtId="0" xfId="0" applyAlignment="1" applyBorder="1" applyFont="1">
      <alignment shrinkToFit="0" vertical="center" wrapText="1"/>
    </xf>
    <xf borderId="4" fillId="0" fontId="19" numFmtId="164" xfId="0" applyAlignment="1" applyBorder="1" applyFont="1" applyNumberFormat="1">
      <alignment horizontal="left" shrinkToFit="0" vertical="center" wrapText="1"/>
    </xf>
    <xf borderId="11" fillId="6" fontId="13" numFmtId="0" xfId="0" applyAlignment="1" applyBorder="1" applyFont="1">
      <alignment shrinkToFit="0" vertical="center" wrapText="1"/>
    </xf>
    <xf borderId="12" fillId="6" fontId="13" numFmtId="0" xfId="0" applyAlignment="1" applyBorder="1" applyFont="1">
      <alignment shrinkToFit="0" vertical="center" wrapText="1"/>
    </xf>
    <xf borderId="12" fillId="6" fontId="18" numFmtId="0" xfId="0" applyAlignment="1" applyBorder="1" applyFont="1">
      <alignment shrinkToFit="0" vertical="center" wrapText="1"/>
    </xf>
    <xf borderId="12" fillId="6" fontId="13" numFmtId="0" xfId="0" applyAlignment="1" applyBorder="1" applyFont="1">
      <alignment horizontal="left" shrinkToFit="0" vertical="center" wrapText="1"/>
    </xf>
    <xf borderId="12" fillId="6" fontId="13" numFmtId="165" xfId="0" applyAlignment="1" applyBorder="1" applyFont="1" applyNumberFormat="1">
      <alignment horizontal="center" shrinkToFit="0" vertical="center" wrapText="1"/>
    </xf>
    <xf borderId="12" fillId="6" fontId="13" numFmtId="0" xfId="0" applyAlignment="1" applyBorder="1" applyFont="1">
      <alignment horizontal="center" shrinkToFit="0" vertical="center" wrapText="1"/>
    </xf>
    <xf borderId="13" fillId="6" fontId="13" numFmtId="0" xfId="0" applyAlignment="1" applyBorder="1" applyFont="1">
      <alignment shrinkToFit="0" vertical="center" wrapText="1"/>
    </xf>
    <xf borderId="5" fillId="9" fontId="13" numFmtId="0" xfId="0" applyAlignment="1" applyBorder="1" applyFont="1">
      <alignment readingOrder="0" shrinkToFit="0" vertical="center" wrapText="1"/>
    </xf>
    <xf borderId="12" fillId="6" fontId="19" numFmtId="0" xfId="0" applyAlignment="1" applyBorder="1" applyFont="1">
      <alignment shrinkToFit="0" vertical="center" wrapText="1"/>
    </xf>
    <xf borderId="4" fillId="4" fontId="11" numFmtId="0" xfId="0" applyAlignment="1" applyBorder="1" applyFont="1">
      <alignment horizontal="center" readingOrder="0" shrinkToFit="0" vertical="center" wrapText="1"/>
    </xf>
    <xf borderId="4" fillId="4" fontId="20" numFmtId="0" xfId="0" applyAlignment="1" applyBorder="1" applyFont="1">
      <alignment horizontal="center" readingOrder="0" shrinkToFit="0" vertical="center" wrapText="1"/>
    </xf>
    <xf borderId="1" fillId="7" fontId="11" numFmtId="0" xfId="0" applyAlignment="1" applyBorder="1" applyFont="1">
      <alignment horizontal="center" shrinkToFit="0" vertical="center" wrapText="1"/>
    </xf>
    <xf borderId="4" fillId="0" fontId="21" numFmtId="0" xfId="0" applyAlignment="1" applyBorder="1" applyFont="1">
      <alignment vertical="center"/>
    </xf>
    <xf borderId="4" fillId="0" fontId="22" numFmtId="0" xfId="0" applyAlignment="1" applyBorder="1" applyFont="1">
      <alignment horizontal="center" vertical="center"/>
    </xf>
    <xf borderId="4" fillId="4" fontId="11" numFmtId="0" xfId="0" applyAlignment="1" applyBorder="1" applyFont="1">
      <alignment horizontal="center" shrinkToFit="0" vertical="center" wrapText="1"/>
    </xf>
    <xf borderId="4" fillId="4" fontId="12" numFmtId="0" xfId="0" applyAlignment="1" applyBorder="1" applyFont="1">
      <alignment horizontal="center" shrinkToFit="0" vertical="center" wrapText="1"/>
    </xf>
    <xf borderId="5" fillId="9" fontId="18" numFmtId="0" xfId="0" applyAlignment="1" applyBorder="1" applyFont="1">
      <alignment shrinkToFit="0" vertical="center" wrapText="1"/>
    </xf>
    <xf borderId="4" fillId="0" fontId="22" numFmtId="0" xfId="0" applyAlignment="1" applyBorder="1" applyFont="1">
      <alignment horizontal="center" readingOrder="0" shrinkToFit="0" vertical="center" wrapText="1"/>
    </xf>
    <xf borderId="4" fillId="0" fontId="13" numFmtId="166" xfId="0" applyAlignment="1" applyBorder="1" applyFont="1" applyNumberFormat="1">
      <alignment horizontal="left" shrinkToFit="0" vertical="center" wrapText="1"/>
    </xf>
    <xf borderId="4" fillId="0" fontId="13" numFmtId="0" xfId="0" applyAlignment="1" applyBorder="1" applyFont="1">
      <alignment horizontal="left" shrinkToFit="0" vertical="center" wrapText="1"/>
    </xf>
    <xf borderId="4" fillId="0" fontId="13" numFmtId="0" xfId="0" applyAlignment="1" applyBorder="1" applyFont="1">
      <alignment readingOrder="0" shrinkToFit="0" vertical="center" wrapText="1"/>
    </xf>
    <xf borderId="4" fillId="9" fontId="18" numFmtId="0" xfId="0" applyAlignment="1" applyBorder="1" applyFont="1">
      <alignment shrinkToFit="0" vertical="center" wrapText="1"/>
    </xf>
    <xf borderId="4" fillId="0" fontId="13" numFmtId="0" xfId="0" applyAlignment="1" applyBorder="1" applyFont="1">
      <alignment horizontal="center" readingOrder="0" shrinkToFit="0" vertical="center" wrapText="0"/>
    </xf>
    <xf borderId="4" fillId="0" fontId="13" numFmtId="167" xfId="0" applyAlignment="1" applyBorder="1" applyFont="1" applyNumberFormat="1">
      <alignment horizontal="center" readingOrder="0" shrinkToFit="0" vertical="center" wrapText="0"/>
    </xf>
    <xf borderId="4" fillId="0" fontId="13" numFmtId="0" xfId="0" applyAlignment="1" applyBorder="1" applyFont="1">
      <alignment shrinkToFit="0" vertical="center" wrapText="1"/>
    </xf>
    <xf borderId="4" fillId="8" fontId="23" numFmtId="0" xfId="0" applyAlignment="1" applyBorder="1" applyFont="1">
      <alignment horizontal="left" shrinkToFit="0" vertical="center" wrapText="1"/>
    </xf>
    <xf borderId="4" fillId="8" fontId="23" numFmtId="164" xfId="0" applyAlignment="1" applyBorder="1" applyFont="1" applyNumberFormat="1">
      <alignment horizontal="left" shrinkToFit="0" vertical="center" wrapText="1"/>
    </xf>
    <xf borderId="4" fillId="0" fontId="22" numFmtId="0" xfId="0" applyAlignment="1" applyBorder="1" applyFont="1">
      <alignment horizontal="center" readingOrder="0" vertical="center"/>
    </xf>
    <xf borderId="4" fillId="0" fontId="23" numFmtId="0" xfId="0" applyAlignment="1" applyBorder="1" applyFont="1">
      <alignment horizontal="left" shrinkToFit="0" vertical="center" wrapText="1"/>
    </xf>
    <xf borderId="4" fillId="0" fontId="23" numFmtId="164" xfId="0" applyAlignment="1" applyBorder="1" applyFont="1" applyNumberFormat="1">
      <alignment horizontal="left" shrinkToFit="0" vertical="center" wrapText="1"/>
    </xf>
    <xf borderId="4" fillId="0" fontId="22" numFmtId="0" xfId="0" applyAlignment="1" applyBorder="1" applyFont="1">
      <alignment horizontal="center" shrinkToFit="0" vertical="center" wrapText="1"/>
    </xf>
    <xf borderId="5" fillId="0" fontId="13" numFmtId="0" xfId="0" applyAlignment="1" applyBorder="1" applyFont="1">
      <alignment horizontal="left" readingOrder="0" shrinkToFit="0" vertical="center" wrapText="1"/>
    </xf>
    <xf borderId="4" fillId="12" fontId="22" numFmtId="0" xfId="0" applyAlignment="1" applyBorder="1" applyFill="1" applyFont="1">
      <alignment horizontal="center" vertical="center"/>
    </xf>
    <xf borderId="4" fillId="12" fontId="22" numFmtId="0" xfId="0" applyAlignment="1" applyBorder="1" applyFont="1">
      <alignment horizontal="center" vertical="center"/>
    </xf>
    <xf borderId="5" fillId="0" fontId="13" numFmtId="0" xfId="0" applyAlignment="1" applyBorder="1" applyFont="1">
      <alignment horizontal="center" readingOrder="0" shrinkToFit="0" vertical="center" wrapText="1"/>
    </xf>
    <xf borderId="5" fillId="0" fontId="22" numFmtId="0" xfId="0" applyAlignment="1" applyBorder="1" applyFont="1">
      <alignment horizontal="center" readingOrder="0" shrinkToFit="0" vertical="center" wrapText="1"/>
    </xf>
    <xf borderId="5" fillId="0" fontId="13" numFmtId="0" xfId="0" applyAlignment="1" applyBorder="1" applyFont="1">
      <alignment horizontal="left" shrinkToFit="0" vertical="center" wrapText="1"/>
    </xf>
    <xf borderId="4" fillId="13" fontId="13" numFmtId="0" xfId="0" applyAlignment="1" applyBorder="1" applyFill="1" applyFont="1">
      <alignment horizontal="center" shrinkToFit="0" vertical="center" wrapText="1"/>
    </xf>
    <xf borderId="4" fillId="13" fontId="13" numFmtId="0" xfId="0" applyAlignment="1" applyBorder="1" applyFont="1">
      <alignment shrinkToFit="0" vertical="center" wrapText="1"/>
    </xf>
    <xf borderId="4" fillId="13" fontId="13" numFmtId="0" xfId="0" applyAlignment="1" applyBorder="1" applyFont="1">
      <alignment vertical="center"/>
    </xf>
    <xf borderId="4" fillId="13" fontId="13" numFmtId="165" xfId="0" applyAlignment="1" applyBorder="1" applyFont="1" applyNumberFormat="1">
      <alignment horizontal="center" shrinkToFit="0" vertical="center" wrapText="1"/>
    </xf>
    <xf borderId="4" fillId="12" fontId="22" numFmtId="0" xfId="0" applyAlignment="1" applyBorder="1" applyFont="1">
      <alignment horizontal="center" readingOrder="0" vertical="center"/>
    </xf>
    <xf borderId="5" fillId="9" fontId="24" numFmtId="0" xfId="0" applyAlignment="1" applyBorder="1" applyFont="1">
      <alignment shrinkToFit="0" vertical="center" wrapText="1"/>
    </xf>
    <xf borderId="4" fillId="8" fontId="13" numFmtId="3" xfId="0" applyAlignment="1" applyBorder="1" applyFont="1" applyNumberFormat="1">
      <alignment horizontal="left" shrinkToFit="0" vertical="center" wrapText="1"/>
    </xf>
    <xf borderId="4" fillId="0" fontId="13" numFmtId="3" xfId="0" applyAlignment="1" applyBorder="1" applyFont="1" applyNumberFormat="1">
      <alignment horizontal="left" shrinkToFit="0" vertical="center" wrapText="1"/>
    </xf>
    <xf borderId="4" fillId="0" fontId="13" numFmtId="0" xfId="0" applyAlignment="1" applyBorder="1" applyFont="1">
      <alignment horizontal="center" shrinkToFit="0" vertical="center" wrapText="1"/>
    </xf>
    <xf borderId="4" fillId="0" fontId="13" numFmtId="167" xfId="0" applyAlignment="1" applyBorder="1" applyFont="1" applyNumberFormat="1">
      <alignment horizontal="center" readingOrder="0" shrinkToFit="0" vertical="center" wrapText="1"/>
    </xf>
    <xf borderId="4" fillId="0" fontId="25" numFmtId="164" xfId="0" applyAlignment="1" applyBorder="1" applyFont="1" applyNumberFormat="1">
      <alignment horizontal="left" shrinkToFit="0" vertical="center" wrapText="1"/>
    </xf>
    <xf borderId="0" fillId="0" fontId="26" numFmtId="0" xfId="0" applyAlignment="1" applyFont="1">
      <alignment vertical="center"/>
    </xf>
    <xf borderId="0" fillId="0" fontId="27" numFmtId="0" xfId="0" applyAlignment="1" applyFont="1">
      <alignment readingOrder="0" vertical="center"/>
    </xf>
    <xf borderId="0" fillId="0" fontId="26" numFmtId="0" xfId="0" applyAlignment="1" applyFont="1">
      <alignment readingOrder="0" vertical="center"/>
    </xf>
    <xf borderId="0" fillId="0" fontId="26" numFmtId="0" xfId="0" applyAlignment="1" applyFont="1">
      <alignment horizontal="left" readingOrder="0" vertical="center"/>
    </xf>
    <xf borderId="0" fillId="0" fontId="28" numFmtId="0" xfId="0" applyAlignment="1" applyFont="1">
      <alignment horizontal="left" readingOrder="0" vertical="center"/>
    </xf>
    <xf borderId="14" fillId="14" fontId="29" numFmtId="0" xfId="0" applyAlignment="1" applyBorder="1" applyFill="1" applyFont="1">
      <alignment horizontal="center" readingOrder="0" vertical="center"/>
    </xf>
    <xf borderId="0" fillId="14" fontId="29" numFmtId="0" xfId="0" applyAlignment="1" applyFont="1">
      <alignment horizontal="center" readingOrder="0" vertical="center"/>
    </xf>
    <xf borderId="14" fillId="12" fontId="30" numFmtId="0" xfId="0" applyAlignment="1" applyBorder="1" applyFont="1">
      <alignment horizontal="center" readingOrder="0" vertical="center"/>
    </xf>
    <xf borderId="14" fillId="12" fontId="30" numFmtId="0" xfId="0" applyAlignment="1" applyBorder="1" applyFont="1">
      <alignment horizontal="left" readingOrder="0" vertical="center"/>
    </xf>
    <xf borderId="14" fillId="12" fontId="30" numFmtId="166" xfId="0" applyAlignment="1" applyBorder="1" applyFont="1" applyNumberFormat="1">
      <alignment horizontal="center" readingOrder="0" vertical="center"/>
    </xf>
    <xf borderId="14" fillId="12" fontId="30" numFmtId="0" xfId="0" applyAlignment="1" applyBorder="1" applyFont="1">
      <alignment horizontal="center" vertical="center"/>
    </xf>
    <xf borderId="0" fillId="12" fontId="30" numFmtId="0" xfId="0" applyAlignment="1" applyFont="1">
      <alignment horizontal="center" readingOrder="0" vertical="center"/>
    </xf>
    <xf borderId="14" fillId="12" fontId="30" numFmtId="0" xfId="0" applyAlignment="1" applyBorder="1" applyFont="1">
      <alignment horizontal="left" vertical="center"/>
    </xf>
    <xf borderId="0" fillId="0" fontId="31" numFmtId="0" xfId="0" applyAlignment="1" applyFont="1">
      <alignment horizontal="left" readingOrder="0" vertical="center"/>
    </xf>
    <xf borderId="0" fillId="0" fontId="26" numFmtId="49" xfId="0" applyAlignment="1" applyFont="1" applyNumberFormat="1">
      <alignment horizontal="left" readingOrder="0" vertical="center"/>
    </xf>
    <xf borderId="0" fillId="0" fontId="32" numFmtId="0" xfId="0" applyAlignment="1" applyFont="1">
      <alignment horizontal="left" readingOrder="0" vertical="center"/>
    </xf>
    <xf borderId="0" fillId="0" fontId="28" numFmtId="0" xfId="0" applyAlignment="1" applyFont="1">
      <alignment horizontal="center" readingOrder="0" vertical="center"/>
    </xf>
    <xf borderId="0" fillId="0" fontId="33" numFmtId="0" xfId="0" applyAlignment="1" applyFont="1">
      <alignment horizontal="center" vertical="center"/>
    </xf>
    <xf borderId="0" fillId="0" fontId="32" numFmtId="0" xfId="0" applyAlignment="1" applyFont="1">
      <alignment horizontal="center" readingOrder="0" vertical="center"/>
    </xf>
    <xf borderId="0" fillId="0" fontId="34" numFmtId="0" xfId="0" applyAlignment="1" applyFont="1">
      <alignment horizontal="center" readingOrder="0" vertical="center"/>
    </xf>
    <xf borderId="0" fillId="0" fontId="34" numFmtId="0" xfId="0" applyAlignment="1" applyFont="1">
      <alignment horizontal="left" readingOrder="0" vertical="center"/>
    </xf>
    <xf borderId="0" fillId="0" fontId="35" numFmtId="0" xfId="0" applyAlignment="1" applyFont="1">
      <alignment horizontal="left" readingOrder="0" vertical="center"/>
    </xf>
    <xf borderId="0" fillId="12" fontId="30" numFmtId="0" xfId="0" applyAlignment="1" applyFont="1">
      <alignment horizontal="left" readingOrder="0" vertical="center"/>
    </xf>
    <xf borderId="0" fillId="12" fontId="30" numFmtId="0" xfId="0" applyAlignment="1" applyFont="1">
      <alignment horizontal="left" vertical="center"/>
    </xf>
    <xf borderId="0" fillId="12" fontId="30" numFmtId="0" xfId="0" applyAlignment="1" applyFont="1">
      <alignment horizontal="center" vertical="center"/>
    </xf>
    <xf borderId="0" fillId="12" fontId="30" numFmtId="166" xfId="0" applyAlignment="1" applyFont="1" applyNumberFormat="1">
      <alignment horizontal="center" readingOrder="0" vertical="center"/>
    </xf>
    <xf borderId="0" fillId="12" fontId="36" numFmtId="49" xfId="0" applyAlignment="1" applyFont="1" applyNumberFormat="1">
      <alignment horizontal="left" readingOrder="0" vertical="center"/>
    </xf>
    <xf borderId="0" fillId="12" fontId="30" numFmtId="49" xfId="0" applyAlignment="1" applyFont="1" applyNumberFormat="1">
      <alignment horizontal="center" readingOrder="0" vertical="center"/>
    </xf>
    <xf borderId="0" fillId="0" fontId="37" numFmtId="0" xfId="0" applyAlignment="1" applyFont="1">
      <alignment horizontal="left" readingOrder="0" vertical="center"/>
    </xf>
    <xf borderId="0" fillId="12" fontId="30" numFmtId="49" xfId="0" applyAlignment="1" applyFont="1" applyNumberFormat="1">
      <alignment horizontal="left" readingOrder="0" vertical="center"/>
    </xf>
    <xf borderId="14" fillId="12" fontId="30" numFmtId="0" xfId="0" applyAlignment="1" applyBorder="1" applyFont="1">
      <alignment horizontal="center" vertical="center"/>
    </xf>
    <xf borderId="0" fillId="0" fontId="21" numFmtId="0" xfId="0" applyAlignment="1" applyFont="1">
      <alignment vertical="center"/>
    </xf>
    <xf borderId="0" fillId="0" fontId="38" numFmtId="0" xfId="0" applyAlignment="1" applyFont="1">
      <alignment readingOrder="0" vertical="center"/>
    </xf>
    <xf borderId="0" fillId="0" fontId="21" numFmtId="0" xfId="0" applyAlignment="1" applyFont="1">
      <alignment horizontal="center" vertical="center"/>
    </xf>
    <xf borderId="15" fillId="14" fontId="29" numFmtId="0" xfId="0" applyAlignment="1" applyBorder="1" applyFont="1">
      <alignment horizontal="center" readingOrder="0" vertical="center"/>
    </xf>
    <xf borderId="14" fillId="0" fontId="34" numFmtId="0" xfId="0" applyAlignment="1" applyBorder="1" applyFont="1">
      <alignment horizontal="center" readingOrder="0" vertical="center"/>
    </xf>
    <xf borderId="16" fillId="0" fontId="39" numFmtId="0" xfId="0" applyAlignment="1" applyBorder="1" applyFont="1">
      <alignment horizontal="left" readingOrder="0" vertical="center"/>
    </xf>
    <xf borderId="15" fillId="12" fontId="30" numFmtId="0" xfId="0" applyAlignment="1" applyBorder="1" applyFont="1">
      <alignment horizontal="center" readingOrder="0" vertical="center"/>
    </xf>
    <xf borderId="14" fillId="12" fontId="30" numFmtId="0" xfId="0" applyAlignment="1" applyBorder="1" applyFont="1">
      <alignment horizontal="left" vertical="center"/>
    </xf>
    <xf borderId="14" fillId="15" fontId="29" numFmtId="0" xfId="0" applyAlignment="1" applyBorder="1" applyFill="1" applyFont="1">
      <alignment horizontal="center" readingOrder="0" vertical="center"/>
    </xf>
    <xf borderId="14" fillId="0" fontId="30" numFmtId="0" xfId="0" applyAlignment="1" applyBorder="1" applyFont="1">
      <alignment horizontal="center" readingOrder="0" vertical="center"/>
    </xf>
    <xf borderId="14" fillId="0" fontId="40" numFmtId="0" xfId="0" applyAlignment="1" applyBorder="1" applyFont="1">
      <alignment horizontal="center" readingOrder="0" vertical="center"/>
    </xf>
    <xf borderId="14" fillId="0" fontId="30" numFmtId="0" xfId="0" applyAlignment="1" applyBorder="1" applyFont="1">
      <alignment horizontal="center" vertical="center"/>
    </xf>
    <xf borderId="0" fillId="0" fontId="30" numFmtId="0" xfId="0" applyAlignment="1" applyFont="1">
      <alignment horizontal="center" vertical="center"/>
    </xf>
    <xf borderId="5" fillId="4" fontId="11" numFmtId="0" xfId="0" applyAlignment="1" applyBorder="1" applyFont="1">
      <alignment horizontal="center" shrinkToFit="0" vertical="center" wrapText="1"/>
    </xf>
    <xf borderId="5" fillId="5" fontId="11" numFmtId="0" xfId="0" applyAlignment="1" applyBorder="1" applyFont="1">
      <alignment horizontal="center" shrinkToFit="0" vertical="center" wrapText="1"/>
    </xf>
    <xf borderId="17" fillId="4" fontId="11" numFmtId="0" xfId="0" applyAlignment="1" applyBorder="1" applyFont="1">
      <alignment horizontal="center" readingOrder="0" shrinkToFit="0" vertical="center" wrapText="1"/>
    </xf>
    <xf borderId="18" fillId="4" fontId="11" numFmtId="0" xfId="0" applyAlignment="1" applyBorder="1" applyFont="1">
      <alignment horizontal="center" shrinkToFit="0" vertical="center" wrapText="1"/>
    </xf>
    <xf borderId="4" fillId="0" fontId="22" numFmtId="167" xfId="0" applyAlignment="1" applyBorder="1" applyFont="1" applyNumberFormat="1">
      <alignment horizontal="center" readingOrder="0" shrinkToFit="0" vertical="center" wrapText="1"/>
    </xf>
    <xf borderId="4" fillId="0" fontId="41" numFmtId="0" xfId="0" applyAlignment="1" applyBorder="1" applyFont="1">
      <alignment shrinkToFit="0" vertical="center" wrapText="1"/>
    </xf>
    <xf borderId="5" fillId="0" fontId="13" numFmtId="0" xfId="0" applyAlignment="1" applyBorder="1" applyFont="1">
      <alignment horizontal="center" shrinkToFit="0" vertical="center" wrapText="1"/>
    </xf>
    <xf borderId="4" fillId="9" fontId="24" numFmtId="0" xfId="0" applyAlignment="1" applyBorder="1" applyFont="1">
      <alignment shrinkToFit="0" vertical="center" wrapText="1"/>
    </xf>
    <xf borderId="5" fillId="0" fontId="18" numFmtId="0" xfId="0" applyAlignment="1" applyBorder="1" applyFont="1">
      <alignment readingOrder="0" shrinkToFit="0" vertical="center" wrapText="1"/>
    </xf>
    <xf borderId="4" fillId="0" fontId="13" numFmtId="0" xfId="0" applyAlignment="1" applyBorder="1" applyFont="1">
      <alignment vertical="center"/>
    </xf>
    <xf borderId="6" fillId="0" fontId="18" numFmtId="0" xfId="0" applyAlignment="1" applyBorder="1" applyFont="1">
      <alignment shrinkToFit="0" vertical="center" wrapText="1"/>
    </xf>
    <xf borderId="4" fillId="0" fontId="13" numFmtId="0" xfId="0" applyAlignment="1" applyBorder="1" applyFont="1">
      <alignment shrinkToFit="0" vertical="center" wrapText="1"/>
    </xf>
    <xf borderId="4" fillId="10" fontId="22" numFmtId="0" xfId="0" applyAlignment="1" applyBorder="1" applyFont="1">
      <alignment horizontal="center" shrinkToFit="0" vertical="center" wrapText="1"/>
    </xf>
    <xf borderId="4" fillId="10" fontId="22" numFmtId="167" xfId="0" applyAlignment="1" applyBorder="1" applyFont="1" applyNumberFormat="1">
      <alignment horizontal="center" shrinkToFit="0" vertical="center" wrapText="1"/>
    </xf>
    <xf borderId="7" fillId="0" fontId="18" numFmtId="0" xfId="0" applyAlignment="1" applyBorder="1" applyFont="1">
      <alignment shrinkToFit="0" vertical="center" wrapText="1"/>
    </xf>
    <xf borderId="5" fillId="8" fontId="13" numFmtId="0" xfId="0" applyAlignment="1" applyBorder="1" applyFont="1">
      <alignment horizontal="center" shrinkToFit="0" vertical="center" wrapText="1"/>
    </xf>
    <xf borderId="4" fillId="8" fontId="23" numFmtId="0" xfId="0" applyAlignment="1" applyBorder="1" applyFont="1">
      <alignment readingOrder="0" shrinkToFit="0" vertical="center" wrapText="1"/>
    </xf>
    <xf borderId="4" fillId="8" fontId="25" numFmtId="0" xfId="0" applyAlignment="1" applyBorder="1" applyFont="1">
      <alignment readingOrder="0" shrinkToFit="0" vertical="center" wrapText="1"/>
    </xf>
    <xf borderId="4" fillId="0" fontId="18" numFmtId="0" xfId="0" applyAlignment="1" applyBorder="1" applyFont="1">
      <alignment shrinkToFit="0" vertical="center" wrapText="1"/>
    </xf>
    <xf borderId="4" fillId="8" fontId="25" numFmtId="0" xfId="0" applyAlignment="1" applyBorder="1" applyFont="1">
      <alignment shrinkToFit="0" vertical="center" wrapText="1"/>
    </xf>
    <xf borderId="4" fillId="8" fontId="23" numFmtId="0" xfId="0" applyAlignment="1" applyBorder="1" applyFont="1">
      <alignment shrinkToFit="0" vertical="center" wrapText="1"/>
    </xf>
    <xf borderId="5" fillId="8" fontId="19" numFmtId="0" xfId="0" applyAlignment="1" applyBorder="1" applyFont="1">
      <alignment horizontal="left" shrinkToFit="0" vertical="center" wrapText="1"/>
    </xf>
    <xf borderId="4" fillId="0" fontId="23" numFmtId="0" xfId="0" applyAlignment="1" applyBorder="1" applyFont="1">
      <alignment readingOrder="0" shrinkToFit="0" vertical="center" wrapText="1"/>
    </xf>
    <xf borderId="4" fillId="0" fontId="23" numFmtId="0" xfId="0" applyAlignment="1" applyBorder="1" applyFont="1">
      <alignment shrinkToFit="0" vertical="center" wrapText="1"/>
    </xf>
    <xf borderId="4" fillId="0" fontId="18" numFmtId="0" xfId="0" applyAlignment="1" applyBorder="1" applyFont="1">
      <alignment shrinkToFit="0" vertical="center" wrapText="1"/>
    </xf>
    <xf borderId="4" fillId="0" fontId="22" numFmtId="167" xfId="0" applyAlignment="1" applyBorder="1" applyFont="1" applyNumberFormat="1">
      <alignment horizontal="center" shrinkToFit="0" vertical="center" wrapText="1"/>
    </xf>
    <xf borderId="4" fillId="10" fontId="42" numFmtId="0" xfId="0" applyAlignment="1" applyBorder="1" applyFont="1">
      <alignment horizontal="center" readingOrder="0" shrinkToFit="0" vertical="center" wrapText="1"/>
    </xf>
    <xf borderId="4" fillId="10" fontId="42" numFmtId="167" xfId="0" applyAlignment="1" applyBorder="1" applyFont="1" applyNumberFormat="1">
      <alignment horizontal="center" readingOrder="0" shrinkToFit="0" vertical="center" wrapText="1"/>
    </xf>
    <xf borderId="4" fillId="0" fontId="25" numFmtId="0" xfId="0" applyAlignment="1" applyBorder="1" applyFont="1">
      <alignment shrinkToFit="0" vertical="center" wrapText="1"/>
    </xf>
    <xf borderId="5" fillId="0" fontId="23" numFmtId="0" xfId="0" applyAlignment="1" applyBorder="1" applyFont="1">
      <alignment shrinkToFit="0" vertical="center" wrapText="1"/>
    </xf>
    <xf borderId="5" fillId="10" fontId="42" numFmtId="0" xfId="0" applyAlignment="1" applyBorder="1" applyFont="1">
      <alignment horizontal="center" readingOrder="0" shrinkToFit="0" vertical="center" wrapText="1"/>
    </xf>
    <xf borderId="5" fillId="10" fontId="42" numFmtId="167" xfId="0" applyAlignment="1" applyBorder="1" applyFont="1" applyNumberFormat="1">
      <alignment horizontal="center" readingOrder="0" shrinkToFit="0" vertical="center" wrapText="1"/>
    </xf>
    <xf borderId="5" fillId="0" fontId="18" numFmtId="0" xfId="0" applyAlignment="1" applyBorder="1" applyFont="1">
      <alignment shrinkToFit="0" vertical="center" wrapText="1"/>
    </xf>
    <xf borderId="1" fillId="16" fontId="13" numFmtId="0" xfId="0" applyAlignment="1" applyBorder="1" applyFill="1" applyFont="1">
      <alignment horizontal="center" shrinkToFit="0" vertical="center" wrapText="1"/>
    </xf>
    <xf borderId="2" fillId="16" fontId="13" numFmtId="0" xfId="0" applyAlignment="1" applyBorder="1" applyFont="1">
      <alignment horizontal="center" shrinkToFit="0" vertical="center" wrapText="1"/>
    </xf>
    <xf borderId="2" fillId="16" fontId="18" numFmtId="0" xfId="0" applyAlignment="1" applyBorder="1" applyFont="1">
      <alignment shrinkToFit="0" vertical="center" wrapText="1"/>
    </xf>
    <xf borderId="2" fillId="16" fontId="13" numFmtId="0" xfId="0" applyAlignment="1" applyBorder="1" applyFont="1">
      <alignment horizontal="left" shrinkToFit="0" vertical="center" wrapText="1"/>
    </xf>
    <xf borderId="2" fillId="16" fontId="23" numFmtId="0" xfId="0" applyAlignment="1" applyBorder="1" applyFont="1">
      <alignment readingOrder="0" shrinkToFit="0" vertical="center" wrapText="1"/>
    </xf>
    <xf borderId="2" fillId="16" fontId="23" numFmtId="0" xfId="0" applyAlignment="1" applyBorder="1" applyFont="1">
      <alignment shrinkToFit="0" vertical="center" wrapText="1"/>
    </xf>
    <xf borderId="2" fillId="16" fontId="13" numFmtId="0" xfId="0" applyAlignment="1" applyBorder="1" applyFont="1">
      <alignment horizontal="center" readingOrder="0" shrinkToFit="0" vertical="center" wrapText="1"/>
    </xf>
    <xf borderId="2" fillId="16" fontId="42" numFmtId="0" xfId="0" applyAlignment="1" applyBorder="1" applyFont="1">
      <alignment horizontal="center" readingOrder="0" shrinkToFit="0" vertical="center" wrapText="1"/>
    </xf>
    <xf borderId="2" fillId="16" fontId="42" numFmtId="167" xfId="0" applyAlignment="1" applyBorder="1" applyFont="1" applyNumberFormat="1">
      <alignment horizontal="center" readingOrder="0" shrinkToFit="0" vertical="center" wrapText="1"/>
    </xf>
    <xf borderId="2" fillId="16" fontId="43" numFmtId="0" xfId="0" applyAlignment="1" applyBorder="1" applyFont="1">
      <alignment horizontal="center" readingOrder="0" shrinkToFit="0" vertical="top" wrapText="1"/>
    </xf>
    <xf borderId="2" fillId="16" fontId="13" numFmtId="0" xfId="0" applyAlignment="1" applyBorder="1" applyFont="1">
      <alignment shrinkToFit="0" vertical="center" wrapText="1"/>
    </xf>
    <xf borderId="3" fillId="16" fontId="13" numFmtId="0" xfId="0" applyAlignment="1" applyBorder="1" applyFont="1">
      <alignment shrinkToFit="0" vertical="center" wrapText="1"/>
    </xf>
    <xf borderId="7" fillId="0" fontId="13" numFmtId="0" xfId="0" applyAlignment="1" applyBorder="1" applyFont="1">
      <alignment horizontal="center" shrinkToFit="0" vertical="center" wrapText="1"/>
    </xf>
    <xf borderId="6" fillId="8" fontId="13" numFmtId="0" xfId="0" applyAlignment="1" applyBorder="1" applyFont="1">
      <alignment horizontal="center" shrinkToFit="0" vertical="center" wrapText="1"/>
    </xf>
    <xf borderId="6" fillId="9" fontId="13" numFmtId="0" xfId="0" applyAlignment="1" applyBorder="1" applyFont="1">
      <alignment readingOrder="0" shrinkToFit="0" vertical="center" wrapText="1"/>
    </xf>
    <xf borderId="6" fillId="8" fontId="13" numFmtId="0" xfId="0" applyAlignment="1" applyBorder="1" applyFont="1">
      <alignment horizontal="left" shrinkToFit="0" vertical="center" wrapText="1"/>
    </xf>
    <xf borderId="7" fillId="8" fontId="23" numFmtId="0" xfId="0" applyAlignment="1" applyBorder="1" applyFont="1">
      <alignment readingOrder="0" shrinkToFit="0" vertical="center" wrapText="1"/>
    </xf>
    <xf borderId="6" fillId="9" fontId="18" numFmtId="0" xfId="0" applyAlignment="1" applyBorder="1" applyFont="1">
      <alignment shrinkToFit="0" vertical="center" wrapText="1"/>
    </xf>
    <xf borderId="7" fillId="8" fontId="23" numFmtId="0" xfId="0" applyAlignment="1" applyBorder="1" applyFont="1">
      <alignment shrinkToFit="0" vertical="center" wrapText="1"/>
    </xf>
    <xf borderId="7" fillId="8" fontId="13" numFmtId="0" xfId="0" applyAlignment="1" applyBorder="1" applyFont="1">
      <alignment horizontal="left" shrinkToFit="0" vertical="center" wrapText="1"/>
    </xf>
    <xf borderId="7" fillId="0" fontId="13" numFmtId="0" xfId="0" applyAlignment="1" applyBorder="1" applyFont="1">
      <alignment horizontal="center" readingOrder="0" shrinkToFit="0" vertical="center" wrapText="1"/>
    </xf>
    <xf borderId="7" fillId="0" fontId="13" numFmtId="166" xfId="0" applyAlignment="1" applyBorder="1" applyFont="1" applyNumberFormat="1">
      <alignment horizontal="left" shrinkToFit="0" vertical="center" wrapText="1"/>
    </xf>
    <xf borderId="7" fillId="10" fontId="43" numFmtId="0" xfId="0" applyAlignment="1" applyBorder="1" applyFont="1">
      <alignment horizontal="center" readingOrder="0" shrinkToFit="0" vertical="top" wrapText="1"/>
    </xf>
    <xf borderId="7" fillId="0" fontId="18" numFmtId="0" xfId="0" applyAlignment="1" applyBorder="1" applyFont="1">
      <alignment shrinkToFit="0" vertical="center" wrapText="1"/>
    </xf>
    <xf borderId="7" fillId="0" fontId="13" numFmtId="0" xfId="0" applyAlignment="1" applyBorder="1" applyFont="1">
      <alignment readingOrder="0" shrinkToFit="0" vertical="center" wrapText="1"/>
    </xf>
    <xf borderId="7" fillId="0" fontId="13" numFmtId="0" xfId="0" applyAlignment="1" applyBorder="1" applyFont="1">
      <alignment shrinkToFit="0" vertical="center" wrapText="1"/>
    </xf>
    <xf borderId="4" fillId="0" fontId="42" numFmtId="0" xfId="0" applyAlignment="1" applyBorder="1" applyFont="1">
      <alignment horizontal="center" readingOrder="0" shrinkToFit="0" vertical="center" wrapText="1"/>
    </xf>
    <xf borderId="4" fillId="0" fontId="42" numFmtId="167" xfId="0" applyAlignment="1" applyBorder="1" applyFont="1" applyNumberFormat="1">
      <alignment horizontal="center" readingOrder="0" shrinkToFit="0" vertical="center" wrapText="1"/>
    </xf>
    <xf borderId="4" fillId="10" fontId="43" numFmtId="0" xfId="0" applyAlignment="1" applyBorder="1" applyFont="1">
      <alignment horizontal="center" readingOrder="0" shrinkToFit="0" vertical="top" wrapText="1"/>
    </xf>
    <xf borderId="5" fillId="9" fontId="18" numFmtId="0" xfId="0" applyAlignment="1" applyBorder="1" applyFont="1">
      <alignment readingOrder="0" shrinkToFit="0" vertical="center" wrapText="1"/>
    </xf>
    <xf borderId="4" fillId="12" fontId="44" numFmtId="0" xfId="0" applyAlignment="1" applyBorder="1" applyFill="1" applyFont="1">
      <alignment horizontal="center" readingOrder="0" vertical="center"/>
    </xf>
    <xf borderId="19" fillId="0" fontId="6" numFmtId="0" xfId="0" applyAlignment="1" applyBorder="1" applyFont="1">
      <alignment vertical="center"/>
    </xf>
    <xf borderId="5" fillId="9" fontId="18" numFmtId="0" xfId="0" applyAlignment="1" applyBorder="1" applyFont="1">
      <alignment shrinkToFit="0" vertical="center" wrapText="1"/>
    </xf>
    <xf borderId="7" fillId="0" fontId="13" numFmtId="0" xfId="0" applyAlignment="1" applyBorder="1" applyFont="1">
      <alignment horizontal="left" shrinkToFit="0" vertical="center" wrapText="1"/>
    </xf>
    <xf borderId="4" fillId="0" fontId="45" numFmtId="0" xfId="0" applyAlignment="1" applyBorder="1" applyFont="1">
      <alignment horizontal="center" shrinkToFit="0" vertical="center" wrapText="1"/>
    </xf>
    <xf borderId="4" fillId="0" fontId="45" numFmtId="0" xfId="0" applyAlignment="1" applyBorder="1" applyFont="1">
      <alignment horizontal="left" shrinkToFit="0" vertical="center" wrapText="1"/>
    </xf>
    <xf borderId="6" fillId="9" fontId="46" numFmtId="0" xfId="0" applyAlignment="1" applyBorder="1" applyFont="1">
      <alignment readingOrder="0" shrinkToFit="0" vertical="center" wrapText="1"/>
    </xf>
    <xf borderId="14" fillId="17" fontId="30" numFmtId="0" xfId="0" applyAlignment="1" applyBorder="1" applyFill="1" applyFont="1">
      <alignment horizontal="center" readingOrder="0" vertical="center"/>
    </xf>
    <xf borderId="14" fillId="12" fontId="30" numFmtId="0" xfId="0" applyAlignment="1" applyBorder="1" applyFont="1">
      <alignment readingOrder="0" vertical="center"/>
    </xf>
    <xf borderId="14" fillId="12" fontId="30" numFmtId="0" xfId="0" applyAlignment="1" applyBorder="1" applyFont="1">
      <alignment vertical="center"/>
    </xf>
    <xf borderId="14" fillId="18" fontId="30" numFmtId="0" xfId="0" applyAlignment="1" applyBorder="1" applyFill="1" applyFont="1">
      <alignment horizontal="center" readingOrder="0" vertical="center"/>
    </xf>
    <xf borderId="14" fillId="12" fontId="30" numFmtId="0" xfId="0" applyAlignment="1" applyBorder="1" applyFont="1">
      <alignment horizontal="center" readingOrder="0" vertical="center"/>
    </xf>
    <xf borderId="14" fillId="12" fontId="47" numFmtId="0" xfId="0" applyAlignment="1" applyBorder="1" applyFont="1">
      <alignment readingOrder="0" vertical="center"/>
    </xf>
    <xf borderId="14" fillId="12" fontId="30" numFmtId="168" xfId="0" applyAlignment="1" applyBorder="1" applyFont="1" applyNumberFormat="1">
      <alignment horizontal="center" readingOrder="0" vertical="center"/>
    </xf>
    <xf borderId="14" fillId="12" fontId="30" numFmtId="0" xfId="0" applyAlignment="1" applyBorder="1" applyFont="1">
      <alignment horizontal="center" vertical="center"/>
    </xf>
    <xf borderId="0" fillId="0" fontId="48" numFmtId="0" xfId="0" applyAlignment="1" applyFont="1">
      <alignment readingOrder="0" vertical="center"/>
    </xf>
    <xf borderId="0" fillId="0" fontId="21" numFmtId="0" xfId="0" applyAlignment="1" applyFont="1">
      <alignment horizontal="left" vertical="center"/>
    </xf>
    <xf borderId="0" fillId="0" fontId="49" numFmtId="0" xfId="0" applyAlignment="1" applyFont="1">
      <alignment readingOrder="0" vertical="center"/>
    </xf>
    <xf borderId="20" fillId="14" fontId="29" numFmtId="0" xfId="0" applyAlignment="1" applyBorder="1" applyFont="1">
      <alignment horizontal="center" readingOrder="0" vertical="center"/>
    </xf>
    <xf borderId="0" fillId="0" fontId="34" numFmtId="0" xfId="0" applyAlignment="1" applyFont="1">
      <alignment horizontal="left" vertical="center"/>
    </xf>
    <xf borderId="20" fillId="12" fontId="30" numFmtId="0" xfId="0" applyAlignment="1" applyBorder="1" applyFont="1">
      <alignment horizontal="left" vertical="center"/>
    </xf>
    <xf borderId="4" fillId="0" fontId="13" numFmtId="169" xfId="0" applyAlignment="1" applyBorder="1" applyFont="1" applyNumberFormat="1">
      <alignment horizontal="center" shrinkToFit="0" vertical="center" wrapText="1"/>
    </xf>
    <xf borderId="4" fillId="11" fontId="13" numFmtId="0" xfId="0" applyAlignment="1" applyBorder="1" applyFont="1">
      <alignment shrinkToFit="0" vertical="center" wrapText="1"/>
    </xf>
    <xf borderId="4" fillId="10" fontId="13" numFmtId="0" xfId="0" applyAlignment="1" applyBorder="1" applyFont="1">
      <alignment horizontal="center" shrinkToFit="0" vertical="center" wrapText="1"/>
    </xf>
    <xf borderId="5" fillId="9" fontId="18" numFmtId="0" xfId="0" applyAlignment="1" applyBorder="1" applyFont="1">
      <alignment horizontal="left" shrinkToFit="0" vertical="center" wrapText="1"/>
    </xf>
    <xf borderId="4" fillId="0" fontId="13" numFmtId="0" xfId="0" applyAlignment="1" applyBorder="1" applyFont="1">
      <alignment readingOrder="0" shrinkToFit="0" vertical="center" wrapText="0"/>
    </xf>
    <xf borderId="21" fillId="4" fontId="11" numFmtId="0" xfId="0" applyAlignment="1" applyBorder="1" applyFont="1">
      <alignment horizontal="center" shrinkToFit="0" vertical="center" wrapText="1"/>
    </xf>
    <xf borderId="21" fillId="5" fontId="11" numFmtId="0" xfId="0" applyAlignment="1" applyBorder="1" applyFont="1">
      <alignment horizontal="center" shrinkToFit="0" vertical="center" wrapText="1"/>
    </xf>
    <xf borderId="4" fillId="6" fontId="11" numFmtId="0" xfId="0" applyAlignment="1" applyBorder="1" applyFont="1">
      <alignment horizontal="center" readingOrder="0" shrinkToFit="0" vertical="center" wrapText="1"/>
    </xf>
    <xf borderId="22" fillId="0" fontId="6" numFmtId="0" xfId="0" applyAlignment="1" applyBorder="1" applyFont="1">
      <alignment vertical="center"/>
    </xf>
    <xf borderId="17" fillId="4" fontId="11" numFmtId="0" xfId="0" applyAlignment="1" applyBorder="1" applyFont="1">
      <alignment horizontal="center" shrinkToFit="0" vertical="center" wrapText="1"/>
    </xf>
    <xf borderId="10" fillId="10" fontId="13" numFmtId="0" xfId="0" applyAlignment="1" applyBorder="1" applyFont="1">
      <alignment horizontal="center" shrinkToFit="0" vertical="center" wrapText="1"/>
    </xf>
    <xf borderId="9" fillId="10" fontId="13" numFmtId="0" xfId="0" applyAlignment="1" applyBorder="1" applyFont="1">
      <alignment horizontal="center" shrinkToFit="0" vertical="center" wrapText="1"/>
    </xf>
    <xf borderId="4" fillId="0" fontId="50" numFmtId="0" xfId="0" applyAlignment="1" applyBorder="1" applyFont="1">
      <alignment horizontal="center" readingOrder="0" shrinkToFit="0" vertical="center" wrapText="1"/>
    </xf>
    <xf borderId="13" fillId="10" fontId="13" numFmtId="165" xfId="0" applyAlignment="1" applyBorder="1" applyFont="1" applyNumberFormat="1">
      <alignment horizontal="center" shrinkToFit="0" vertical="center" wrapText="1"/>
    </xf>
    <xf borderId="13" fillId="10" fontId="13" numFmtId="0" xfId="0" applyAlignment="1" applyBorder="1" applyFont="1">
      <alignment horizontal="center" shrinkToFit="0" vertical="center" wrapText="1"/>
    </xf>
    <xf borderId="7" fillId="10" fontId="13" numFmtId="0" xfId="0" applyAlignment="1" applyBorder="1" applyFont="1">
      <alignment horizontal="center" shrinkToFit="0" vertical="center" wrapText="1"/>
    </xf>
    <xf borderId="10" fillId="8" fontId="23" numFmtId="0" xfId="0" applyAlignment="1" applyBorder="1" applyFont="1">
      <alignment shrinkToFit="0" vertical="center" wrapText="1"/>
    </xf>
    <xf borderId="7" fillId="0" fontId="23" numFmtId="0" xfId="0" applyAlignment="1" applyBorder="1" applyFont="1">
      <alignment shrinkToFit="0" vertical="center" wrapText="1"/>
    </xf>
    <xf borderId="4" fillId="0" fontId="51" numFmtId="0" xfId="0" applyAlignment="1" applyBorder="1" applyFont="1">
      <alignment shrinkToFit="0" vertical="center" wrapText="1"/>
    </xf>
    <xf borderId="4" fillId="0" fontId="18" numFmtId="0" xfId="0" applyAlignment="1" applyBorder="1" applyFont="1">
      <alignment horizontal="center" shrinkToFit="0" vertical="center" wrapText="1"/>
    </xf>
    <xf borderId="4" fillId="6" fontId="11" numFmtId="0" xfId="0" applyAlignment="1" applyBorder="1" applyFont="1">
      <alignment horizontal="center" shrinkToFit="0" vertical="center" wrapText="1"/>
    </xf>
    <xf borderId="21" fillId="11" fontId="13" numFmtId="0" xfId="0" applyAlignment="1" applyBorder="1" applyFont="1">
      <alignment shrinkToFit="0" vertical="center" wrapText="1"/>
    </xf>
    <xf borderId="5" fillId="0" fontId="52" numFmtId="0" xfId="0" applyAlignment="1" applyBorder="1" applyFont="1">
      <alignment horizontal="center" shrinkToFit="0" vertical="center" wrapText="1"/>
    </xf>
    <xf borderId="23" fillId="9" fontId="13" numFmtId="0" xfId="0" applyAlignment="1" applyBorder="1" applyFont="1">
      <alignment shrinkToFit="0" vertical="center" wrapText="1"/>
    </xf>
    <xf borderId="24" fillId="0" fontId="6" numFmtId="0" xfId="0" applyAlignment="1" applyBorder="1" applyFont="1">
      <alignment vertical="center"/>
    </xf>
    <xf borderId="7" fillId="13" fontId="13" numFmtId="0" xfId="0" applyAlignment="1" applyBorder="1" applyFont="1">
      <alignment shrinkToFit="0" vertical="center" wrapText="1"/>
    </xf>
    <xf borderId="10" fillId="13" fontId="13" numFmtId="0" xfId="0" applyAlignment="1" applyBorder="1" applyFont="1">
      <alignment shrinkToFit="0" vertical="center" wrapText="1"/>
    </xf>
    <xf borderId="4" fillId="13" fontId="13" numFmtId="0" xfId="0" applyAlignment="1" applyBorder="1" applyFont="1">
      <alignment horizontal="left" shrinkToFit="0" vertical="center" wrapText="1"/>
    </xf>
    <xf borderId="4" fillId="13" fontId="23" numFmtId="0" xfId="0" applyAlignment="1" applyBorder="1" applyFont="1">
      <alignment horizontal="left" shrinkToFit="0" vertical="center" wrapText="1"/>
    </xf>
    <xf borderId="23" fillId="9" fontId="19" numFmtId="0" xfId="0" applyAlignment="1" applyBorder="1" applyFont="1">
      <alignment shrinkToFit="0" vertical="center" wrapText="1"/>
    </xf>
    <xf borderId="25" fillId="18" fontId="53" numFmtId="0" xfId="0" applyAlignment="1" applyBorder="1" applyFont="1">
      <alignment horizontal="center" readingOrder="0" vertical="center"/>
    </xf>
    <xf borderId="0" fillId="0" fontId="54" numFmtId="0" xfId="0" applyAlignment="1" applyFont="1">
      <alignment readingOrder="0" vertical="center"/>
    </xf>
    <xf borderId="0" fillId="0" fontId="55" numFmtId="0" xfId="0" applyAlignment="1" applyFont="1">
      <alignment vertical="center"/>
    </xf>
    <xf borderId="9" fillId="4" fontId="11" numFmtId="0" xfId="0" applyAlignment="1" applyBorder="1" applyFont="1">
      <alignment horizontal="center" readingOrder="0" shrinkToFit="0" vertical="center" wrapText="1"/>
    </xf>
    <xf borderId="4" fillId="0" fontId="56" numFmtId="0" xfId="0" applyAlignment="1" applyBorder="1" applyFont="1">
      <alignment horizontal="center" shrinkToFit="0" vertical="center" wrapText="1"/>
    </xf>
    <xf borderId="4" fillId="0" fontId="56" numFmtId="167" xfId="0" applyAlignment="1" applyBorder="1" applyFont="1" applyNumberFormat="1">
      <alignment horizontal="center" readingOrder="0" vertical="center"/>
    </xf>
    <xf borderId="4" fillId="0" fontId="56" numFmtId="0" xfId="0" applyAlignment="1" applyBorder="1" applyFont="1">
      <alignment horizontal="center" readingOrder="0" shrinkToFit="0" vertical="center" wrapText="1"/>
    </xf>
    <xf borderId="4" fillId="0" fontId="56" numFmtId="165" xfId="0" applyAlignment="1" applyBorder="1" applyFont="1" applyNumberFormat="1">
      <alignment horizontal="center" readingOrder="0" shrinkToFit="0" vertical="center" wrapText="1"/>
    </xf>
    <xf borderId="0" fillId="0" fontId="21" numFmtId="0" xfId="0" applyAlignment="1" applyFont="1">
      <alignment readingOrder="0" vertical="center"/>
    </xf>
    <xf borderId="26" fillId="17" fontId="57" numFmtId="0" xfId="0" applyAlignment="1" applyBorder="1" applyFont="1">
      <alignment horizontal="left" readingOrder="0" vertical="center"/>
    </xf>
    <xf borderId="26" fillId="0" fontId="53" numFmtId="0" xfId="0" applyAlignment="1" applyBorder="1" applyFont="1">
      <alignment horizontal="left" readingOrder="0" vertical="center"/>
    </xf>
    <xf borderId="26" fillId="17" fontId="57" numFmtId="0" xfId="0" applyAlignment="1" applyBorder="1" applyFont="1">
      <alignment horizontal="center" readingOrder="0" vertical="center"/>
    </xf>
    <xf borderId="14" fillId="0" fontId="58" numFmtId="0" xfId="0" applyAlignment="1" applyBorder="1" applyFont="1">
      <alignment horizontal="left" readingOrder="0" vertical="center"/>
    </xf>
    <xf borderId="14" fillId="12" fontId="47" numFmtId="0" xfId="0" applyAlignment="1" applyBorder="1" applyFont="1">
      <alignment horizontal="left" readingOrder="0" vertical="center"/>
    </xf>
    <xf borderId="14" fillId="0" fontId="59" numFmtId="0" xfId="0" applyAlignment="1" applyBorder="1" applyFont="1">
      <alignment horizontal="center" vertical="center"/>
    </xf>
    <xf borderId="14" fillId="12" fontId="60" numFmtId="0" xfId="0" applyAlignment="1" applyBorder="1" applyFont="1">
      <alignment horizontal="center" readingOrder="0" vertical="center"/>
    </xf>
    <xf borderId="14" fillId="12" fontId="61" numFmtId="0" xfId="0" applyAlignment="1" applyBorder="1" applyFont="1">
      <alignment horizontal="center" readingOrder="0" vertical="center"/>
    </xf>
    <xf borderId="4" fillId="6" fontId="11" numFmtId="0" xfId="0" applyAlignment="1" applyBorder="1" applyFont="1">
      <alignment horizontal="left" readingOrder="0" shrinkToFit="0" vertical="center" wrapText="1"/>
    </xf>
    <xf borderId="5" fillId="9" fontId="62" numFmtId="0" xfId="0" applyAlignment="1" applyBorder="1" applyFont="1">
      <alignment horizontal="left" readingOrder="0" shrinkToFit="0" vertical="center" wrapText="1"/>
    </xf>
    <xf borderId="4" fillId="0" fontId="13" numFmtId="164" xfId="0" applyAlignment="1" applyBorder="1" applyFont="1" applyNumberFormat="1">
      <alignment horizontal="right" shrinkToFit="0" vertical="center" wrapText="1"/>
    </xf>
    <xf borderId="4" fillId="0" fontId="44" numFmtId="0" xfId="0" applyAlignment="1" applyBorder="1" applyFont="1">
      <alignment horizontal="left" readingOrder="0" shrinkToFit="0" vertical="center" wrapText="1"/>
    </xf>
    <xf borderId="4" fillId="11" fontId="13" numFmtId="0" xfId="0" applyAlignment="1" applyBorder="1" applyFont="1">
      <alignment vertical="center"/>
    </xf>
    <xf borderId="4" fillId="8" fontId="13" numFmtId="0" xfId="0" applyAlignment="1" applyBorder="1" applyFont="1">
      <alignment horizontal="right" shrinkToFit="0" vertical="center" wrapText="1"/>
    </xf>
    <xf borderId="4" fillId="8" fontId="13" numFmtId="0" xfId="0" applyAlignment="1" applyBorder="1" applyFont="1">
      <alignment horizontal="center" shrinkToFit="0" vertical="center" wrapText="1"/>
    </xf>
    <xf borderId="4" fillId="0" fontId="44" numFmtId="0" xfId="0" applyAlignment="1" applyBorder="1" applyFont="1">
      <alignment horizontal="left" shrinkToFit="0" vertical="center" wrapText="1"/>
    </xf>
    <xf borderId="4" fillId="0" fontId="44" numFmtId="0" xfId="0" applyAlignment="1" applyBorder="1" applyFont="1">
      <alignment horizontal="left" readingOrder="0" vertical="center"/>
    </xf>
    <xf borderId="4" fillId="0" fontId="44" numFmtId="0" xfId="0" applyAlignment="1" applyBorder="1" applyFont="1">
      <alignment horizontal="left" shrinkToFit="0" vertical="center" wrapText="1"/>
    </xf>
    <xf borderId="4" fillId="0" fontId="44" numFmtId="166" xfId="0" applyAlignment="1" applyBorder="1" applyFont="1" applyNumberFormat="1">
      <alignment horizontal="left" shrinkToFit="0" vertical="center" wrapText="1"/>
    </xf>
    <xf borderId="4" fillId="0" fontId="44" numFmtId="0" xfId="0" applyAlignment="1" applyBorder="1" applyFont="1">
      <alignment horizontal="left" vertical="center"/>
    </xf>
    <xf borderId="4" fillId="0" fontId="63" numFmtId="0" xfId="0" applyAlignment="1" applyBorder="1" applyFont="1">
      <alignment horizontal="left" shrinkToFit="0" vertical="center" wrapText="1"/>
    </xf>
    <xf borderId="4" fillId="0" fontId="64" numFmtId="0" xfId="0" applyAlignment="1" applyBorder="1" applyFont="1">
      <alignment horizontal="left" shrinkToFit="0" vertical="center" wrapText="1"/>
    </xf>
    <xf borderId="0" fillId="0" fontId="44" numFmtId="0" xfId="0" applyAlignment="1" applyFont="1">
      <alignment horizontal="left" vertical="center"/>
    </xf>
    <xf borderId="0" fillId="0" fontId="65" numFmtId="0" xfId="0" applyAlignment="1" applyFont="1">
      <alignment shrinkToFit="0" vertical="center" wrapText="1"/>
    </xf>
    <xf borderId="4" fillId="0" fontId="19" numFmtId="0" xfId="0" applyAlignment="1" applyBorder="1" applyFont="1">
      <alignment horizontal="left" shrinkToFit="0" vertical="center" wrapText="1"/>
    </xf>
    <xf borderId="4" fillId="0" fontId="44" numFmtId="0" xfId="0" applyAlignment="1" applyBorder="1" applyFont="1">
      <alignment horizontal="left" vertical="center"/>
    </xf>
    <xf borderId="5" fillId="11" fontId="13" numFmtId="0" xfId="0" applyAlignment="1" applyBorder="1" applyFont="1">
      <alignment vertical="center"/>
    </xf>
    <xf borderId="4" fillId="0" fontId="44" numFmtId="49" xfId="0" applyAlignment="1" applyBorder="1" applyFont="1" applyNumberFormat="1">
      <alignment horizontal="left" readingOrder="0" shrinkToFit="0" vertical="center" wrapText="1"/>
    </xf>
    <xf borderId="4" fillId="8" fontId="13" numFmtId="0" xfId="0" applyAlignment="1" applyBorder="1" applyFont="1">
      <alignment vertical="center"/>
    </xf>
    <xf borderId="27" fillId="0" fontId="13" numFmtId="167" xfId="0" applyAlignment="1" applyBorder="1" applyFont="1" applyNumberFormat="1">
      <alignment horizontal="center" readingOrder="0" shrinkToFit="0" vertical="center" wrapText="1"/>
    </xf>
    <xf borderId="4" fillId="8" fontId="19" numFmtId="0" xfId="0" applyAlignment="1" applyBorder="1" applyFont="1">
      <alignment shrinkToFit="0" vertical="center" wrapText="1"/>
    </xf>
    <xf borderId="11" fillId="6" fontId="13" numFmtId="0" xfId="0" applyAlignment="1" applyBorder="1" applyFont="1">
      <alignment horizontal="center" shrinkToFit="0" vertical="center" wrapText="1"/>
    </xf>
    <xf borderId="12" fillId="6" fontId="13" numFmtId="0" xfId="0" applyAlignment="1" applyBorder="1" applyFont="1">
      <alignment horizontal="left" vertical="center"/>
    </xf>
    <xf borderId="12" fillId="6" fontId="19" numFmtId="0" xfId="0" applyAlignment="1" applyBorder="1" applyFont="1">
      <alignment horizontal="left" vertical="center"/>
    </xf>
    <xf borderId="12" fillId="6" fontId="13" numFmtId="164" xfId="0" applyAlignment="1" applyBorder="1" applyFont="1" applyNumberFormat="1">
      <alignment horizontal="right" shrinkToFit="0" vertical="center" wrapText="1"/>
    </xf>
    <xf borderId="8" fillId="6" fontId="44" numFmtId="165" xfId="0" applyAlignment="1" applyBorder="1" applyFont="1" applyNumberFormat="1">
      <alignment horizontal="left" shrinkToFit="0" vertical="center" wrapText="1"/>
    </xf>
    <xf borderId="4" fillId="6" fontId="44" numFmtId="165" xfId="0" applyAlignment="1" applyBorder="1" applyFont="1" applyNumberFormat="1">
      <alignment horizontal="left" shrinkToFit="0" vertical="center" wrapText="1"/>
    </xf>
    <xf borderId="2" fillId="6" fontId="44" numFmtId="165" xfId="0" applyAlignment="1" applyBorder="1" applyFont="1" applyNumberFormat="1">
      <alignment horizontal="left" shrinkToFit="0" vertical="center" wrapText="1"/>
    </xf>
    <xf borderId="28" fillId="6" fontId="13" numFmtId="0" xfId="0" applyAlignment="1" applyBorder="1" applyFont="1">
      <alignment horizontal="center" readingOrder="0" shrinkToFit="0" vertical="center" wrapText="1"/>
    </xf>
    <xf borderId="12" fillId="6" fontId="13" numFmtId="0" xfId="0" applyAlignment="1" applyBorder="1" applyFont="1">
      <alignment horizontal="center" readingOrder="0" shrinkToFit="0" vertical="center" wrapText="1"/>
    </xf>
    <xf borderId="12" fillId="6" fontId="13" numFmtId="165" xfId="0" applyAlignment="1" applyBorder="1" applyFont="1" applyNumberFormat="1">
      <alignment horizontal="center" readingOrder="0" shrinkToFit="0" vertical="center" wrapText="1"/>
    </xf>
    <xf borderId="4" fillId="0" fontId="44" numFmtId="164" xfId="0" applyAlignment="1" applyBorder="1" applyFont="1" applyNumberFormat="1">
      <alignment horizontal="left" shrinkToFit="0" vertical="center" wrapText="1"/>
    </xf>
    <xf borderId="0" fillId="0" fontId="66" numFmtId="0" xfId="0" applyAlignment="1" applyFont="1">
      <alignment horizontal="left" vertical="center"/>
    </xf>
    <xf borderId="0" fillId="0" fontId="32" numFmtId="0" xfId="0" applyAlignment="1" applyFont="1">
      <alignment horizontal="center" vertical="center"/>
    </xf>
    <xf borderId="0" fillId="10" fontId="34" numFmtId="0" xfId="0" applyAlignment="1" applyFont="1">
      <alignment horizontal="left" readingOrder="0" vertical="center"/>
    </xf>
    <xf borderId="0" fillId="10" fontId="66" numFmtId="0" xfId="0" applyAlignment="1" applyFont="1">
      <alignment horizontal="left" readingOrder="0" vertical="center"/>
    </xf>
    <xf borderId="0" fillId="10" fontId="21" numFmtId="0" xfId="0" applyAlignment="1" applyFont="1">
      <alignment readingOrder="0" vertical="center"/>
    </xf>
    <xf borderId="0" fillId="12" fontId="30" numFmtId="0" xfId="0" applyAlignment="1" applyFont="1">
      <alignment horizontal="right" readingOrder="0" vertical="center"/>
    </xf>
    <xf borderId="0" fillId="0" fontId="66" numFmtId="0" xfId="0" applyAlignment="1" applyFont="1">
      <alignment horizontal="left" readingOrder="0" vertical="center"/>
    </xf>
    <xf borderId="0" fillId="12" fontId="66" numFmtId="0" xfId="0" applyAlignment="1" applyFont="1">
      <alignment horizontal="left" vertical="center"/>
    </xf>
    <xf borderId="0" fillId="12" fontId="30" numFmtId="0" xfId="0" applyAlignment="1" applyFont="1">
      <alignment horizontal="center" vertical="center"/>
    </xf>
    <xf borderId="0" fillId="0" fontId="34" numFmtId="0" xfId="0" applyAlignment="1" applyFont="1">
      <alignment horizontal="right" readingOrder="0" vertical="center"/>
    </xf>
    <xf borderId="0" fillId="0" fontId="67" numFmtId="0" xfId="0" applyAlignment="1" applyFont="1">
      <alignment horizontal="right" readingOrder="0" vertical="center"/>
    </xf>
    <xf borderId="0" fillId="0" fontId="30" numFmtId="0" xfId="0" applyAlignment="1" applyFont="1">
      <alignment horizontal="left" readingOrder="0" vertical="center"/>
    </xf>
    <xf borderId="0" fillId="0" fontId="30" numFmtId="0" xfId="0" applyAlignment="1" applyFont="1">
      <alignment horizontal="right" readingOrder="0" vertical="center"/>
    </xf>
    <xf borderId="0" fillId="0" fontId="30" numFmtId="0" xfId="0" applyAlignment="1" applyFont="1">
      <alignment horizontal="right" vertical="center"/>
    </xf>
    <xf borderId="0" fillId="0" fontId="68" numFmtId="0" xfId="0" applyAlignment="1" applyFont="1">
      <alignment horizontal="center" readingOrder="0" vertical="center"/>
    </xf>
    <xf borderId="0" fillId="0" fontId="30" numFmtId="166" xfId="0" applyAlignment="1" applyFont="1" applyNumberFormat="1">
      <alignment readingOrder="0" vertical="center"/>
    </xf>
    <xf borderId="0" fillId="0" fontId="30" numFmtId="166" xfId="0" applyAlignment="1" applyFont="1" applyNumberFormat="1">
      <alignment vertical="center"/>
    </xf>
    <xf borderId="0" fillId="12" fontId="30" numFmtId="166" xfId="0" applyAlignment="1" applyFont="1" applyNumberFormat="1">
      <alignment readingOrder="0" vertical="center"/>
    </xf>
    <xf borderId="0" fillId="12" fontId="30" numFmtId="166" xfId="0" applyAlignment="1" applyFont="1" applyNumberFormat="1">
      <alignment vertical="center"/>
    </xf>
    <xf borderId="0" fillId="0" fontId="44" numFmtId="166" xfId="0" applyAlignment="1" applyFont="1" applyNumberFormat="1">
      <alignment vertical="center"/>
    </xf>
    <xf borderId="0" fillId="0" fontId="69" numFmtId="0" xfId="0" applyAlignment="1" applyFont="1">
      <alignment horizontal="right" readingOrder="0" vertical="center"/>
    </xf>
    <xf borderId="0" fillId="0" fontId="21" numFmtId="166" xfId="0" applyAlignment="1" applyFont="1" applyNumberFormat="1">
      <alignment vertical="center"/>
    </xf>
    <xf borderId="0" fillId="10" fontId="70" numFmtId="0" xfId="0" applyAlignment="1" applyFont="1">
      <alignment horizontal="left" readingOrder="0" vertical="center"/>
    </xf>
    <xf borderId="29" fillId="18" fontId="53" numFmtId="0" xfId="0" applyAlignment="1" applyBorder="1" applyFont="1">
      <alignment horizontal="center" readingOrder="0" vertical="center"/>
    </xf>
    <xf borderId="30" fillId="18" fontId="53" numFmtId="0" xfId="0" applyAlignment="1" applyBorder="1" applyFont="1">
      <alignment horizontal="center" readingOrder="0" vertical="center"/>
    </xf>
    <xf borderId="15" fillId="0" fontId="66" numFmtId="0" xfId="0" applyAlignment="1" applyBorder="1" applyFont="1">
      <alignment horizontal="center" readingOrder="0" vertical="center"/>
    </xf>
    <xf borderId="15" fillId="0" fontId="66" numFmtId="0" xfId="0" applyAlignment="1" applyBorder="1" applyFont="1">
      <alignment horizontal="center" vertical="center"/>
    </xf>
    <xf borderId="14" fillId="0" fontId="66" numFmtId="0" xfId="0" applyAlignment="1" applyBorder="1" applyFont="1">
      <alignment horizontal="center" readingOrder="0" vertical="center"/>
    </xf>
    <xf borderId="20" fillId="0" fontId="66" numFmtId="0" xfId="0" applyAlignment="1" applyBorder="1" applyFont="1">
      <alignment horizontal="center" vertical="center"/>
    </xf>
    <xf borderId="20" fillId="0" fontId="66" numFmtId="0" xfId="0" applyAlignment="1" applyBorder="1" applyFont="1">
      <alignment horizontal="center" readingOrder="0" vertical="center"/>
    </xf>
    <xf borderId="14" fillId="0" fontId="66" numFmtId="0" xfId="0" applyAlignment="1" applyBorder="1" applyFont="1">
      <alignment horizontal="center" vertical="center"/>
    </xf>
    <xf borderId="14" fillId="0" fontId="66" numFmtId="170" xfId="0" applyAlignment="1" applyBorder="1" applyFont="1" applyNumberFormat="1">
      <alignment horizontal="center" readingOrder="0" vertical="center"/>
    </xf>
    <xf borderId="0" fillId="0" fontId="66" numFmtId="170" xfId="0" applyAlignment="1" applyFont="1" applyNumberFormat="1">
      <alignment horizontal="center" vertical="center"/>
    </xf>
    <xf borderId="31" fillId="16" fontId="71" numFmtId="0" xfId="0" applyAlignment="1" applyBorder="1" applyFont="1">
      <alignment vertical="center"/>
    </xf>
    <xf borderId="31" fillId="16" fontId="72" numFmtId="0" xfId="0" applyAlignment="1" applyBorder="1" applyFont="1">
      <alignment vertical="center"/>
    </xf>
    <xf borderId="31" fillId="16" fontId="71" numFmtId="0" xfId="0" applyAlignment="1" applyBorder="1" applyFont="1">
      <alignment horizontal="center" vertical="center"/>
    </xf>
    <xf borderId="0" fillId="0" fontId="13" numFmtId="0" xfId="0" applyAlignment="1" applyFont="1">
      <alignment vertical="center"/>
    </xf>
    <xf borderId="0" fillId="0" fontId="11" numFmtId="0" xfId="0" applyAlignment="1" applyFont="1">
      <alignment vertical="center"/>
    </xf>
    <xf borderId="0" fillId="0" fontId="13" numFmtId="0" xfId="0" applyAlignment="1" applyFont="1">
      <alignment horizontal="center" vertical="center"/>
    </xf>
    <xf borderId="32" fillId="0" fontId="11" numFmtId="0" xfId="0" applyAlignment="1" applyBorder="1" applyFont="1">
      <alignment vertical="center"/>
    </xf>
    <xf borderId="32" fillId="0" fontId="13" numFmtId="0" xfId="0" applyAlignment="1" applyBorder="1" applyFont="1">
      <alignment horizontal="center" vertical="center"/>
    </xf>
    <xf borderId="33" fillId="0" fontId="13" numFmtId="0" xfId="0" applyAlignment="1" applyBorder="1" applyFont="1">
      <alignment vertical="center"/>
    </xf>
    <xf borderId="9" fillId="19" fontId="11" numFmtId="0" xfId="0" applyAlignment="1" applyBorder="1" applyFill="1" applyFont="1">
      <alignment horizontal="center" vertical="center"/>
    </xf>
    <xf borderId="9" fillId="19" fontId="11" numFmtId="165" xfId="0" applyAlignment="1" applyBorder="1" applyFont="1" applyNumberFormat="1">
      <alignment horizontal="center" vertical="center"/>
    </xf>
    <xf borderId="0" fillId="0" fontId="13" numFmtId="0" xfId="0" applyAlignment="1" applyFont="1">
      <alignment horizontal="right" vertical="center"/>
    </xf>
    <xf borderId="4" fillId="0" fontId="13" numFmtId="0" xfId="0" applyAlignment="1" applyBorder="1" applyFont="1">
      <alignment horizontal="center" vertical="center"/>
    </xf>
    <xf borderId="0" fillId="0" fontId="41" numFmtId="0" xfId="0" applyAlignment="1" applyFont="1">
      <alignment horizontal="right" vertical="center"/>
    </xf>
    <xf borderId="4" fillId="19" fontId="11" numFmtId="0" xfId="0" applyAlignment="1" applyBorder="1" applyFont="1">
      <alignment horizontal="center" vertical="center"/>
    </xf>
    <xf borderId="4" fillId="8" fontId="11" numFmtId="0" xfId="0" applyAlignment="1" applyBorder="1" applyFont="1">
      <alignment horizontal="center" vertical="center"/>
    </xf>
    <xf borderId="4" fillId="16" fontId="13" numFmtId="0" xfId="0" applyAlignment="1" applyBorder="1" applyFont="1">
      <alignment vertical="center"/>
    </xf>
    <xf borderId="4" fillId="16" fontId="72" numFmtId="0" xfId="0" applyAlignment="1" applyBorder="1" applyFont="1">
      <alignment vertical="center"/>
    </xf>
    <xf borderId="31" fillId="12" fontId="13" numFmtId="0" xfId="0" applyAlignment="1" applyBorder="1" applyFont="1">
      <alignment vertical="center"/>
    </xf>
    <xf borderId="34" fillId="12" fontId="13" numFmtId="0" xfId="0" applyAlignment="1" applyBorder="1" applyFont="1">
      <alignment vertical="center"/>
    </xf>
    <xf borderId="35" fillId="12" fontId="13" numFmtId="0" xfId="0" applyAlignment="1" applyBorder="1" applyFont="1">
      <alignment vertical="center"/>
    </xf>
    <xf borderId="36" fillId="20" fontId="11" numFmtId="0" xfId="0" applyAlignment="1" applyBorder="1" applyFill="1" applyFont="1">
      <alignment vertical="center"/>
    </xf>
    <xf borderId="37" fillId="0" fontId="6" numFmtId="0" xfId="0" applyAlignment="1" applyBorder="1" applyFont="1">
      <alignment vertical="center"/>
    </xf>
    <xf borderId="18" fillId="0" fontId="6" numFmtId="0" xfId="0" applyAlignment="1" applyBorder="1" applyFont="1">
      <alignment vertical="center"/>
    </xf>
    <xf borderId="38" fillId="12" fontId="13" numFmtId="0" xfId="0" applyAlignment="1" applyBorder="1" applyFont="1">
      <alignment vertical="center"/>
    </xf>
    <xf borderId="39" fillId="0" fontId="6" numFmtId="0" xfId="0" applyAlignment="1" applyBorder="1" applyFont="1">
      <alignment vertical="center"/>
    </xf>
    <xf borderId="40" fillId="0" fontId="6" numFmtId="0" xfId="0" applyAlignment="1" applyBorder="1" applyFont="1">
      <alignment vertical="center"/>
    </xf>
    <xf borderId="41" fillId="0" fontId="6" numFmtId="0" xfId="0" applyAlignment="1" applyBorder="1" applyFont="1">
      <alignment vertical="center"/>
    </xf>
    <xf borderId="33" fillId="0" fontId="6" numFmtId="0" xfId="0" applyAlignment="1" applyBorder="1" applyFont="1">
      <alignment vertical="center"/>
    </xf>
    <xf borderId="42" fillId="0" fontId="6" numFmtId="0" xfId="0" applyAlignment="1" applyBorder="1" applyFont="1">
      <alignment vertical="center"/>
    </xf>
    <xf borderId="32" fillId="0" fontId="6" numFmtId="0" xfId="0" applyAlignment="1" applyBorder="1" applyFont="1">
      <alignment vertical="center"/>
    </xf>
    <xf borderId="17" fillId="0" fontId="6" numFmtId="0" xfId="0" applyAlignment="1" applyBorder="1" applyFont="1">
      <alignment vertical="center"/>
    </xf>
    <xf borderId="34" fillId="12" fontId="11" numFmtId="0" xfId="0" applyAlignment="1" applyBorder="1" applyFont="1">
      <alignment vertical="center"/>
    </xf>
    <xf borderId="9" fillId="16" fontId="73" numFmtId="0" xfId="0" applyAlignment="1" applyBorder="1" applyFont="1">
      <alignment horizontal="center" vertical="center"/>
    </xf>
    <xf borderId="36" fillId="16" fontId="73" numFmtId="0" xfId="0" applyAlignment="1" applyBorder="1" applyFont="1">
      <alignment horizontal="center" vertical="center"/>
    </xf>
    <xf borderId="9" fillId="12" fontId="13" numFmtId="0" xfId="0" applyAlignment="1" applyBorder="1" applyFont="1">
      <alignment vertical="center"/>
    </xf>
    <xf borderId="36" fillId="21" fontId="13" numFmtId="0" xfId="0" applyAlignment="1" applyBorder="1" applyFill="1" applyFont="1">
      <alignment horizontal="center" readingOrder="0" vertical="center"/>
    </xf>
    <xf borderId="31" fillId="12" fontId="13" numFmtId="0" xfId="0" applyAlignment="1" applyBorder="1" applyFont="1">
      <alignment readingOrder="0" vertical="center"/>
    </xf>
    <xf borderId="4" fillId="16" fontId="73" numFmtId="0" xfId="0" applyAlignment="1" applyBorder="1" applyFont="1">
      <alignment horizontal="center" vertical="center"/>
    </xf>
    <xf borderId="4" fillId="12" fontId="13" numFmtId="0" xfId="0" applyAlignment="1" applyBorder="1" applyFont="1">
      <alignment vertical="center"/>
    </xf>
    <xf borderId="4" fillId="22" fontId="13" numFmtId="164" xfId="0" applyAlignment="1" applyBorder="1" applyFill="1" applyFont="1" applyNumberFormat="1">
      <alignment horizontal="right" readingOrder="0" vertical="center"/>
    </xf>
    <xf borderId="4" fillId="21" fontId="13" numFmtId="0" xfId="0" applyAlignment="1" applyBorder="1" applyFont="1">
      <alignment readingOrder="0" vertical="center"/>
    </xf>
    <xf borderId="4" fillId="23" fontId="13" numFmtId="0" xfId="0" applyAlignment="1" applyBorder="1" applyFill="1" applyFont="1">
      <alignment vertical="center"/>
    </xf>
    <xf borderId="4" fillId="22" fontId="13" numFmtId="164" xfId="0" applyAlignment="1" applyBorder="1" applyFont="1" applyNumberFormat="1">
      <alignment horizontal="right" vertical="center"/>
    </xf>
    <xf borderId="4" fillId="21" fontId="13" numFmtId="0" xfId="0" applyAlignment="1" applyBorder="1" applyFont="1">
      <alignment vertical="center"/>
    </xf>
    <xf borderId="31" fillId="12" fontId="11" numFmtId="0" xfId="0" applyAlignment="1" applyBorder="1" applyFont="1">
      <alignment vertical="center"/>
    </xf>
    <xf borderId="4" fillId="12" fontId="13" numFmtId="0" xfId="0" applyAlignment="1" applyBorder="1" applyFont="1">
      <alignment horizontal="center" vertical="center"/>
    </xf>
    <xf borderId="4" fillId="22" fontId="41" numFmtId="164" xfId="0" applyAlignment="1" applyBorder="1" applyFont="1" applyNumberFormat="1">
      <alignment horizontal="right" readingOrder="0" vertical="center"/>
    </xf>
    <xf borderId="1" fillId="5" fontId="11" numFmtId="0" xfId="0" applyAlignment="1" applyBorder="1" applyFont="1">
      <alignment vertical="center"/>
    </xf>
    <xf borderId="43" fillId="12" fontId="13" numFmtId="0" xfId="0" applyAlignment="1" applyBorder="1" applyFont="1">
      <alignment vertical="center"/>
    </xf>
    <xf borderId="44" fillId="0" fontId="6" numFmtId="0" xfId="0" applyAlignment="1" applyBorder="1" applyFont="1">
      <alignment vertical="center"/>
    </xf>
    <xf borderId="27" fillId="0" fontId="6" numFmtId="0" xfId="0" applyAlignment="1" applyBorder="1" applyFont="1">
      <alignment vertical="center"/>
    </xf>
    <xf borderId="45" fillId="0" fontId="6" numFmtId="0" xfId="0" applyAlignment="1" applyBorder="1" applyFont="1">
      <alignment vertical="center"/>
    </xf>
    <xf borderId="46" fillId="0" fontId="6" numFmtId="0" xfId="0" applyAlignment="1" applyBorder="1" applyFont="1">
      <alignment vertical="center"/>
    </xf>
    <xf borderId="4" fillId="24" fontId="13" numFmtId="0" xfId="0" applyAlignment="1" applyBorder="1" applyFill="1" applyFont="1">
      <alignment vertical="center"/>
    </xf>
    <xf borderId="4" fillId="16" fontId="73" numFmtId="0" xfId="0" applyAlignment="1" applyBorder="1" applyFont="1">
      <alignment vertical="center"/>
    </xf>
    <xf borderId="31" fillId="12" fontId="18" numFmtId="0" xfId="0" applyAlignment="1" applyBorder="1" applyFont="1">
      <alignment shrinkToFit="0" vertical="center" wrapText="1"/>
    </xf>
    <xf borderId="0" fillId="0" fontId="13" numFmtId="0" xfId="0" applyAlignment="1" applyFont="1">
      <alignment shrinkToFit="0" vertical="center" wrapText="1"/>
    </xf>
    <xf borderId="47" fillId="12" fontId="10" numFmtId="0" xfId="0" applyAlignment="1" applyBorder="1" applyFont="1">
      <alignment shrinkToFit="0" vertical="center" wrapText="1"/>
    </xf>
    <xf borderId="48" fillId="0" fontId="6" numFmtId="0" xfId="0" applyAlignment="1" applyBorder="1" applyFont="1">
      <alignment vertical="center"/>
    </xf>
    <xf borderId="4" fillId="16" fontId="73" numFmtId="0" xfId="0" applyAlignment="1" applyBorder="1" applyFont="1">
      <alignment horizontal="center" shrinkToFit="0" vertical="center" wrapText="1"/>
    </xf>
    <xf borderId="10" fillId="12" fontId="13" numFmtId="0" xfId="0" applyAlignment="1" applyBorder="1" applyFont="1">
      <alignment horizontal="center" vertical="center"/>
    </xf>
    <xf borderId="4" fillId="0" fontId="13" numFmtId="164" xfId="0" applyAlignment="1" applyBorder="1" applyFont="1" applyNumberFormat="1">
      <alignment horizontal="right" vertical="center"/>
    </xf>
    <xf borderId="31" fillId="12" fontId="10" numFmtId="0" xfId="0" applyAlignment="1" applyBorder="1" applyFont="1">
      <alignment vertical="center"/>
    </xf>
    <xf borderId="31" fillId="12" fontId="10" numFmtId="0" xfId="0" applyAlignment="1" applyBorder="1" applyFont="1">
      <alignment shrinkToFit="0" vertical="center" wrapText="1"/>
    </xf>
    <xf borderId="17" fillId="0" fontId="13" numFmtId="0" xfId="0" applyAlignment="1" applyBorder="1" applyFont="1">
      <alignment horizontal="center" readingOrder="0" vertical="center"/>
    </xf>
    <xf borderId="4" fillId="25" fontId="13" numFmtId="0" xfId="0" applyAlignment="1" applyBorder="1" applyFill="1" applyFont="1">
      <alignment readingOrder="0" vertical="center"/>
    </xf>
    <xf borderId="10" fillId="21" fontId="13" numFmtId="0" xfId="0" applyAlignment="1" applyBorder="1" applyFont="1">
      <alignment readingOrder="0" vertical="center"/>
    </xf>
    <xf borderId="10" fillId="25" fontId="13" numFmtId="0" xfId="0" applyAlignment="1" applyBorder="1" applyFont="1">
      <alignment readingOrder="0" vertical="center"/>
    </xf>
    <xf borderId="3" fillId="0" fontId="13" numFmtId="0" xfId="0" applyAlignment="1" applyBorder="1" applyFont="1">
      <alignment horizontal="center" readingOrder="0" vertical="center"/>
    </xf>
    <xf borderId="0" fillId="0" fontId="13" numFmtId="0" xfId="0" applyAlignment="1" applyFont="1">
      <alignment readingOrder="0" shrinkToFit="0" vertical="center" wrapText="1"/>
    </xf>
    <xf borderId="31" fillId="12" fontId="18" numFmtId="171" xfId="0" applyAlignment="1" applyBorder="1" applyFont="1" applyNumberFormat="1">
      <alignment shrinkToFit="0" vertical="center" wrapText="1"/>
    </xf>
    <xf borderId="31" fillId="16" fontId="13" numFmtId="0" xfId="0" applyAlignment="1" applyBorder="1" applyFont="1">
      <alignment vertical="center"/>
    </xf>
    <xf borderId="1" fillId="20" fontId="11" numFmtId="0" xfId="0" applyAlignment="1" applyBorder="1" applyFont="1">
      <alignment vertical="center"/>
    </xf>
    <xf borderId="43" fillId="12" fontId="18" numFmtId="0" xfId="0" applyAlignment="1" applyBorder="1" applyFont="1">
      <alignment horizontal="left" vertical="center"/>
    </xf>
    <xf borderId="0" fillId="0" fontId="13" numFmtId="0" xfId="0" applyAlignment="1" applyFont="1">
      <alignment horizontal="left" vertical="center"/>
    </xf>
    <xf borderId="31" fillId="12" fontId="18" numFmtId="0" xfId="0" applyAlignment="1" applyBorder="1" applyFont="1">
      <alignment horizontal="left" shrinkToFit="0" vertical="center" wrapText="1"/>
    </xf>
    <xf borderId="0" fillId="0" fontId="1" numFmtId="0" xfId="0" applyAlignment="1" applyFont="1">
      <alignment horizontal="left" vertical="center"/>
    </xf>
    <xf borderId="4" fillId="25" fontId="13" numFmtId="0" xfId="0" applyAlignment="1" applyBorder="1" applyFont="1">
      <alignment vertical="center"/>
    </xf>
    <xf borderId="4" fillId="0" fontId="13" numFmtId="0" xfId="0" applyAlignment="1" applyBorder="1" applyFont="1">
      <alignment readingOrder="0" vertical="center"/>
    </xf>
    <xf borderId="4" fillId="26" fontId="41" numFmtId="0" xfId="0" applyAlignment="1" applyBorder="1" applyFill="1" applyFont="1">
      <alignment readingOrder="0" vertical="center"/>
    </xf>
    <xf borderId="4" fillId="25" fontId="41" numFmtId="0" xfId="0" applyAlignment="1" applyBorder="1" applyFont="1">
      <alignment readingOrder="0" shrinkToFit="0" vertical="center" wrapText="1"/>
    </xf>
    <xf borderId="4" fillId="23" fontId="13" numFmtId="0" xfId="0" applyAlignment="1" applyBorder="1" applyFont="1">
      <alignment horizontal="center" vertical="center"/>
    </xf>
    <xf borderId="4" fillId="22" fontId="41" numFmtId="164" xfId="0" applyAlignment="1" applyBorder="1" applyFont="1" applyNumberFormat="1">
      <alignment horizontal="right" vertical="center"/>
    </xf>
    <xf borderId="4" fillId="25" fontId="13" numFmtId="0" xfId="0" applyAlignment="1" applyBorder="1" applyFont="1">
      <alignment shrinkToFit="0" vertical="center" wrapText="1"/>
    </xf>
    <xf borderId="4" fillId="25" fontId="41" numFmtId="0" xfId="0" applyAlignment="1" applyBorder="1" applyFont="1">
      <alignment readingOrder="0" vertical="center"/>
    </xf>
    <xf borderId="4" fillId="12" fontId="13" numFmtId="0" xfId="0" applyAlignment="1" applyBorder="1" applyFont="1">
      <alignment horizontal="left" shrinkToFit="0" vertical="center" wrapText="1"/>
    </xf>
    <xf borderId="4" fillId="12" fontId="13" numFmtId="0" xfId="0" applyAlignment="1" applyBorder="1" applyFont="1">
      <alignment shrinkToFit="0" vertical="center" wrapText="1"/>
    </xf>
    <xf borderId="4" fillId="12" fontId="13" numFmtId="0" xfId="0" applyAlignment="1" applyBorder="1" applyFont="1">
      <alignment horizontal="right" shrinkToFit="0" vertical="center" wrapText="1"/>
    </xf>
    <xf borderId="17" fillId="0" fontId="13" numFmtId="0" xfId="0" applyAlignment="1" applyBorder="1" applyFont="1">
      <alignment readingOrder="0" vertical="center"/>
    </xf>
    <xf borderId="4" fillId="12" fontId="13" numFmtId="0" xfId="0" applyAlignment="1" applyBorder="1" applyFont="1">
      <alignment horizontal="left" readingOrder="0" shrinkToFit="0" vertical="center" wrapText="1"/>
    </xf>
    <xf borderId="4" fillId="0" fontId="13" numFmtId="0" xfId="0" applyAlignment="1" applyBorder="1" applyFont="1">
      <alignment shrinkToFit="0" vertical="center" wrapText="1"/>
    </xf>
    <xf borderId="4" fillId="0" fontId="1" numFmtId="172" xfId="0" applyAlignment="1" applyBorder="1" applyFont="1" applyNumberFormat="1">
      <alignment horizontal="right" vertical="center"/>
    </xf>
    <xf borderId="31" fillId="12" fontId="13" numFmtId="0" xfId="0" applyAlignment="1" applyBorder="1" applyFont="1">
      <alignment shrinkToFit="0" vertical="center" wrapText="1"/>
    </xf>
    <xf borderId="49" fillId="12" fontId="30" numFmtId="0" xfId="0" applyAlignment="1" applyBorder="1" applyFont="1">
      <alignment horizontal="center" vertical="center"/>
    </xf>
    <xf borderId="9" fillId="25" fontId="13" numFmtId="0" xfId="0" applyAlignment="1" applyBorder="1" applyFont="1">
      <alignment readingOrder="0" vertical="center"/>
    </xf>
    <xf borderId="9" fillId="25" fontId="13" numFmtId="0" xfId="0" applyAlignment="1" applyBorder="1" applyFont="1">
      <alignment vertical="center"/>
    </xf>
    <xf borderId="4" fillId="12" fontId="13" numFmtId="0" xfId="0" applyAlignment="1" applyBorder="1" applyFont="1">
      <alignment horizontal="center" readingOrder="0" vertical="center"/>
    </xf>
    <xf borderId="4" fillId="12" fontId="13" numFmtId="0" xfId="0" applyAlignment="1" applyBorder="1" applyFont="1">
      <alignment readingOrder="0" vertical="center"/>
    </xf>
    <xf borderId="4" fillId="25" fontId="13" numFmtId="0" xfId="0" applyAlignment="1" applyBorder="1" applyFont="1">
      <alignment readingOrder="0" shrinkToFit="0" vertical="center" wrapText="1"/>
    </xf>
    <xf borderId="4" fillId="12" fontId="13" numFmtId="0" xfId="0" applyAlignment="1" applyBorder="1" applyFont="1">
      <alignment horizontal="center" readingOrder="0" shrinkToFit="0" vertical="center" wrapText="1"/>
    </xf>
    <xf borderId="4" fillId="12" fontId="13" numFmtId="0" xfId="0" applyAlignment="1" applyBorder="1" applyFont="1">
      <alignment readingOrder="0" shrinkToFit="0" vertical="center" wrapText="1"/>
    </xf>
    <xf borderId="4" fillId="0" fontId="13" numFmtId="0" xfId="0" applyAlignment="1" applyBorder="1" applyFont="1">
      <alignment horizontal="center" readingOrder="0" vertical="center"/>
    </xf>
    <xf borderId="4" fillId="12" fontId="13" numFmtId="0" xfId="0" applyAlignment="1" applyBorder="1" applyFont="1">
      <alignment horizontal="center" shrinkToFit="0" vertical="center" wrapText="1"/>
    </xf>
    <xf borderId="49" fillId="12" fontId="74" numFmtId="0" xfId="0" applyAlignment="1" applyBorder="1" applyFont="1">
      <alignment horizontal="center" vertical="center"/>
    </xf>
    <xf borderId="31" fillId="12" fontId="74" numFmtId="0" xfId="0" applyAlignment="1" applyBorder="1" applyFont="1">
      <alignment horizontal="center" vertical="center"/>
    </xf>
    <xf borderId="1" fillId="16" fontId="73" numFmtId="0" xfId="0" applyAlignment="1" applyBorder="1" applyFont="1">
      <alignment horizontal="center" shrinkToFit="0" vertical="center" wrapText="1"/>
    </xf>
    <xf borderId="1" fillId="25" fontId="13" numFmtId="0" xfId="0" applyAlignment="1" applyBorder="1" applyFont="1">
      <alignment vertical="center"/>
    </xf>
    <xf borderId="1" fillId="16" fontId="72" numFmtId="0" xfId="0" applyAlignment="1" applyBorder="1" applyFont="1">
      <alignment vertical="center"/>
    </xf>
    <xf borderId="4" fillId="16" fontId="13" numFmtId="0" xfId="0" applyAlignment="1" applyBorder="1" applyFont="1">
      <alignment horizontal="center" vertical="center"/>
    </xf>
    <xf borderId="31" fillId="12" fontId="18" numFmtId="0" xfId="0" applyAlignment="1" applyBorder="1" applyFont="1">
      <alignment vertical="center"/>
    </xf>
    <xf borderId="31" fillId="12" fontId="18" numFmtId="0" xfId="0" applyAlignment="1" applyBorder="1" applyFont="1">
      <alignment horizontal="center" vertical="center"/>
    </xf>
    <xf borderId="31" fillId="12" fontId="18" numFmtId="164" xfId="0" applyAlignment="1" applyBorder="1" applyFont="1" applyNumberFormat="1">
      <alignment horizontal="center" vertical="center"/>
    </xf>
    <xf borderId="1" fillId="20" fontId="11" numFmtId="0" xfId="0" applyAlignment="1" applyBorder="1" applyFont="1">
      <alignment horizontal="left" vertical="center"/>
    </xf>
    <xf borderId="50" fillId="12" fontId="18" numFmtId="0" xfId="0" applyAlignment="1" applyBorder="1" applyFont="1">
      <alignment horizontal="left" vertical="center"/>
    </xf>
    <xf borderId="31" fillId="12" fontId="18" numFmtId="173" xfId="0" applyAlignment="1" applyBorder="1" applyFont="1" applyNumberFormat="1">
      <alignment vertical="center"/>
    </xf>
    <xf borderId="31" fillId="12" fontId="18" numFmtId="173" xfId="0" applyAlignment="1" applyBorder="1" applyFont="1" applyNumberFormat="1">
      <alignment horizontal="center" vertical="center"/>
    </xf>
    <xf borderId="31" fillId="12" fontId="10" numFmtId="0" xfId="0" applyAlignment="1" applyBorder="1" applyFont="1">
      <alignment horizontal="left" vertical="center"/>
    </xf>
    <xf borderId="5" fillId="16" fontId="73" numFmtId="0" xfId="0" applyAlignment="1" applyBorder="1" applyFont="1">
      <alignment horizontal="center" vertical="center"/>
    </xf>
    <xf borderId="11" fillId="16" fontId="73" numFmtId="0" xfId="0" applyAlignment="1" applyBorder="1" applyFont="1">
      <alignment horizontal="center" vertical="center"/>
    </xf>
    <xf borderId="12" fillId="16" fontId="73" numFmtId="0" xfId="0" applyAlignment="1" applyBorder="1" applyFont="1">
      <alignment horizontal="center" vertical="center"/>
    </xf>
    <xf borderId="51" fillId="12" fontId="13" numFmtId="0" xfId="0" applyAlignment="1" applyBorder="1" applyFont="1">
      <alignment horizontal="center" vertical="center"/>
    </xf>
    <xf borderId="51" fillId="23" fontId="13" numFmtId="0" xfId="0" applyAlignment="1" applyBorder="1" applyFont="1">
      <alignment horizontal="center" vertical="center"/>
    </xf>
    <xf borderId="23" fillId="21" fontId="13" numFmtId="0" xfId="0" applyAlignment="1" applyBorder="1" applyFont="1">
      <alignment horizontal="center" shrinkToFit="0" vertical="center" wrapText="1"/>
    </xf>
    <xf borderId="23" fillId="21" fontId="13" numFmtId="0" xfId="0" applyAlignment="1" applyBorder="1" applyFont="1">
      <alignment horizontal="left" shrinkToFit="0" vertical="center" wrapText="1"/>
    </xf>
    <xf borderId="9" fillId="21" fontId="13" numFmtId="0" xfId="0" applyAlignment="1" applyBorder="1" applyFont="1">
      <alignment vertical="center"/>
    </xf>
    <xf borderId="9" fillId="23" fontId="13" numFmtId="0" xfId="0" applyAlignment="1" applyBorder="1" applyFont="1">
      <alignment horizontal="center" vertical="center"/>
    </xf>
    <xf borderId="23" fillId="23" fontId="13" numFmtId="0" xfId="0" applyAlignment="1" applyBorder="1" applyFont="1">
      <alignment horizontal="center" vertical="center"/>
    </xf>
    <xf borderId="21" fillId="3" fontId="13" numFmtId="171" xfId="0" applyAlignment="1" applyBorder="1" applyFont="1" applyNumberFormat="1">
      <alignment horizontal="center" vertical="center"/>
    </xf>
    <xf borderId="23" fillId="3" fontId="13" numFmtId="164" xfId="0" applyAlignment="1" applyBorder="1" applyFont="1" applyNumberFormat="1">
      <alignment horizontal="center" vertical="center"/>
    </xf>
    <xf borderId="23" fillId="21" fontId="13" numFmtId="0" xfId="0" applyAlignment="1" applyBorder="1" applyFont="1">
      <alignment horizontal="left" readingOrder="0" shrinkToFit="0" vertical="center" wrapText="1"/>
    </xf>
    <xf borderId="31" fillId="12" fontId="18" numFmtId="174" xfId="0" applyAlignment="1" applyBorder="1" applyFont="1" applyNumberFormat="1">
      <alignment vertical="center"/>
    </xf>
    <xf borderId="51" fillId="27" fontId="13" numFmtId="0" xfId="0" applyAlignment="1" applyBorder="1" applyFill="1" applyFont="1">
      <alignment horizontal="center" vertical="center"/>
    </xf>
    <xf borderId="23" fillId="27" fontId="13" numFmtId="0" xfId="0" applyAlignment="1" applyBorder="1" applyFont="1">
      <alignment horizontal="center" shrinkToFit="0" vertical="center" wrapText="1"/>
    </xf>
    <xf borderId="23" fillId="27" fontId="13" numFmtId="0" xfId="0" applyAlignment="1" applyBorder="1" applyFont="1">
      <alignment horizontal="left" shrinkToFit="0" vertical="center" wrapText="1"/>
    </xf>
    <xf borderId="9" fillId="27" fontId="13" numFmtId="0" xfId="0" applyAlignment="1" applyBorder="1" applyFont="1">
      <alignment vertical="center"/>
    </xf>
    <xf borderId="9" fillId="27" fontId="13" numFmtId="0" xfId="0" applyAlignment="1" applyBorder="1" applyFont="1">
      <alignment horizontal="center" vertical="center"/>
    </xf>
    <xf borderId="23" fillId="27" fontId="13" numFmtId="0" xfId="0" applyAlignment="1" applyBorder="1" applyFont="1">
      <alignment horizontal="center" vertical="center"/>
    </xf>
    <xf borderId="21" fillId="27" fontId="13" numFmtId="171" xfId="0" applyAlignment="1" applyBorder="1" applyFont="1" applyNumberFormat="1">
      <alignment horizontal="center" vertical="center"/>
    </xf>
    <xf borderId="23" fillId="27" fontId="13" numFmtId="164" xfId="0" applyAlignment="1" applyBorder="1" applyFont="1" applyNumberFormat="1">
      <alignment horizontal="center" vertical="center"/>
    </xf>
    <xf borderId="9" fillId="21" fontId="13" numFmtId="0" xfId="0" applyAlignment="1" applyBorder="1" applyFont="1">
      <alignment readingOrder="0" vertical="center"/>
    </xf>
    <xf borderId="9" fillId="23" fontId="13" numFmtId="0" xfId="0" applyAlignment="1" applyBorder="1" applyFont="1">
      <alignment horizontal="center" readingOrder="0" vertical="center"/>
    </xf>
    <xf borderId="5" fillId="12" fontId="13" numFmtId="0" xfId="0" applyAlignment="1" applyBorder="1" applyFont="1">
      <alignment horizontal="center" vertical="center"/>
    </xf>
    <xf borderId="5" fillId="23" fontId="13" numFmtId="0" xfId="0" applyAlignment="1" applyBorder="1" applyFont="1">
      <alignment horizontal="center" vertical="center"/>
    </xf>
    <xf borderId="4" fillId="21" fontId="13" numFmtId="0" xfId="0" applyAlignment="1" applyBorder="1" applyFont="1">
      <alignment horizontal="center" shrinkToFit="0" vertical="center" wrapText="1"/>
    </xf>
    <xf borderId="5" fillId="21" fontId="13" numFmtId="0" xfId="0" applyAlignment="1" applyBorder="1" applyFont="1">
      <alignment horizontal="center" shrinkToFit="0" vertical="center" wrapText="1"/>
    </xf>
    <xf borderId="5" fillId="3" fontId="13" numFmtId="171" xfId="0" applyAlignment="1" applyBorder="1" applyFont="1" applyNumberFormat="1">
      <alignment horizontal="center" vertical="center"/>
    </xf>
    <xf borderId="5" fillId="3" fontId="13" numFmtId="164" xfId="0" applyAlignment="1" applyBorder="1" applyFont="1" applyNumberFormat="1">
      <alignment horizontal="center" vertical="center"/>
    </xf>
    <xf borderId="0" fillId="0" fontId="13" numFmtId="164" xfId="0" applyAlignment="1" applyFont="1" applyNumberFormat="1">
      <alignment horizontal="center" vertical="center"/>
    </xf>
  </cellXfs>
  <cellStyles count="1">
    <cellStyle xfId="0" name="Normal" builtinId="0"/>
  </cellStyles>
  <dxfs count="7">
    <dxf>
      <font/>
      <fill>
        <patternFill patternType="none"/>
      </fill>
      <border/>
    </dxf>
    <dxf>
      <font/>
      <fill>
        <patternFill patternType="solid">
          <fgColor rgb="FFFCE5CD"/>
          <bgColor rgb="FFFCE5CD"/>
        </patternFill>
      </fill>
      <border/>
    </dxf>
    <dxf>
      <font/>
      <fill>
        <patternFill patternType="solid">
          <fgColor rgb="FFFFFFFF"/>
          <bgColor rgb="FFFFFFFF"/>
        </patternFill>
      </fill>
      <border/>
    </dxf>
    <dxf>
      <font/>
      <fill>
        <patternFill patternType="solid">
          <fgColor rgb="FFF4CCCC"/>
          <bgColor rgb="FFF4CCCC"/>
        </patternFill>
      </fill>
      <border/>
    </dxf>
    <dxf>
      <font>
        <color rgb="FFFF0000"/>
      </font>
      <fill>
        <patternFill patternType="none"/>
      </fill>
      <border/>
    </dxf>
    <dxf>
      <font/>
      <fill>
        <patternFill patternType="solid">
          <fgColor rgb="FFB7E1CD"/>
          <bgColor rgb="FFB7E1CD"/>
        </patternFill>
      </fill>
      <border/>
    </dxf>
    <dxf>
      <font/>
      <fill>
        <patternFill patternType="solid">
          <fgColor rgb="FFB7B7B7"/>
          <bgColor rgb="FFB7B7B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4" Type="http://schemas.openxmlformats.org/officeDocument/2006/relationships/worksheet" Target="worksheets/sheet30.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ommon-legacy-app-admin.us.ikemen-sengoku.jp/admin/top" TargetMode="External"/><Relationship Id="rId2" Type="http://schemas.openxmlformats.org/officeDocument/2006/relationships/hyperlink" Target="https://redmine.ls.aws.cybird.ne.jp/issues/315490" TargetMode="External"/><Relationship Id="rId3" Type="http://schemas.openxmlformats.org/officeDocument/2006/relationships/hyperlink" Target="https://isweetygroup.slack.com/archives/C0666R2V5BL/p1769738886049559" TargetMode="External"/><Relationship Id="rId4" Type="http://schemas.openxmlformats.org/officeDocument/2006/relationships/hyperlink" Target="https://common-legacy-app-admin.us.ikemen-sengoku.jp/admin/campaign?link=" TargetMode="External"/><Relationship Id="rId10" Type="http://schemas.openxmlformats.org/officeDocument/2006/relationships/drawing" Target="../drawings/drawing1.xml"/><Relationship Id="rId9" Type="http://schemas.openxmlformats.org/officeDocument/2006/relationships/hyperlink" Target="https://common-legacy-app-admin.us.ikemen-sengoku.jp/admin/itemtrial" TargetMode="External"/><Relationship Id="rId5" Type="http://schemas.openxmlformats.org/officeDocument/2006/relationships/hyperlink" Target="https://common-legacy-app-admin.us.ikemen-sengoku.jp/admin/entryflash" TargetMode="External"/><Relationship Id="rId6" Type="http://schemas.openxmlformats.org/officeDocument/2006/relationships/hyperlink" Target="https://common-legacy-app-admin.us.ikemen-sengoku.jp/admin/entryflash" TargetMode="External"/><Relationship Id="rId7" Type="http://schemas.openxmlformats.org/officeDocument/2006/relationships/hyperlink" Target="https://common-legacy-app-admin.us.ikemen-sengoku.jp/admin/isgame/collection/all_setting/203" TargetMode="External"/><Relationship Id="rId8" Type="http://schemas.openxmlformats.org/officeDocument/2006/relationships/hyperlink" Target="https://common-legacy-app-admin.us.ikemen-sengoku.jp/admin/combinedsale?combinedsale_mst_id=84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ommon-legacy-app-admin.us.ikemen-sengoku.jp/admin/campaign?link=collection/203" TargetMode="External"/><Relationship Id="rId2" Type="http://schemas.openxmlformats.org/officeDocument/2006/relationships/hyperlink" Target="https://common-legacy-app-admin.us.ikemen-sengoku.jp/admin/campaign?link=collection/203"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common-legacy-app-admin.us.ikemen-sengoku.jp/admin/isgame/collection/all_setting/203"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common-legacy-app-admin.us.ikemen-sengoku.jp/admin/specialstory/edit/6321" TargetMode="External"/><Relationship Id="rId42" Type="http://schemas.openxmlformats.org/officeDocument/2006/relationships/hyperlink" Target="https://common-legacy-app-admin.us.ikemen-sengoku.jp/admin/present/edit/171916" TargetMode="External"/><Relationship Id="rId41" Type="http://schemas.openxmlformats.org/officeDocument/2006/relationships/hyperlink" Target="https://common-legacy-app-admin.us.ikemen-sengoku.jp/admin/present/edit/171916" TargetMode="External"/><Relationship Id="rId44" Type="http://schemas.openxmlformats.org/officeDocument/2006/relationships/hyperlink" Target="https://common-legacy-app-admin.us.ikemen-sengoku.jp/admin/specialstory/edit/6320" TargetMode="External"/><Relationship Id="rId43" Type="http://schemas.openxmlformats.org/officeDocument/2006/relationships/hyperlink" Target="https://common-legacy-app-admin.us.ikemen-sengoku.jp/admin/specialstory/edit/6320" TargetMode="External"/><Relationship Id="rId46" Type="http://schemas.openxmlformats.org/officeDocument/2006/relationships/hyperlink" Target="https://common-legacy-app-admin.us.ikemen-sengoku.jp/admin/present/edit/171918" TargetMode="External"/><Relationship Id="rId45" Type="http://schemas.openxmlformats.org/officeDocument/2006/relationships/hyperlink" Target="https://common-legacy-app-admin.us.ikemen-sengoku.jp/admin/present/edit/171918" TargetMode="External"/><Relationship Id="rId1" Type="http://schemas.openxmlformats.org/officeDocument/2006/relationships/hyperlink" Target="https://common-legacy-app-admin.us.ikemen-sengoku.jp/admin/isgame/collection/all_setting/203" TargetMode="External"/><Relationship Id="rId2" Type="http://schemas.openxmlformats.org/officeDocument/2006/relationships/hyperlink" Target="https://common-legacy-app-admin.us.ikemen-sengoku.jp/admin/present/edit/171901" TargetMode="External"/><Relationship Id="rId3" Type="http://schemas.openxmlformats.org/officeDocument/2006/relationships/hyperlink" Target="https://common-legacy-app-admin.us.ikemen-sengoku.jp/admin/present/edit/171902" TargetMode="External"/><Relationship Id="rId4" Type="http://schemas.openxmlformats.org/officeDocument/2006/relationships/hyperlink" Target="https://common-legacy-app-admin.us.ikemen-sengoku.jp/admin/present/edit/171902" TargetMode="External"/><Relationship Id="rId9" Type="http://schemas.openxmlformats.org/officeDocument/2006/relationships/hyperlink" Target="https://common-legacy-app-admin.us.ikemen-sengoku.jp/admin/specialstory/edit/6313" TargetMode="External"/><Relationship Id="rId48" Type="http://schemas.openxmlformats.org/officeDocument/2006/relationships/hyperlink" Target="https://common-legacy-app-admin.us.ikemen-sengoku.jp/admin/present/edit/171923" TargetMode="External"/><Relationship Id="rId47" Type="http://schemas.openxmlformats.org/officeDocument/2006/relationships/hyperlink" Target="https://common-legacy-app-admin.us.ikemen-sengoku.jp/admin/present/edit/171923" TargetMode="External"/><Relationship Id="rId49" Type="http://schemas.openxmlformats.org/officeDocument/2006/relationships/hyperlink" Target="https://common-legacy-app-admin.us.ikemen-sengoku.jp/admin/present/edit/171924" TargetMode="External"/><Relationship Id="rId5" Type="http://schemas.openxmlformats.org/officeDocument/2006/relationships/hyperlink" Target="https://common-legacy-app-admin.us.ikemen-sengoku.jp/admin/present/edit/171903" TargetMode="External"/><Relationship Id="rId6" Type="http://schemas.openxmlformats.org/officeDocument/2006/relationships/hyperlink" Target="https://common-legacy-app-admin.us.ikemen-sengoku.jp/admin/present/edit/171903" TargetMode="External"/><Relationship Id="rId7" Type="http://schemas.openxmlformats.org/officeDocument/2006/relationships/hyperlink" Target="https://common-legacy-app-admin.us.ikemen-sengoku.jp/admin/present/edit/171904" TargetMode="External"/><Relationship Id="rId8" Type="http://schemas.openxmlformats.org/officeDocument/2006/relationships/hyperlink" Target="https://common-legacy-app-admin.us.ikemen-sengoku.jp/admin/present/edit/171904" TargetMode="External"/><Relationship Id="rId73" Type="http://schemas.openxmlformats.org/officeDocument/2006/relationships/drawing" Target="../drawings/drawing6.xml"/><Relationship Id="rId72" Type="http://schemas.openxmlformats.org/officeDocument/2006/relationships/hyperlink" Target="https://common-legacy-app-admin.us.ikemen-sengoku.jp/admin/present/edit/171922" TargetMode="External"/><Relationship Id="rId31" Type="http://schemas.openxmlformats.org/officeDocument/2006/relationships/hyperlink" Target="https://common-legacy-app-admin.us.ikemen-sengoku.jp/admin/specialstory/edit/6323" TargetMode="External"/><Relationship Id="rId30" Type="http://schemas.openxmlformats.org/officeDocument/2006/relationships/hyperlink" Target="https://common-legacy-app-admin.us.ikemen-sengoku.jp/admin/specialstory/edit/6324" TargetMode="External"/><Relationship Id="rId33" Type="http://schemas.openxmlformats.org/officeDocument/2006/relationships/hyperlink" Target="https://common-legacy-app-admin.us.ikemen-sengoku.jp/admin/present/edit/171912" TargetMode="External"/><Relationship Id="rId32" Type="http://schemas.openxmlformats.org/officeDocument/2006/relationships/hyperlink" Target="https://common-legacy-app-admin.us.ikemen-sengoku.jp/admin/specialstory/edit/6323" TargetMode="External"/><Relationship Id="rId35" Type="http://schemas.openxmlformats.org/officeDocument/2006/relationships/hyperlink" Target="https://common-legacy-app-admin.us.ikemen-sengoku.jp/admin/specialstory/edit/6322" TargetMode="External"/><Relationship Id="rId34" Type="http://schemas.openxmlformats.org/officeDocument/2006/relationships/hyperlink" Target="https://common-legacy-app-admin.us.ikemen-sengoku.jp/admin/present/edit/171912" TargetMode="External"/><Relationship Id="rId71" Type="http://schemas.openxmlformats.org/officeDocument/2006/relationships/hyperlink" Target="https://common-legacy-app-admin.us.ikemen-sengoku.jp/admin/present/edit/171922" TargetMode="External"/><Relationship Id="rId70" Type="http://schemas.openxmlformats.org/officeDocument/2006/relationships/hyperlink" Target="https://common-legacy-app-admin.us.ikemen-sengoku.jp/admin/present/edit/171921" TargetMode="External"/><Relationship Id="rId37" Type="http://schemas.openxmlformats.org/officeDocument/2006/relationships/hyperlink" Target="https://common-legacy-app-admin.us.ikemen-sengoku.jp/admin/present/edit/171914" TargetMode="External"/><Relationship Id="rId36" Type="http://schemas.openxmlformats.org/officeDocument/2006/relationships/hyperlink" Target="https://common-legacy-app-admin.us.ikemen-sengoku.jp/admin/specialstory/edit/6322" TargetMode="External"/><Relationship Id="rId39" Type="http://schemas.openxmlformats.org/officeDocument/2006/relationships/hyperlink" Target="https://common-legacy-app-admin.us.ikemen-sengoku.jp/admin/specialstory/edit/6321" TargetMode="External"/><Relationship Id="rId38" Type="http://schemas.openxmlformats.org/officeDocument/2006/relationships/hyperlink" Target="https://common-legacy-app-admin.us.ikemen-sengoku.jp/admin/present/edit/171914" TargetMode="External"/><Relationship Id="rId62" Type="http://schemas.openxmlformats.org/officeDocument/2006/relationships/hyperlink" Target="https://common-legacy-app-admin.us.ikemen-sengoku.jp/admin/present/edit/171930" TargetMode="External"/><Relationship Id="rId61" Type="http://schemas.openxmlformats.org/officeDocument/2006/relationships/hyperlink" Target="https://common-legacy-app-admin.us.ikemen-sengoku.jp/admin/present/edit/171930" TargetMode="External"/><Relationship Id="rId20" Type="http://schemas.openxmlformats.org/officeDocument/2006/relationships/hyperlink" Target="https://common-legacy-app-admin.us.ikemen-sengoku.jp/admin/specialstory/edit/6318" TargetMode="External"/><Relationship Id="rId64" Type="http://schemas.openxmlformats.org/officeDocument/2006/relationships/hyperlink" Target="https://common-legacy-app-admin.us.ikemen-sengoku.jp/admin/present/edit/171931" TargetMode="External"/><Relationship Id="rId63" Type="http://schemas.openxmlformats.org/officeDocument/2006/relationships/hyperlink" Target="https://common-legacy-app-admin.us.ikemen-sengoku.jp/admin/present/edit/171931" TargetMode="External"/><Relationship Id="rId22" Type="http://schemas.openxmlformats.org/officeDocument/2006/relationships/hyperlink" Target="https://common-legacy-app-admin.us.ikemen-sengoku.jp/admin/specialstory/edit/6319" TargetMode="External"/><Relationship Id="rId66" Type="http://schemas.openxmlformats.org/officeDocument/2006/relationships/hyperlink" Target="https://common-legacy-app-admin.us.ikemen-sengoku.jp/admin/present/edit/171919" TargetMode="External"/><Relationship Id="rId21" Type="http://schemas.openxmlformats.org/officeDocument/2006/relationships/hyperlink" Target="https://common-legacy-app-admin.us.ikemen-sengoku.jp/admin/specialstory/edit/6319" TargetMode="External"/><Relationship Id="rId65" Type="http://schemas.openxmlformats.org/officeDocument/2006/relationships/hyperlink" Target="https://common-legacy-app-admin.us.ikemen-sengoku.jp/admin/present/edit/171919" TargetMode="External"/><Relationship Id="rId24" Type="http://schemas.openxmlformats.org/officeDocument/2006/relationships/hyperlink" Target="https://common-legacy-app-admin.us.ikemen-sengoku.jp/admin/present/edit/171906" TargetMode="External"/><Relationship Id="rId68" Type="http://schemas.openxmlformats.org/officeDocument/2006/relationships/hyperlink" Target="https://common-legacy-app-admin.us.ikemen-sengoku.jp/admin/present/edit/171920" TargetMode="External"/><Relationship Id="rId23" Type="http://schemas.openxmlformats.org/officeDocument/2006/relationships/hyperlink" Target="https://common-legacy-app-admin.us.ikemen-sengoku.jp/admin/present/edit/171906" TargetMode="External"/><Relationship Id="rId67" Type="http://schemas.openxmlformats.org/officeDocument/2006/relationships/hyperlink" Target="https://common-legacy-app-admin.us.ikemen-sengoku.jp/admin/present/edit/171920" TargetMode="External"/><Relationship Id="rId60" Type="http://schemas.openxmlformats.org/officeDocument/2006/relationships/hyperlink" Target="https://common-legacy-app-admin.us.ikemen-sengoku.jp/admin/present/edit/171929" TargetMode="External"/><Relationship Id="rId26" Type="http://schemas.openxmlformats.org/officeDocument/2006/relationships/hyperlink" Target="https://common-legacy-app-admin.us.ikemen-sengoku.jp/admin/specialstory/edit/6325" TargetMode="External"/><Relationship Id="rId25" Type="http://schemas.openxmlformats.org/officeDocument/2006/relationships/hyperlink" Target="https://common-legacy-app-admin.us.ikemen-sengoku.jp/admin/specialstory/edit/6325" TargetMode="External"/><Relationship Id="rId69" Type="http://schemas.openxmlformats.org/officeDocument/2006/relationships/hyperlink" Target="https://common-legacy-app-admin.us.ikemen-sengoku.jp/admin/present/edit/171921" TargetMode="External"/><Relationship Id="rId28" Type="http://schemas.openxmlformats.org/officeDocument/2006/relationships/hyperlink" Target="https://common-legacy-app-admin.us.ikemen-sengoku.jp/admin/present/edit/171909" TargetMode="External"/><Relationship Id="rId27" Type="http://schemas.openxmlformats.org/officeDocument/2006/relationships/hyperlink" Target="https://common-legacy-app-admin.us.ikemen-sengoku.jp/admin/present/edit/171909" TargetMode="External"/><Relationship Id="rId29" Type="http://schemas.openxmlformats.org/officeDocument/2006/relationships/hyperlink" Target="https://common-legacy-app-admin.us.ikemen-sengoku.jp/admin/specialstory/edit/6324" TargetMode="External"/><Relationship Id="rId51" Type="http://schemas.openxmlformats.org/officeDocument/2006/relationships/hyperlink" Target="https://common-legacy-app-admin.us.ikemen-sengoku.jp/admin/present/edit/171925" TargetMode="External"/><Relationship Id="rId50" Type="http://schemas.openxmlformats.org/officeDocument/2006/relationships/hyperlink" Target="https://common-legacy-app-admin.us.ikemen-sengoku.jp/admin/present/edit/171924" TargetMode="External"/><Relationship Id="rId53" Type="http://schemas.openxmlformats.org/officeDocument/2006/relationships/hyperlink" Target="https://common-legacy-app-admin.us.ikemen-sengoku.jp/admin/present/edit/171926" TargetMode="External"/><Relationship Id="rId52" Type="http://schemas.openxmlformats.org/officeDocument/2006/relationships/hyperlink" Target="https://common-legacy-app-admin.us.ikemen-sengoku.jp/admin/present/edit/171925" TargetMode="External"/><Relationship Id="rId11" Type="http://schemas.openxmlformats.org/officeDocument/2006/relationships/hyperlink" Target="https://common-legacy-app-admin.us.ikemen-sengoku.jp/admin/specialstory/edit/6314" TargetMode="External"/><Relationship Id="rId55" Type="http://schemas.openxmlformats.org/officeDocument/2006/relationships/hyperlink" Target="https://common-legacy-app-admin.us.ikemen-sengoku.jp/admin/present/edit/171927" TargetMode="External"/><Relationship Id="rId10" Type="http://schemas.openxmlformats.org/officeDocument/2006/relationships/hyperlink" Target="https://common-legacy-app-admin.us.ikemen-sengoku.jp/admin/specialstory/edit/6313" TargetMode="External"/><Relationship Id="rId54" Type="http://schemas.openxmlformats.org/officeDocument/2006/relationships/hyperlink" Target="https://common-legacy-app-admin.us.ikemen-sengoku.jp/admin/present/edit/171926" TargetMode="External"/><Relationship Id="rId13" Type="http://schemas.openxmlformats.org/officeDocument/2006/relationships/hyperlink" Target="https://common-legacy-app-admin.us.ikemen-sengoku.jp/admin/specialstory/edit/6315" TargetMode="External"/><Relationship Id="rId57" Type="http://schemas.openxmlformats.org/officeDocument/2006/relationships/hyperlink" Target="https://common-legacy-app-admin.us.ikemen-sengoku.jp/admin/present/edit/171928" TargetMode="External"/><Relationship Id="rId12" Type="http://schemas.openxmlformats.org/officeDocument/2006/relationships/hyperlink" Target="https://common-legacy-app-admin.us.ikemen-sengoku.jp/admin/specialstory/edit/6314" TargetMode="External"/><Relationship Id="rId56" Type="http://schemas.openxmlformats.org/officeDocument/2006/relationships/hyperlink" Target="https://common-legacy-app-admin.us.ikemen-sengoku.jp/admin/present/edit/171927" TargetMode="External"/><Relationship Id="rId15" Type="http://schemas.openxmlformats.org/officeDocument/2006/relationships/hyperlink" Target="https://common-legacy-app-admin.us.ikemen-sengoku.jp/admin/specialstory/edit/6316" TargetMode="External"/><Relationship Id="rId59" Type="http://schemas.openxmlformats.org/officeDocument/2006/relationships/hyperlink" Target="https://common-legacy-app-admin.us.ikemen-sengoku.jp/admin/present/edit/171929" TargetMode="External"/><Relationship Id="rId14" Type="http://schemas.openxmlformats.org/officeDocument/2006/relationships/hyperlink" Target="https://common-legacy-app-admin.us.ikemen-sengoku.jp/admin/specialstory/edit/6315" TargetMode="External"/><Relationship Id="rId58" Type="http://schemas.openxmlformats.org/officeDocument/2006/relationships/hyperlink" Target="https://common-legacy-app-admin.us.ikemen-sengoku.jp/admin/present/edit/171928" TargetMode="External"/><Relationship Id="rId17" Type="http://schemas.openxmlformats.org/officeDocument/2006/relationships/hyperlink" Target="https://common-legacy-app-admin.us.ikemen-sengoku.jp/admin/specialstory/edit/6317" TargetMode="External"/><Relationship Id="rId16" Type="http://schemas.openxmlformats.org/officeDocument/2006/relationships/hyperlink" Target="https://common-legacy-app-admin.us.ikemen-sengoku.jp/admin/specialstory/edit/6316" TargetMode="External"/><Relationship Id="rId19" Type="http://schemas.openxmlformats.org/officeDocument/2006/relationships/hyperlink" Target="https://common-legacy-app-admin.us.ikemen-sengoku.jp/admin/specialstory/edit/6318" TargetMode="External"/><Relationship Id="rId18" Type="http://schemas.openxmlformats.org/officeDocument/2006/relationships/hyperlink" Target="https://common-legacy-app-admin.us.ikemen-sengoku.jp/admin/specialstory/edit/6317"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common-legacy-app-admin.us.ikemen-sengoku.jp/admin/isgame/collection/all_setting/203" TargetMode="External"/><Relationship Id="rId2" Type="http://schemas.openxmlformats.org/officeDocument/2006/relationships/hyperlink" Target="https://common-legacy-app-admin.us.ikemen-sengoku.jp/admin/present/edit/171919" TargetMode="External"/><Relationship Id="rId3" Type="http://schemas.openxmlformats.org/officeDocument/2006/relationships/hyperlink" Target="https://common-legacy-app-admin.us.ikemen-sengoku.jp/admin/present/edit/171920" TargetMode="External"/><Relationship Id="rId4" Type="http://schemas.openxmlformats.org/officeDocument/2006/relationships/hyperlink" Target="https://common-legacy-app-admin.us.ikemen-sengoku.jp/admin/present/edit/171921" TargetMode="External"/><Relationship Id="rId5" Type="http://schemas.openxmlformats.org/officeDocument/2006/relationships/hyperlink" Target="https://common-legacy-app-admin.us.ikemen-sengoku.jp/admin/present/edit/171922"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common-legacy-app-admin.us.ikemen-sengoku.jp/admin/isgame/collection/all_setting/203" TargetMode="External"/><Relationship Id="rId2" Type="http://schemas.openxmlformats.org/officeDocument/2006/relationships/hyperlink" Target="https://common-legacy-app-admin.us.ikemen-sengoku.jp/admin/present/edit/171923" TargetMode="External"/><Relationship Id="rId3" Type="http://schemas.openxmlformats.org/officeDocument/2006/relationships/hyperlink" Target="https://common-legacy-app-admin.us.ikemen-sengoku.jp/admin/present/edit/171924" TargetMode="External"/><Relationship Id="rId4" Type="http://schemas.openxmlformats.org/officeDocument/2006/relationships/hyperlink" Target="https://common-legacy-app-admin.us.ikemen-sengoku.jp/admin/present/edit/171925" TargetMode="External"/><Relationship Id="rId9" Type="http://schemas.openxmlformats.org/officeDocument/2006/relationships/hyperlink" Target="https://common-legacy-app-admin.us.ikemen-sengoku.jp/admin/present/edit/171930" TargetMode="External"/><Relationship Id="rId5" Type="http://schemas.openxmlformats.org/officeDocument/2006/relationships/hyperlink" Target="https://common-legacy-app-admin.us.ikemen-sengoku.jp/admin/present/edit/171926" TargetMode="External"/><Relationship Id="rId6" Type="http://schemas.openxmlformats.org/officeDocument/2006/relationships/hyperlink" Target="https://common-legacy-app-admin.us.ikemen-sengoku.jp/admin/present/edit/171927" TargetMode="External"/><Relationship Id="rId7" Type="http://schemas.openxmlformats.org/officeDocument/2006/relationships/hyperlink" Target="https://common-legacy-app-admin.us.ikemen-sengoku.jp/admin/present/edit/171928" TargetMode="External"/><Relationship Id="rId8" Type="http://schemas.openxmlformats.org/officeDocument/2006/relationships/hyperlink" Target="https://common-legacy-app-admin.us.ikemen-sengoku.jp/admin/present/edit/171929" TargetMode="External"/><Relationship Id="rId31" Type="http://schemas.openxmlformats.org/officeDocument/2006/relationships/hyperlink" Target="https://common-legacy-app-admin.us.ikemen-sengoku.jp/admin/present/edit/171931" TargetMode="External"/><Relationship Id="rId30" Type="http://schemas.openxmlformats.org/officeDocument/2006/relationships/hyperlink" Target="https://common-legacy-app-admin.us.ikemen-sengoku.jp/admin/present/edit/171930" TargetMode="External"/><Relationship Id="rId33" Type="http://schemas.openxmlformats.org/officeDocument/2006/relationships/drawing" Target="../drawings/drawing8.xml"/><Relationship Id="rId32" Type="http://schemas.openxmlformats.org/officeDocument/2006/relationships/hyperlink" Target="https://common-legacy-app-admin.us.ikemen-sengoku.jp/admin/present/edit/171931" TargetMode="External"/><Relationship Id="rId20" Type="http://schemas.openxmlformats.org/officeDocument/2006/relationships/hyperlink" Target="https://common-legacy-app-admin.us.ikemen-sengoku.jp/admin/present/edit/171926" TargetMode="External"/><Relationship Id="rId22" Type="http://schemas.openxmlformats.org/officeDocument/2006/relationships/hyperlink" Target="https://common-legacy-app-admin.us.ikemen-sengoku.jp/admin/present/edit/171928" TargetMode="External"/><Relationship Id="rId21" Type="http://schemas.openxmlformats.org/officeDocument/2006/relationships/hyperlink" Target="https://common-legacy-app-admin.us.ikemen-sengoku.jp/admin/present/edit/171927" TargetMode="External"/><Relationship Id="rId24" Type="http://schemas.openxmlformats.org/officeDocument/2006/relationships/hyperlink" Target="https://common-legacy-app-admin.us.ikemen-sengoku.jp/admin/present/edit/171930" TargetMode="External"/><Relationship Id="rId23" Type="http://schemas.openxmlformats.org/officeDocument/2006/relationships/hyperlink" Target="https://common-legacy-app-admin.us.ikemen-sengoku.jp/admin/present/edit/171929" TargetMode="External"/><Relationship Id="rId26" Type="http://schemas.openxmlformats.org/officeDocument/2006/relationships/hyperlink" Target="https://common-legacy-app-admin.us.ikemen-sengoku.jp/admin/present/edit/171928" TargetMode="External"/><Relationship Id="rId25" Type="http://schemas.openxmlformats.org/officeDocument/2006/relationships/hyperlink" Target="https://common-legacy-app-admin.us.ikemen-sengoku.jp/admin/present/edit/171931" TargetMode="External"/><Relationship Id="rId28" Type="http://schemas.openxmlformats.org/officeDocument/2006/relationships/hyperlink" Target="https://common-legacy-app-admin.us.ikemen-sengoku.jp/admin/present/edit/171930" TargetMode="External"/><Relationship Id="rId27" Type="http://schemas.openxmlformats.org/officeDocument/2006/relationships/hyperlink" Target="https://common-legacy-app-admin.us.ikemen-sengoku.jp/admin/present/edit/171929" TargetMode="External"/><Relationship Id="rId29" Type="http://schemas.openxmlformats.org/officeDocument/2006/relationships/hyperlink" Target="https://common-legacy-app-admin.us.ikemen-sengoku.jp/admin/present/edit/171931" TargetMode="External"/><Relationship Id="rId11" Type="http://schemas.openxmlformats.org/officeDocument/2006/relationships/hyperlink" Target="https://common-legacy-app-admin.us.ikemen-sengoku.jp/admin/present/edit/171924" TargetMode="External"/><Relationship Id="rId10" Type="http://schemas.openxmlformats.org/officeDocument/2006/relationships/hyperlink" Target="https://common-legacy-app-admin.us.ikemen-sengoku.jp/admin/present/edit/171931" TargetMode="External"/><Relationship Id="rId13" Type="http://schemas.openxmlformats.org/officeDocument/2006/relationships/hyperlink" Target="https://common-legacy-app-admin.us.ikemen-sengoku.jp/admin/present/edit/171926" TargetMode="External"/><Relationship Id="rId12" Type="http://schemas.openxmlformats.org/officeDocument/2006/relationships/hyperlink" Target="https://common-legacy-app-admin.us.ikemen-sengoku.jp/admin/present/edit/171925" TargetMode="External"/><Relationship Id="rId15" Type="http://schemas.openxmlformats.org/officeDocument/2006/relationships/hyperlink" Target="https://common-legacy-app-admin.us.ikemen-sengoku.jp/admin/present/edit/171928" TargetMode="External"/><Relationship Id="rId14" Type="http://schemas.openxmlformats.org/officeDocument/2006/relationships/hyperlink" Target="https://common-legacy-app-admin.us.ikemen-sengoku.jp/admin/present/edit/171927" TargetMode="External"/><Relationship Id="rId17" Type="http://schemas.openxmlformats.org/officeDocument/2006/relationships/hyperlink" Target="https://common-legacy-app-admin.us.ikemen-sengoku.jp/admin/present/edit/171930" TargetMode="External"/><Relationship Id="rId16" Type="http://schemas.openxmlformats.org/officeDocument/2006/relationships/hyperlink" Target="https://common-legacy-app-admin.us.ikemen-sengoku.jp/admin/present/edit/171929" TargetMode="External"/><Relationship Id="rId19" Type="http://schemas.openxmlformats.org/officeDocument/2006/relationships/hyperlink" Target="https://common-legacy-app-admin.us.ikemen-sengoku.jp/admin/present/edit/171925" TargetMode="External"/><Relationship Id="rId18" Type="http://schemas.openxmlformats.org/officeDocument/2006/relationships/hyperlink" Target="https://common-legacy-app-admin.us.ikemen-sengoku.jp/admin/present/edit/171931"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common-legacy-app-admin.us.ikemen-sengoku.jp/admin/specialstory?search_title=Demon+of+My+Dreams" TargetMode="External"/><Relationship Id="rId2" Type="http://schemas.openxmlformats.org/officeDocument/2006/relationships/hyperlink" Target="https://common-legacy-app-admin.us.ikemen-sengoku.jp/admin/specialstory?search_title=Let%27s+Meet+in+a+Dream" TargetMode="External"/><Relationship Id="rId3" Type="http://schemas.openxmlformats.org/officeDocument/2006/relationships/hyperlink" Target="https://common-legacy-app-admin.us.ikemen-sengoku.jp/admin/story/add_scene/22519" TargetMode="External"/><Relationship Id="rId4" Type="http://schemas.openxmlformats.org/officeDocument/2006/relationships/hyperlink" Target="https://common-legacy-app-admin.us.ikemen-sengoku.jp/admin/story/add_scene/22520" TargetMode="External"/><Relationship Id="rId9" Type="http://schemas.openxmlformats.org/officeDocument/2006/relationships/hyperlink" Target="https://common-legacy-app-admin.us.ikemen-sengoku.jp/admin/story/add_scene/22525" TargetMode="External"/><Relationship Id="rId5" Type="http://schemas.openxmlformats.org/officeDocument/2006/relationships/hyperlink" Target="https://common-legacy-app-admin.us.ikemen-sengoku.jp/admin/story/add_scene/22521" TargetMode="External"/><Relationship Id="rId6" Type="http://schemas.openxmlformats.org/officeDocument/2006/relationships/hyperlink" Target="https://common-legacy-app-admin.us.ikemen-sengoku.jp/admin/story/add_scene/22522" TargetMode="External"/><Relationship Id="rId7" Type="http://schemas.openxmlformats.org/officeDocument/2006/relationships/hyperlink" Target="https://common-legacy-app-admin.us.ikemen-sengoku.jp/admin/story/add_scene/22523" TargetMode="External"/><Relationship Id="rId8" Type="http://schemas.openxmlformats.org/officeDocument/2006/relationships/hyperlink" Target="https://common-legacy-app-admin.us.ikemen-sengoku.jp/admin/story/add_scene/22524" TargetMode="External"/><Relationship Id="rId20" Type="http://schemas.openxmlformats.org/officeDocument/2006/relationships/drawing" Target="../drawings/drawing9.xml"/><Relationship Id="rId11" Type="http://schemas.openxmlformats.org/officeDocument/2006/relationships/hyperlink" Target="https://common-legacy-app-admin.us.ikemen-sengoku.jp/admin/story/add_scene/22527" TargetMode="External"/><Relationship Id="rId10" Type="http://schemas.openxmlformats.org/officeDocument/2006/relationships/hyperlink" Target="https://common-legacy-app-admin.us.ikemen-sengoku.jp/admin/story/add_scene/22526" TargetMode="External"/><Relationship Id="rId13" Type="http://schemas.openxmlformats.org/officeDocument/2006/relationships/hyperlink" Target="https://common-legacy-app-admin.us.ikemen-sengoku.jp/admin/story/add_scene/22529" TargetMode="External"/><Relationship Id="rId12" Type="http://schemas.openxmlformats.org/officeDocument/2006/relationships/hyperlink" Target="https://common-legacy-app-admin.us.ikemen-sengoku.jp/admin/story/add_scene/22528" TargetMode="External"/><Relationship Id="rId15" Type="http://schemas.openxmlformats.org/officeDocument/2006/relationships/hyperlink" Target="https://common-legacy-app-admin.us.ikemen-sengoku.jp/admin/story/add_scene/22531" TargetMode="External"/><Relationship Id="rId14" Type="http://schemas.openxmlformats.org/officeDocument/2006/relationships/hyperlink" Target="https://common-legacy-app-admin.us.ikemen-sengoku.jp/admin/story/add_scene/22530" TargetMode="External"/><Relationship Id="rId17" Type="http://schemas.openxmlformats.org/officeDocument/2006/relationships/hyperlink" Target="https://common-legacy-app-admin.us.ikemen-sengoku.jp/admin/story/add_scene/22533" TargetMode="External"/><Relationship Id="rId16" Type="http://schemas.openxmlformats.org/officeDocument/2006/relationships/hyperlink" Target="https://common-legacy-app-admin.us.ikemen-sengoku.jp/admin/story/add_scene/22532" TargetMode="External"/><Relationship Id="rId19" Type="http://schemas.openxmlformats.org/officeDocument/2006/relationships/hyperlink" Target="https://common-legacy-app-admin.us.ikemen-sengoku.jp/admin/story/add_scene/22515" TargetMode="External"/><Relationship Id="rId18" Type="http://schemas.openxmlformats.org/officeDocument/2006/relationships/hyperlink" Target="https://common-legacy-app-admin.us.ikemen-sengoku.jp/admin/story/add_scene/22514"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common-legacy-app-admin.us.ikemen-sengoku.jp/admin/collection/collect_event_story/collect_203" TargetMode="External"/><Relationship Id="rId2" Type="http://schemas.openxmlformats.org/officeDocument/2006/relationships/hyperlink" Target="https://common-legacy-app-admin.us.ikemen-sengoku.jp/admin/collection/collect_event_story/collect_203" TargetMode="External"/><Relationship Id="rId3" Type="http://schemas.openxmlformats.org/officeDocument/2006/relationships/hyperlink" Target="https://common-legacy-app-admin.us.ikemen-sengoku.jp/admin/collection/collect_event_story/collect_203" TargetMode="External"/><Relationship Id="rId4" Type="http://schemas.openxmlformats.org/officeDocument/2006/relationships/hyperlink" Target="https://common-legacy-app-admin.us.ikemen-sengoku.jp/admin/collection/collect_event_story/collect_203" TargetMode="External"/><Relationship Id="rId5" Type="http://schemas.openxmlformats.org/officeDocument/2006/relationships/hyperlink" Target="https://common-legacy-app-admin.us.ikemen-sengoku.jp/admin/collection/collect_event_story/collect_203" TargetMode="External"/><Relationship Id="rId6"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common-legacy-app-admin.us.ikemen-sengoku.jp/admin/collection/collect_event_story/collect_203"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common-legacy-app-admin.us.ikemen-sengoku.jp/admin/present/list?item_name=Mystic+Matrimony"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40" Type="http://schemas.openxmlformats.org/officeDocument/2006/relationships/hyperlink" Target="https://common-legacy-app-admin.us.ikemen-sengoku.jp/admin/present/edit/171965" TargetMode="External"/><Relationship Id="rId42" Type="http://schemas.openxmlformats.org/officeDocument/2006/relationships/hyperlink" Target="https://common-legacy-app-admin.us.ikemen-sengoku.jp/admin/present/edit/171967" TargetMode="External"/><Relationship Id="rId41" Type="http://schemas.openxmlformats.org/officeDocument/2006/relationships/hyperlink" Target="https://common-legacy-app-admin.us.ikemen-sengoku.jp/admin/present/edit/171966" TargetMode="External"/><Relationship Id="rId44" Type="http://schemas.openxmlformats.org/officeDocument/2006/relationships/hyperlink" Target="https://common-legacy-app-admin.us.ikemen-sengoku.jp/admin/present/edit/171968" TargetMode="External"/><Relationship Id="rId43" Type="http://schemas.openxmlformats.org/officeDocument/2006/relationships/hyperlink" Target="https://common-legacy-app-admin.us.ikemen-sengoku.jp/admin/specialstory/edit/6316" TargetMode="External"/><Relationship Id="rId46" Type="http://schemas.openxmlformats.org/officeDocument/2006/relationships/hyperlink" Target="https://common-legacy-app-admin.us.ikemen-sengoku.jp/admin/present/edit/171970" TargetMode="External"/><Relationship Id="rId45" Type="http://schemas.openxmlformats.org/officeDocument/2006/relationships/hyperlink" Target="https://common-legacy-app-admin.us.ikemen-sengoku.jp/admin/present/edit/171969" TargetMode="External"/><Relationship Id="rId1" Type="http://schemas.openxmlformats.org/officeDocument/2006/relationships/hyperlink" Target="https://common-legacy-app-admin.us.ikemen-sengoku.jp/admin/isgame/collection/all_setting/203" TargetMode="External"/><Relationship Id="rId2" Type="http://schemas.openxmlformats.org/officeDocument/2006/relationships/hyperlink" Target="https://common-legacy-app-admin.us.ikemen-sengoku.jp/admin/collection/collect_event_collection_bonus/ce_214_collect_bonus_group" TargetMode="External"/><Relationship Id="rId3" Type="http://schemas.openxmlformats.org/officeDocument/2006/relationships/hyperlink" Target="https://common-legacy-app-admin.us.ikemen-sengoku.jp/admin/specialstory/edit/6313" TargetMode="External"/><Relationship Id="rId4" Type="http://schemas.openxmlformats.org/officeDocument/2006/relationships/hyperlink" Target="https://common-legacy-app-admin.us.ikemen-sengoku.jp/admin/present/edit/171932" TargetMode="External"/><Relationship Id="rId9" Type="http://schemas.openxmlformats.org/officeDocument/2006/relationships/hyperlink" Target="https://common-legacy-app-admin.us.ikemen-sengoku.jp/admin/present/edit/171937" TargetMode="External"/><Relationship Id="rId48" Type="http://schemas.openxmlformats.org/officeDocument/2006/relationships/hyperlink" Target="https://common-legacy-app-admin.us.ikemen-sengoku.jp/admin/present/edit/171972" TargetMode="External"/><Relationship Id="rId47" Type="http://schemas.openxmlformats.org/officeDocument/2006/relationships/hyperlink" Target="https://common-legacy-app-admin.us.ikemen-sengoku.jp/admin/present/edit/171971" TargetMode="External"/><Relationship Id="rId49" Type="http://schemas.openxmlformats.org/officeDocument/2006/relationships/hyperlink" Target="https://common-legacy-app-admin.us.ikemen-sengoku.jp/admin/present/edit/171973" TargetMode="External"/><Relationship Id="rId5" Type="http://schemas.openxmlformats.org/officeDocument/2006/relationships/hyperlink" Target="https://common-legacy-app-admin.us.ikemen-sengoku.jp/admin/present/edit/171933" TargetMode="External"/><Relationship Id="rId6" Type="http://schemas.openxmlformats.org/officeDocument/2006/relationships/hyperlink" Target="https://common-legacy-app-admin.us.ikemen-sengoku.jp/admin/present/edit/171934" TargetMode="External"/><Relationship Id="rId7" Type="http://schemas.openxmlformats.org/officeDocument/2006/relationships/hyperlink" Target="https://common-legacy-app-admin.us.ikemen-sengoku.jp/admin/present/edit/171935" TargetMode="External"/><Relationship Id="rId8" Type="http://schemas.openxmlformats.org/officeDocument/2006/relationships/hyperlink" Target="https://common-legacy-app-admin.us.ikemen-sengoku.jp/admin/present/edit/171936" TargetMode="External"/><Relationship Id="rId31" Type="http://schemas.openxmlformats.org/officeDocument/2006/relationships/hyperlink" Target="https://common-legacy-app-admin.us.ikemen-sengoku.jp/admin/present/edit/171957" TargetMode="External"/><Relationship Id="rId30" Type="http://schemas.openxmlformats.org/officeDocument/2006/relationships/hyperlink" Target="https://common-legacy-app-admin.us.ikemen-sengoku.jp/admin/present/edit/171956" TargetMode="External"/><Relationship Id="rId33" Type="http://schemas.openxmlformats.org/officeDocument/2006/relationships/hyperlink" Target="https://common-legacy-app-admin.us.ikemen-sengoku.jp/admin/present/edit/171958" TargetMode="External"/><Relationship Id="rId32" Type="http://schemas.openxmlformats.org/officeDocument/2006/relationships/hyperlink" Target="https://common-legacy-app-admin.us.ikemen-sengoku.jp/admin/specialstory/edit/6317" TargetMode="External"/><Relationship Id="rId35" Type="http://schemas.openxmlformats.org/officeDocument/2006/relationships/hyperlink" Target="https://common-legacy-app-admin.us.ikemen-sengoku.jp/admin/present/edit/171960" TargetMode="External"/><Relationship Id="rId34" Type="http://schemas.openxmlformats.org/officeDocument/2006/relationships/hyperlink" Target="https://common-legacy-app-admin.us.ikemen-sengoku.jp/admin/present/edit/171959" TargetMode="External"/><Relationship Id="rId37" Type="http://schemas.openxmlformats.org/officeDocument/2006/relationships/hyperlink" Target="https://common-legacy-app-admin.us.ikemen-sengoku.jp/admin/present/edit/171962" TargetMode="External"/><Relationship Id="rId36" Type="http://schemas.openxmlformats.org/officeDocument/2006/relationships/hyperlink" Target="https://common-legacy-app-admin.us.ikemen-sengoku.jp/admin/present/edit/171961" TargetMode="External"/><Relationship Id="rId39" Type="http://schemas.openxmlformats.org/officeDocument/2006/relationships/hyperlink" Target="https://common-legacy-app-admin.us.ikemen-sengoku.jp/admin/present/edit/171964" TargetMode="External"/><Relationship Id="rId38" Type="http://schemas.openxmlformats.org/officeDocument/2006/relationships/hyperlink" Target="https://common-legacy-app-admin.us.ikemen-sengoku.jp/admin/present/edit/171963" TargetMode="External"/><Relationship Id="rId20" Type="http://schemas.openxmlformats.org/officeDocument/2006/relationships/hyperlink" Target="https://common-legacy-app-admin.us.ikemen-sengoku.jp/admin/present/edit/171947" TargetMode="External"/><Relationship Id="rId22" Type="http://schemas.openxmlformats.org/officeDocument/2006/relationships/hyperlink" Target="https://common-legacy-app-admin.us.ikemen-sengoku.jp/admin/present/edit/171948" TargetMode="External"/><Relationship Id="rId21" Type="http://schemas.openxmlformats.org/officeDocument/2006/relationships/hyperlink" Target="https://common-legacy-app-admin.us.ikemen-sengoku.jp/admin/specialstory/edit/6318" TargetMode="External"/><Relationship Id="rId24" Type="http://schemas.openxmlformats.org/officeDocument/2006/relationships/hyperlink" Target="https://common-legacy-app-admin.us.ikemen-sengoku.jp/admin/present/edit/171950" TargetMode="External"/><Relationship Id="rId23" Type="http://schemas.openxmlformats.org/officeDocument/2006/relationships/hyperlink" Target="https://common-legacy-app-admin.us.ikemen-sengoku.jp/admin/present/edit/171949" TargetMode="External"/><Relationship Id="rId60" Type="http://schemas.openxmlformats.org/officeDocument/2006/relationships/drawing" Target="../drawings/drawing13.xml"/><Relationship Id="rId26" Type="http://schemas.openxmlformats.org/officeDocument/2006/relationships/hyperlink" Target="https://common-legacy-app-admin.us.ikemen-sengoku.jp/admin/present/edit/171952" TargetMode="External"/><Relationship Id="rId25" Type="http://schemas.openxmlformats.org/officeDocument/2006/relationships/hyperlink" Target="https://common-legacy-app-admin.us.ikemen-sengoku.jp/admin/present/edit/171951" TargetMode="External"/><Relationship Id="rId28" Type="http://schemas.openxmlformats.org/officeDocument/2006/relationships/hyperlink" Target="https://common-legacy-app-admin.us.ikemen-sengoku.jp/admin/present/edit/171954" TargetMode="External"/><Relationship Id="rId27" Type="http://schemas.openxmlformats.org/officeDocument/2006/relationships/hyperlink" Target="https://common-legacy-app-admin.us.ikemen-sengoku.jp/admin/present/edit/171953" TargetMode="External"/><Relationship Id="rId29" Type="http://schemas.openxmlformats.org/officeDocument/2006/relationships/hyperlink" Target="https://common-legacy-app-admin.us.ikemen-sengoku.jp/admin/present/edit/171955" TargetMode="External"/><Relationship Id="rId51" Type="http://schemas.openxmlformats.org/officeDocument/2006/relationships/hyperlink" Target="https://common-legacy-app-admin.us.ikemen-sengoku.jp/admin/present/edit/171975" TargetMode="External"/><Relationship Id="rId50" Type="http://schemas.openxmlformats.org/officeDocument/2006/relationships/hyperlink" Target="https://common-legacy-app-admin.us.ikemen-sengoku.jp/admin/present/edit/171974" TargetMode="External"/><Relationship Id="rId53" Type="http://schemas.openxmlformats.org/officeDocument/2006/relationships/hyperlink" Target="https://common-legacy-app-admin.us.ikemen-sengoku.jp/admin/present/edit/171976" TargetMode="External"/><Relationship Id="rId52" Type="http://schemas.openxmlformats.org/officeDocument/2006/relationships/hyperlink" Target="https://common-legacy-app-admin.us.ikemen-sengoku.jp/admin/specialstory/edit/6315" TargetMode="External"/><Relationship Id="rId11" Type="http://schemas.openxmlformats.org/officeDocument/2006/relationships/hyperlink" Target="https://common-legacy-app-admin.us.ikemen-sengoku.jp/admin/present/edit/171939" TargetMode="External"/><Relationship Id="rId55" Type="http://schemas.openxmlformats.org/officeDocument/2006/relationships/hyperlink" Target="https://common-legacy-app-admin.us.ikemen-sengoku.jp/admin/present/edit/171978" TargetMode="External"/><Relationship Id="rId10" Type="http://schemas.openxmlformats.org/officeDocument/2006/relationships/hyperlink" Target="https://common-legacy-app-admin.us.ikemen-sengoku.jp/admin/present/edit/171938" TargetMode="External"/><Relationship Id="rId54" Type="http://schemas.openxmlformats.org/officeDocument/2006/relationships/hyperlink" Target="https://common-legacy-app-admin.us.ikemen-sengoku.jp/admin/present/edit/171977" TargetMode="External"/><Relationship Id="rId13" Type="http://schemas.openxmlformats.org/officeDocument/2006/relationships/hyperlink" Target="https://common-legacy-app-admin.us.ikemen-sengoku.jp/admin/present/edit/171940" TargetMode="External"/><Relationship Id="rId57" Type="http://schemas.openxmlformats.org/officeDocument/2006/relationships/hyperlink" Target="https://common-legacy-app-admin.us.ikemen-sengoku.jp/admin/specialstory/edit/6314" TargetMode="External"/><Relationship Id="rId12" Type="http://schemas.openxmlformats.org/officeDocument/2006/relationships/hyperlink" Target="https://common-legacy-app-admin.us.ikemen-sengoku.jp/admin/specialstory/edit/6319" TargetMode="External"/><Relationship Id="rId56" Type="http://schemas.openxmlformats.org/officeDocument/2006/relationships/hyperlink" Target="https://common-legacy-app-admin.us.ikemen-sengoku.jp/admin/present/edit/171979" TargetMode="External"/><Relationship Id="rId15" Type="http://schemas.openxmlformats.org/officeDocument/2006/relationships/hyperlink" Target="https://common-legacy-app-admin.us.ikemen-sengoku.jp/admin/present/edit/171942" TargetMode="External"/><Relationship Id="rId59" Type="http://schemas.openxmlformats.org/officeDocument/2006/relationships/hyperlink" Target="https://common-legacy-app-admin.us.ikemen-sengoku.jp/admin/present/edit/171981" TargetMode="External"/><Relationship Id="rId14" Type="http://schemas.openxmlformats.org/officeDocument/2006/relationships/hyperlink" Target="https://common-legacy-app-admin.us.ikemen-sengoku.jp/admin/present/edit/171941" TargetMode="External"/><Relationship Id="rId58" Type="http://schemas.openxmlformats.org/officeDocument/2006/relationships/hyperlink" Target="https://common-legacy-app-admin.us.ikemen-sengoku.jp/admin/present/edit/171980" TargetMode="External"/><Relationship Id="rId17" Type="http://schemas.openxmlformats.org/officeDocument/2006/relationships/hyperlink" Target="https://common-legacy-app-admin.us.ikemen-sengoku.jp/admin/present/edit/171944" TargetMode="External"/><Relationship Id="rId16" Type="http://schemas.openxmlformats.org/officeDocument/2006/relationships/hyperlink" Target="https://common-legacy-app-admin.us.ikemen-sengoku.jp/admin/present/edit/171943" TargetMode="External"/><Relationship Id="rId19" Type="http://schemas.openxmlformats.org/officeDocument/2006/relationships/hyperlink" Target="https://common-legacy-app-admin.us.ikemen-sengoku.jp/admin/present/edit/171946" TargetMode="External"/><Relationship Id="rId18" Type="http://schemas.openxmlformats.org/officeDocument/2006/relationships/hyperlink" Target="https://common-legacy-app-admin.us.ikemen-sengoku.jp/admin/present/edit/171945"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common-legacy-app-admin.us.ikemen-sengoku.jp/admin/isgame/collection/all_setting/203" TargetMode="External"/><Relationship Id="rId2" Type="http://schemas.openxmlformats.org/officeDocument/2006/relationships/hyperlink" Target="https://common-legacy-app-admin.us.ikemen-sengoku.jp/admin/collection/collect_fever_mst/collect_214" TargetMode="External"/><Relationship Id="rId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common-legacy-app-admin.us.ikemen-sengoku.jp/admin/story/add_scene/34556" TargetMode="External"/><Relationship Id="rId2" Type="http://schemas.openxmlformats.org/officeDocument/2006/relationships/hyperlink" Target="https://common-legacy-app-admin.us.ikemen-sengoku.jp/admin/story/add_scene/34557" TargetMode="External"/><Relationship Id="rId3" Type="http://schemas.openxmlformats.org/officeDocument/2006/relationships/hyperlink" Target="https://common-legacy-app-admin.us.ikemen-sengoku.jp/admin/story/add_scene/34558" TargetMode="External"/><Relationship Id="rId4" Type="http://schemas.openxmlformats.org/officeDocument/2006/relationships/hyperlink" Target="https://common-legacy-app-admin.us.ikemen-sengoku.jp/admin/story/add_scene/34559" TargetMode="External"/><Relationship Id="rId9" Type="http://schemas.openxmlformats.org/officeDocument/2006/relationships/hyperlink" Target="https://common-legacy-app-admin.us.ikemen-sengoku.jp/admin/story/add_scene/34564" TargetMode="External"/><Relationship Id="rId5" Type="http://schemas.openxmlformats.org/officeDocument/2006/relationships/hyperlink" Target="https://common-legacy-app-admin.us.ikemen-sengoku.jp/admin/story/add_scene/34560" TargetMode="External"/><Relationship Id="rId6" Type="http://schemas.openxmlformats.org/officeDocument/2006/relationships/hyperlink" Target="https://common-legacy-app-admin.us.ikemen-sengoku.jp/admin/story/add_scene/34561" TargetMode="External"/><Relationship Id="rId7" Type="http://schemas.openxmlformats.org/officeDocument/2006/relationships/hyperlink" Target="https://common-legacy-app-admin.us.ikemen-sengoku.jp/admin/story/add_scene/34562" TargetMode="External"/><Relationship Id="rId8" Type="http://schemas.openxmlformats.org/officeDocument/2006/relationships/hyperlink" Target="https://common-legacy-app-admin.us.ikemen-sengoku.jp/admin/story/add_scene/34563" TargetMode="External"/><Relationship Id="rId20" Type="http://schemas.openxmlformats.org/officeDocument/2006/relationships/hyperlink" Target="https://common-legacy-app-admin.us.ikemen-sengoku.jp/admin/story/add_scene/34554" TargetMode="External"/><Relationship Id="rId21" Type="http://schemas.openxmlformats.org/officeDocument/2006/relationships/drawing" Target="../drawings/drawing16.xml"/><Relationship Id="rId11" Type="http://schemas.openxmlformats.org/officeDocument/2006/relationships/hyperlink" Target="https://common-legacy-app-admin.us.ikemen-sengoku.jp/admin/story/add_scene/34566" TargetMode="External"/><Relationship Id="rId10" Type="http://schemas.openxmlformats.org/officeDocument/2006/relationships/hyperlink" Target="https://common-legacy-app-admin.us.ikemen-sengoku.jp/admin/story/add_scene/34565" TargetMode="External"/><Relationship Id="rId13" Type="http://schemas.openxmlformats.org/officeDocument/2006/relationships/hyperlink" Target="https://common-legacy-app-admin.us.ikemen-sengoku.jp/admin/story/add_scene/22519" TargetMode="External"/><Relationship Id="rId12" Type="http://schemas.openxmlformats.org/officeDocument/2006/relationships/hyperlink" Target="https://common-legacy-app-admin.us.ikemen-sengoku.jp/admin/story/add_scene/34567" TargetMode="External"/><Relationship Id="rId15" Type="http://schemas.openxmlformats.org/officeDocument/2006/relationships/hyperlink" Target="https://common-legacy-app-admin.us.ikemen-sengoku.jp/admin/story/add_scene/22531" TargetMode="External"/><Relationship Id="rId14" Type="http://schemas.openxmlformats.org/officeDocument/2006/relationships/hyperlink" Target="https://common-legacy-app-admin.us.ikemen-sengoku.jp/admin/story/add_scene/22520" TargetMode="External"/><Relationship Id="rId17" Type="http://schemas.openxmlformats.org/officeDocument/2006/relationships/hyperlink" Target="https://common-legacy-app-admin.us.ikemen-sengoku.jp/admin/story/add_scene/22532" TargetMode="External"/><Relationship Id="rId16" Type="http://schemas.openxmlformats.org/officeDocument/2006/relationships/hyperlink" Target="https://common-legacy-app-admin.us.ikemen-sengoku.jp/admin/story/add_scene/22534" TargetMode="External"/><Relationship Id="rId19" Type="http://schemas.openxmlformats.org/officeDocument/2006/relationships/hyperlink" Target="https://common-legacy-app-admin.us.ikemen-sengoku.jp/admin/story/add_scene/34553" TargetMode="External"/><Relationship Id="rId18" Type="http://schemas.openxmlformats.org/officeDocument/2006/relationships/hyperlink" Target="https://common-legacy-app-admin.us.ikemen-sengoku.jp/admin/story/add_scene/22535"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common-legacy-app-admin.us.ikemen-sengoku.jp/admin/avatar/material_list/6_1_3883" TargetMode="External"/><Relationship Id="rId2" Type="http://schemas.openxmlformats.org/officeDocument/2006/relationships/hyperlink" Target="https://common-legacy-app-admin.us.ikemen-sengoku.jp/admin/avatar/material_list/6_1_3886" TargetMode="External"/><Relationship Id="rId3" Type="http://schemas.openxmlformats.org/officeDocument/2006/relationships/hyperlink" Target="https://common-legacy-app-admin.us.ikemen-sengoku.jp/admin/avatar/material_list/6_1_3885" TargetMode="External"/><Relationship Id="rId4" Type="http://schemas.openxmlformats.org/officeDocument/2006/relationships/hyperlink" Target="https://common-legacy-app-admin.us.ikemen-sengoku.jp/admin/avatar/material_list/6_1_3870" TargetMode="External"/><Relationship Id="rId9" Type="http://schemas.openxmlformats.org/officeDocument/2006/relationships/hyperlink" Target="https://common-legacy-app-admin.us.ikemen-sengoku.jp/admin/avatar/material_list/640_119" TargetMode="External"/><Relationship Id="rId5" Type="http://schemas.openxmlformats.org/officeDocument/2006/relationships/hyperlink" Target="https://common-legacy-app-admin.us.ikemen-sengoku.jp/admin/avatar/material_list/6_1_3871" TargetMode="External"/><Relationship Id="rId6" Type="http://schemas.openxmlformats.org/officeDocument/2006/relationships/hyperlink" Target="https://common-legacy-app-admin.us.ikemen-sengoku.jp/admin/avatar/material_list/6_1_3869" TargetMode="External"/><Relationship Id="rId7" Type="http://schemas.openxmlformats.org/officeDocument/2006/relationships/hyperlink" Target="https://common-legacy-app-admin.us.ikemen-sengoku.jp/admin/avatar/material_list/641_104" TargetMode="External"/><Relationship Id="rId8" Type="http://schemas.openxmlformats.org/officeDocument/2006/relationships/hyperlink" Target="https://common-legacy-app-admin.us.ikemen-sengoku.jp/admin/avatar/material_list/652_035" TargetMode="External"/><Relationship Id="rId31" Type="http://schemas.openxmlformats.org/officeDocument/2006/relationships/drawing" Target="../drawings/drawing17.xml"/><Relationship Id="rId30" Type="http://schemas.openxmlformats.org/officeDocument/2006/relationships/hyperlink" Target="https://common-legacy-app-admin.us.ikemen-sengoku.jp/admin/avatar/material_list/6_1_3876" TargetMode="External"/><Relationship Id="rId20" Type="http://schemas.openxmlformats.org/officeDocument/2006/relationships/hyperlink" Target="https://common-legacy-app-admin.us.ikemen-sengoku.jp/admin/avatar/material_list/011_567" TargetMode="External"/><Relationship Id="rId22" Type="http://schemas.openxmlformats.org/officeDocument/2006/relationships/hyperlink" Target="https://common-legacy-app-admin.us.ikemen-sengoku.jp/admin/avatar/material_list/311_1142" TargetMode="External"/><Relationship Id="rId21" Type="http://schemas.openxmlformats.org/officeDocument/2006/relationships/hyperlink" Target="https://common-legacy-app-admin.us.ikemen-sengoku.jp/admin/avatar/material_list/853_008" TargetMode="External"/><Relationship Id="rId24" Type="http://schemas.openxmlformats.org/officeDocument/2006/relationships/hyperlink" Target="https://common-legacy-app-admin.us.ikemen-sengoku.jp/admin/avatar/material_list/550_014" TargetMode="External"/><Relationship Id="rId23" Type="http://schemas.openxmlformats.org/officeDocument/2006/relationships/hyperlink" Target="https://common-legacy-app-admin.us.ikemen-sengoku.jp/admin/avatar/material_list/552_045" TargetMode="External"/><Relationship Id="rId26" Type="http://schemas.openxmlformats.org/officeDocument/2006/relationships/hyperlink" Target="https://common-legacy-app-admin.us.ikemen-sengoku.jp/admin/avatar/material_list/6_1_3875" TargetMode="External"/><Relationship Id="rId25" Type="http://schemas.openxmlformats.org/officeDocument/2006/relationships/hyperlink" Target="https://common-legacy-app-admin.us.ikemen-sengoku.jp/admin/avatar/material_list/6_1_3873" TargetMode="External"/><Relationship Id="rId28" Type="http://schemas.openxmlformats.org/officeDocument/2006/relationships/hyperlink" Target="https://common-legacy-app-admin.us.ikemen-sengoku.jp/admin/avatar/material_list/6_1_3880" TargetMode="External"/><Relationship Id="rId27" Type="http://schemas.openxmlformats.org/officeDocument/2006/relationships/hyperlink" Target="https://common-legacy-app-admin.us.ikemen-sengoku.jp/admin/avatar/material_list/6_1_3879" TargetMode="External"/><Relationship Id="rId29" Type="http://schemas.openxmlformats.org/officeDocument/2006/relationships/hyperlink" Target="https://common-legacy-app-admin.us.ikemen-sengoku.jp/admin/avatar/material_list/6_1_3874" TargetMode="External"/><Relationship Id="rId11" Type="http://schemas.openxmlformats.org/officeDocument/2006/relationships/hyperlink" Target="https://common-legacy-app-admin.us.ikemen-sengoku.jp/admin/avatar/material_list/648_128" TargetMode="External"/><Relationship Id="rId10" Type="http://schemas.openxmlformats.org/officeDocument/2006/relationships/hyperlink" Target="https://common-legacy-app-admin.us.ikemen-sengoku.jp/admin/avatar/material_list/653_072" TargetMode="External"/><Relationship Id="rId13" Type="http://schemas.openxmlformats.org/officeDocument/2006/relationships/hyperlink" Target="https://common-legacy-app-admin.us.ikemen-sengoku.jp/admin/avatar/material_list/692_084" TargetMode="External"/><Relationship Id="rId12" Type="http://schemas.openxmlformats.org/officeDocument/2006/relationships/hyperlink" Target="https://common-legacy-app-admin.us.ikemen-sengoku.jp/admin/avatar/material_list/697_079" TargetMode="External"/><Relationship Id="rId15" Type="http://schemas.openxmlformats.org/officeDocument/2006/relationships/hyperlink" Target="https://common-legacy-app-admin.us.ikemen-sengoku.jp/admin/avatar/material_list/647_121" TargetMode="External"/><Relationship Id="rId14" Type="http://schemas.openxmlformats.org/officeDocument/2006/relationships/hyperlink" Target="https://common-legacy-app-admin.us.ikemen-sengoku.jp/admin/avatar/material_list/651_068" TargetMode="External"/><Relationship Id="rId17" Type="http://schemas.openxmlformats.org/officeDocument/2006/relationships/hyperlink" Target="https://common-legacy-app-admin.us.ikemen-sengoku.jp/admin/avatar/material_list/453_337" TargetMode="External"/><Relationship Id="rId16" Type="http://schemas.openxmlformats.org/officeDocument/2006/relationships/hyperlink" Target="https://common-legacy-app-admin.us.ikemen-sengoku.jp/admin/avatar/material_list/656_066" TargetMode="External"/><Relationship Id="rId19" Type="http://schemas.openxmlformats.org/officeDocument/2006/relationships/hyperlink" Target="https://common-legacy-app-admin.us.ikemen-sengoku.jp/admin/avatar/material_list/521_370" TargetMode="External"/><Relationship Id="rId18" Type="http://schemas.openxmlformats.org/officeDocument/2006/relationships/hyperlink" Target="https://common-legacy-app-admin.us.ikemen-sengoku.jp/admin/avatar/material_list/211_569"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common-legacy-app-admin.us.ikemen-sengoku.jp/admin/avatar/material_list/697_079" TargetMode="External"/><Relationship Id="rId2" Type="http://schemas.openxmlformats.org/officeDocument/2006/relationships/hyperlink" Target="https://common-legacy-app-admin.us.ikemen-sengoku.jp/admin/avatar/item?item_name=Mystic+Matrimony" TargetMode="External"/><Relationship Id="rId3" Type="http://schemas.openxmlformats.org/officeDocument/2006/relationships/hyperlink" Target="https://common-legacy-app-admin.us.ikemen-sengoku.jp/admin/avatar/material_list/648_128" TargetMode="External"/><Relationship Id="rId4" Type="http://schemas.openxmlformats.org/officeDocument/2006/relationships/hyperlink" Target="https://common-legacy-app-admin.us.ikemen-sengoku.jp/admin/avatar/material_list/653_072" TargetMode="External"/><Relationship Id="rId9" Type="http://schemas.openxmlformats.org/officeDocument/2006/relationships/hyperlink" Target="https://common-legacy-app-admin.us.ikemen-sengoku.jp/admin/avatar/material_list/853_008" TargetMode="External"/><Relationship Id="rId5" Type="http://schemas.openxmlformats.org/officeDocument/2006/relationships/hyperlink" Target="https://common-legacy-app-admin.us.ikemen-sengoku.jp/admin/avatar/material_list/640_119" TargetMode="External"/><Relationship Id="rId6" Type="http://schemas.openxmlformats.org/officeDocument/2006/relationships/hyperlink" Target="https://common-legacy-app-admin.us.ikemen-sengoku.jp/admin/avatar/material_list/652_035" TargetMode="External"/><Relationship Id="rId7" Type="http://schemas.openxmlformats.org/officeDocument/2006/relationships/hyperlink" Target="https://common-legacy-app-admin.us.ikemen-sengoku.jp/admin/avatar/material_list/641_104" TargetMode="External"/><Relationship Id="rId8" Type="http://schemas.openxmlformats.org/officeDocument/2006/relationships/hyperlink" Target="https://common-legacy-app-admin.us.ikemen-sengoku.jp/admin/avatar/material_list/6_1_3869" TargetMode="External"/><Relationship Id="rId31" Type="http://schemas.openxmlformats.org/officeDocument/2006/relationships/hyperlink" Target="https://common-legacy-app-admin.us.ikemen-sengoku.jp/admin/avatar/material_list/692_084" TargetMode="External"/><Relationship Id="rId30" Type="http://schemas.openxmlformats.org/officeDocument/2006/relationships/hyperlink" Target="https://common-legacy-app-admin.us.ikemen-sengoku.jp/admin/avatar/material_list/550_014" TargetMode="External"/><Relationship Id="rId33" Type="http://schemas.openxmlformats.org/officeDocument/2006/relationships/hyperlink" Target="https://common-legacy-app-admin.us.ikemen-sengoku.jp/admin/avatar/material_list/647_121" TargetMode="External"/><Relationship Id="rId32" Type="http://schemas.openxmlformats.org/officeDocument/2006/relationships/hyperlink" Target="https://common-legacy-app-admin.us.ikemen-sengoku.jp/admin/avatar/material_list/651_068" TargetMode="External"/><Relationship Id="rId35" Type="http://schemas.openxmlformats.org/officeDocument/2006/relationships/hyperlink" Target="https://common-legacy-app-admin.us.ikemen-sengoku.jp/admin/avatar/material_list/453_337" TargetMode="External"/><Relationship Id="rId34" Type="http://schemas.openxmlformats.org/officeDocument/2006/relationships/hyperlink" Target="https://common-legacy-app-admin.us.ikemen-sengoku.jp/admin/avatar/material_list/656_066" TargetMode="External"/><Relationship Id="rId37" Type="http://schemas.openxmlformats.org/officeDocument/2006/relationships/drawing" Target="../drawings/drawing18.xml"/><Relationship Id="rId36" Type="http://schemas.openxmlformats.org/officeDocument/2006/relationships/hyperlink" Target="https://common-legacy-app-admin.us.ikemen-sengoku.jp/admin/avatar/item?item_category_cd=&amp;item_name=Blue+Anemone+Hair+Clip" TargetMode="External"/><Relationship Id="rId20" Type="http://schemas.openxmlformats.org/officeDocument/2006/relationships/hyperlink" Target="https://common-legacy-app-admin.us.ikemen-sengoku.jp/admin/avatar/material_list/6_1_3879" TargetMode="External"/><Relationship Id="rId22" Type="http://schemas.openxmlformats.org/officeDocument/2006/relationships/hyperlink" Target="https://common-legacy-app-admin.us.ikemen-sengoku.jp/admin/avatar/material_list/6_1_3881" TargetMode="External"/><Relationship Id="rId21" Type="http://schemas.openxmlformats.org/officeDocument/2006/relationships/hyperlink" Target="https://common-legacy-app-admin.us.ikemen-sengoku.jp/admin/avatar/material_list/6_1_3880" TargetMode="External"/><Relationship Id="rId24" Type="http://schemas.openxmlformats.org/officeDocument/2006/relationships/hyperlink" Target="https://common-legacy-app-admin.us.ikemen-sengoku.jp/admin/avatar/material_list/6_1_3883" TargetMode="External"/><Relationship Id="rId23" Type="http://schemas.openxmlformats.org/officeDocument/2006/relationships/hyperlink" Target="https://common-legacy-app-admin.us.ikemen-sengoku.jp/admin/avatar/material_list/6_1_3882" TargetMode="External"/><Relationship Id="rId26" Type="http://schemas.openxmlformats.org/officeDocument/2006/relationships/hyperlink" Target="https://common-legacy-app-admin.us.ikemen-sengoku.jp/admin/avatar/material_list/6_1_3885" TargetMode="External"/><Relationship Id="rId25" Type="http://schemas.openxmlformats.org/officeDocument/2006/relationships/hyperlink" Target="https://common-legacy-app-admin.us.ikemen-sengoku.jp/admin/avatar/material_list/6_1_3884" TargetMode="External"/><Relationship Id="rId28" Type="http://schemas.openxmlformats.org/officeDocument/2006/relationships/hyperlink" Target="https://common-legacy-app-admin.us.ikemen-sengoku.jp/admin/avatar/material_list/552_045" TargetMode="External"/><Relationship Id="rId27" Type="http://schemas.openxmlformats.org/officeDocument/2006/relationships/hyperlink" Target="https://common-legacy-app-admin.us.ikemen-sengoku.jp/admin/avatar/material_list/6_1_3886" TargetMode="External"/><Relationship Id="rId29" Type="http://schemas.openxmlformats.org/officeDocument/2006/relationships/hyperlink" Target="https://common-legacy-app-admin.us.ikemen-sengoku.jp/admin/avatar/item?item_category_cd=&amp;item_name=Nine-Tailed+Fox" TargetMode="External"/><Relationship Id="rId11" Type="http://schemas.openxmlformats.org/officeDocument/2006/relationships/hyperlink" Target="https://common-legacy-app-admin.us.ikemen-sengoku.jp/admin/avatar/item?item_category_cd=&amp;item_name=with+a+Lantern" TargetMode="External"/><Relationship Id="rId10" Type="http://schemas.openxmlformats.org/officeDocument/2006/relationships/hyperlink" Target="https://common-legacy-app-admin.us.ikemen-sengoku.jp/admin/avatar/material_list/6_1_3870" TargetMode="External"/><Relationship Id="rId13" Type="http://schemas.openxmlformats.org/officeDocument/2006/relationships/hyperlink" Target="https://common-legacy-app-admin.us.ikemen-sengoku.jp/admin/avatar/material_list/6_1_3872" TargetMode="External"/><Relationship Id="rId12" Type="http://schemas.openxmlformats.org/officeDocument/2006/relationships/hyperlink" Target="https://common-legacy-app-admin.us.ikemen-sengoku.jp/admin/avatar/material_list/6_1_3871" TargetMode="External"/><Relationship Id="rId15" Type="http://schemas.openxmlformats.org/officeDocument/2006/relationships/hyperlink" Target="https://common-legacy-app-admin.us.ikemen-sengoku.jp/admin/avatar/material_list/6_1_3874" TargetMode="External"/><Relationship Id="rId14" Type="http://schemas.openxmlformats.org/officeDocument/2006/relationships/hyperlink" Target="https://common-legacy-app-admin.us.ikemen-sengoku.jp/admin/avatar/material_list/6_1_3873" TargetMode="External"/><Relationship Id="rId17" Type="http://schemas.openxmlformats.org/officeDocument/2006/relationships/hyperlink" Target="https://common-legacy-app-admin.us.ikemen-sengoku.jp/admin/avatar/material_list/6_1_3876" TargetMode="External"/><Relationship Id="rId16" Type="http://schemas.openxmlformats.org/officeDocument/2006/relationships/hyperlink" Target="https://common-legacy-app-admin.us.ikemen-sengoku.jp/admin/avatar/material_list/6_1_3875" TargetMode="External"/><Relationship Id="rId19" Type="http://schemas.openxmlformats.org/officeDocument/2006/relationships/hyperlink" Target="https://common-legacy-app-admin.us.ikemen-sengoku.jp/admin/avatar/material_list/6_1_3878" TargetMode="External"/><Relationship Id="rId18" Type="http://schemas.openxmlformats.org/officeDocument/2006/relationships/hyperlink" Target="https://common-legacy-app-admin.us.ikemen-sengoku.jp/admin/avatar/material_list/6_1_3877"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common-legacy-app-admin.us.ikemen-sengoku.jp/admin/still" TargetMode="External"/><Relationship Id="rId2" Type="http://schemas.openxmlformats.org/officeDocument/2006/relationships/hyperlink" Target="https://common-legacy-app-admin.us.ikemen-sengoku.jp/admin/still/edit_still_mst/3775" TargetMode="External"/><Relationship Id="rId3" Type="http://schemas.openxmlformats.org/officeDocument/2006/relationships/hyperlink" Target="https://common-legacy-app-admin.us.ikemen-sengoku.jp/admin/still/edit_still_mst/3775" TargetMode="External"/><Relationship Id="rId4" Type="http://schemas.openxmlformats.org/officeDocument/2006/relationships/hyperlink" Target="https://common-legacy-app-admin.us.ikemen-sengoku.jp/admin/still/edit_still_mst/3776" TargetMode="External"/><Relationship Id="rId9" Type="http://schemas.openxmlformats.org/officeDocument/2006/relationships/hyperlink" Target="https://common-legacy-app-admin.us.ikemen-sengoku.jp/admin/still/edit_still_mst/3778" TargetMode="External"/><Relationship Id="rId5" Type="http://schemas.openxmlformats.org/officeDocument/2006/relationships/hyperlink" Target="https://common-legacy-app-admin.us.ikemen-sengoku.jp/admin/still/edit_still_mst/3776" TargetMode="External"/><Relationship Id="rId6" Type="http://schemas.openxmlformats.org/officeDocument/2006/relationships/hyperlink" Target="https://common-legacy-app-admin.us.ikemen-sengoku.jp/admin/still/edit_still_mst/3777" TargetMode="External"/><Relationship Id="rId7" Type="http://schemas.openxmlformats.org/officeDocument/2006/relationships/hyperlink" Target="https://common-legacy-app-admin.us.ikemen-sengoku.jp/admin/still/edit_still_mst/3777" TargetMode="External"/><Relationship Id="rId8" Type="http://schemas.openxmlformats.org/officeDocument/2006/relationships/hyperlink" Target="https://common-legacy-app-admin.us.ikemen-sengoku.jp/admin/still/edit_still_mst/3778" TargetMode="External"/><Relationship Id="rId11" Type="http://schemas.openxmlformats.org/officeDocument/2006/relationships/hyperlink" Target="https://common-legacy-app-admin.us.ikemen-sengoku.jp/admin/still/edit_still_mst/3779" TargetMode="External"/><Relationship Id="rId10" Type="http://schemas.openxmlformats.org/officeDocument/2006/relationships/hyperlink" Target="https://common-legacy-app-admin.us.ikemen-sengoku.jp/admin/still/edit_still_mst/3779" TargetMode="External"/><Relationship Id="rId13" Type="http://schemas.openxmlformats.org/officeDocument/2006/relationships/hyperlink" Target="https://common-legacy-app-admin.us.ikemen-sengoku.jp/admin/still/edit_still_mst/3780" TargetMode="External"/><Relationship Id="rId12" Type="http://schemas.openxmlformats.org/officeDocument/2006/relationships/hyperlink" Target="https://common-legacy-app-admin.us.ikemen-sengoku.jp/admin/still/edit_still_mst/3780" TargetMode="External"/><Relationship Id="rId1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common-legacy-app-admin.us.ikemen-sengoku.jp/admin/combinedsale?combinedsale_mst_id=843" TargetMode="External"/><Relationship Id="rId2" Type="http://schemas.openxmlformats.org/officeDocument/2006/relationships/hyperlink" Target="https://redmine.ls.aws.cybird.ne.jp/issues/313501" TargetMode="External"/><Relationship Id="rId3"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40" Type="http://schemas.openxmlformats.org/officeDocument/2006/relationships/hyperlink" Target="https://common-legacy-app-admin.us.ikemen-sengoku.jp/admin/combinedsale/combinedsale_item_info/843/76624" TargetMode="External"/><Relationship Id="rId42" Type="http://schemas.openxmlformats.org/officeDocument/2006/relationships/hyperlink" Target="https://common-legacy-app-admin.us.ikemen-sengoku.jp/admin/itemtrial/item_edit/13412?combinedsale_mst_id=843" TargetMode="External"/><Relationship Id="rId41" Type="http://schemas.openxmlformats.org/officeDocument/2006/relationships/hyperlink" Target="https://common-legacy-app-admin.us.ikemen-sengoku.jp/admin/combinedsale/combinedsale_item_detail/843/76624" TargetMode="External"/><Relationship Id="rId44" Type="http://schemas.openxmlformats.org/officeDocument/2006/relationships/hyperlink" Target="https://common-legacy-app-admin.us.ikemen-sengoku.jp/admin/combinedsale/combinedsale_item_info/843/76625" TargetMode="External"/><Relationship Id="rId43" Type="http://schemas.openxmlformats.org/officeDocument/2006/relationships/hyperlink" Target="https://common-legacy-app-admin.us.ikemen-sengoku.jp/admin/itemtrial/set_list/13412" TargetMode="External"/><Relationship Id="rId46" Type="http://schemas.openxmlformats.org/officeDocument/2006/relationships/hyperlink" Target="https://common-legacy-app-admin.us.ikemen-sengoku.jp/admin/itemtrial/item_edit/13413?combinedsale_mst_id=843" TargetMode="External"/><Relationship Id="rId45" Type="http://schemas.openxmlformats.org/officeDocument/2006/relationships/hyperlink" Target="https://common-legacy-app-admin.us.ikemen-sengoku.jp/admin/combinedsale/combinedsale_item_detail/843/76625" TargetMode="External"/><Relationship Id="rId1" Type="http://schemas.openxmlformats.org/officeDocument/2006/relationships/hyperlink" Target="https://common-legacy-app-admin.us.ikemen-sengoku.jp/admin/combinedsale/item/843" TargetMode="External"/><Relationship Id="rId2" Type="http://schemas.openxmlformats.org/officeDocument/2006/relationships/hyperlink" Target="https://common-legacy-app-admin.us.ikemen-sengoku.jp/admin/itemtrial/item_edit/13402?combinedsale_mst_id=843" TargetMode="External"/><Relationship Id="rId3" Type="http://schemas.openxmlformats.org/officeDocument/2006/relationships/hyperlink" Target="https://common-legacy-app-admin.us.ikemen-sengoku.jp/admin/itemtrial/set_list/13402" TargetMode="External"/><Relationship Id="rId4" Type="http://schemas.openxmlformats.org/officeDocument/2006/relationships/hyperlink" Target="https://common-legacy-app-admin.us.ikemen-sengoku.jp/admin/combinedsale/combinedsale_item_info/843/76615" TargetMode="External"/><Relationship Id="rId9" Type="http://schemas.openxmlformats.org/officeDocument/2006/relationships/hyperlink" Target="https://common-legacy-app-admin.us.ikemen-sengoku.jp/admin/combinedsale/combinedsale_item_detail/843/76616" TargetMode="External"/><Relationship Id="rId48" Type="http://schemas.openxmlformats.org/officeDocument/2006/relationships/hyperlink" Target="https://common-legacy-app-admin.us.ikemen-sengoku.jp/admin/combinedsale/combinedsale_item_info/843/76626" TargetMode="External"/><Relationship Id="rId47" Type="http://schemas.openxmlformats.org/officeDocument/2006/relationships/hyperlink" Target="https://common-legacy-app-admin.us.ikemen-sengoku.jp/admin/itemtrial/set_list/13413" TargetMode="External"/><Relationship Id="rId49" Type="http://schemas.openxmlformats.org/officeDocument/2006/relationships/hyperlink" Target="https://common-legacy-app-admin.us.ikemen-sengoku.jp/admin/combinedsale/combinedsale_item_detail/843/76626" TargetMode="External"/><Relationship Id="rId5" Type="http://schemas.openxmlformats.org/officeDocument/2006/relationships/hyperlink" Target="https://common-legacy-app-admin.us.ikemen-sengoku.jp/admin/combinedsale/combinedsale_item_detail/843/76615" TargetMode="External"/><Relationship Id="rId6" Type="http://schemas.openxmlformats.org/officeDocument/2006/relationships/hyperlink" Target="https://common-legacy-app-admin.us.ikemen-sengoku.jp/admin/itemtrial/item_edit/13403?combinedsale_mst_id=843" TargetMode="External"/><Relationship Id="rId7" Type="http://schemas.openxmlformats.org/officeDocument/2006/relationships/hyperlink" Target="https://common-legacy-app-admin.us.ikemen-sengoku.jp/admin/itemtrial/set_list/13403" TargetMode="External"/><Relationship Id="rId8" Type="http://schemas.openxmlformats.org/officeDocument/2006/relationships/hyperlink" Target="https://common-legacy-app-admin.us.ikemen-sengoku.jp/admin/combinedsale/combinedsale_item_info/843/76616" TargetMode="External"/><Relationship Id="rId31" Type="http://schemas.openxmlformats.org/officeDocument/2006/relationships/hyperlink" Target="https://common-legacy-app-admin.us.ikemen-sengoku.jp/admin/itemtrial/set_list/13409" TargetMode="External"/><Relationship Id="rId30" Type="http://schemas.openxmlformats.org/officeDocument/2006/relationships/hyperlink" Target="https://common-legacy-app-admin.us.ikemen-sengoku.jp/admin/itemtrial/item_edit/13409?combinedsale_mst_id=843" TargetMode="External"/><Relationship Id="rId33" Type="http://schemas.openxmlformats.org/officeDocument/2006/relationships/hyperlink" Target="https://common-legacy-app-admin.us.ikemen-sengoku.jp/admin/combinedsale/combinedsale_item_detail/843/76622" TargetMode="External"/><Relationship Id="rId32" Type="http://schemas.openxmlformats.org/officeDocument/2006/relationships/hyperlink" Target="https://common-legacy-app-admin.us.ikemen-sengoku.jp/admin/combinedsale/combinedsale_item_info/843/76622" TargetMode="External"/><Relationship Id="rId35" Type="http://schemas.openxmlformats.org/officeDocument/2006/relationships/hyperlink" Target="https://common-legacy-app-admin.us.ikemen-sengoku.jp/admin/itemtrial/set_list/13410" TargetMode="External"/><Relationship Id="rId34" Type="http://schemas.openxmlformats.org/officeDocument/2006/relationships/hyperlink" Target="https://common-legacy-app-admin.us.ikemen-sengoku.jp/admin/itemtrial/item_edit/13410?combinedsale_mst_id=843" TargetMode="External"/><Relationship Id="rId70" Type="http://schemas.openxmlformats.org/officeDocument/2006/relationships/drawing" Target="../drawings/drawing22.xml"/><Relationship Id="rId37" Type="http://schemas.openxmlformats.org/officeDocument/2006/relationships/hyperlink" Target="https://common-legacy-app-admin.us.ikemen-sengoku.jp/admin/combinedsale/combinedsale_item_detail/843/76623" TargetMode="External"/><Relationship Id="rId36" Type="http://schemas.openxmlformats.org/officeDocument/2006/relationships/hyperlink" Target="https://common-legacy-app-admin.us.ikemen-sengoku.jp/admin/combinedsale/combinedsale_item_info/843/76623" TargetMode="External"/><Relationship Id="rId39" Type="http://schemas.openxmlformats.org/officeDocument/2006/relationships/hyperlink" Target="https://common-legacy-app-admin.us.ikemen-sengoku.jp/admin/itemtrial/set_list/13411" TargetMode="External"/><Relationship Id="rId38" Type="http://schemas.openxmlformats.org/officeDocument/2006/relationships/hyperlink" Target="https://common-legacy-app-admin.us.ikemen-sengoku.jp/admin/itemtrial/item_edit/13411?combinedsale_mst_id=843" TargetMode="External"/><Relationship Id="rId62" Type="http://schemas.openxmlformats.org/officeDocument/2006/relationships/hyperlink" Target="https://common-legacy-app-admin.us.ikemen-sengoku.jp/admin/itemtrial/item_edit/13417?combinedsale_mst_id=843" TargetMode="External"/><Relationship Id="rId61" Type="http://schemas.openxmlformats.org/officeDocument/2006/relationships/hyperlink" Target="https://common-legacy-app-admin.us.ikemen-sengoku.jp/admin/combinedsale/combinedsale_item_detail/843/76629" TargetMode="External"/><Relationship Id="rId20" Type="http://schemas.openxmlformats.org/officeDocument/2006/relationships/hyperlink" Target="https://common-legacy-app-admin.us.ikemen-sengoku.jp/admin/combinedsale/combinedsale_item_info/843/76619" TargetMode="External"/><Relationship Id="rId64" Type="http://schemas.openxmlformats.org/officeDocument/2006/relationships/hyperlink" Target="https://common-legacy-app-admin.us.ikemen-sengoku.jp/admin/combinedsale/combinedsale_item_info/843/76630" TargetMode="External"/><Relationship Id="rId63" Type="http://schemas.openxmlformats.org/officeDocument/2006/relationships/hyperlink" Target="https://common-legacy-app-admin.us.ikemen-sengoku.jp/admin/itemtrial/set_list/13417" TargetMode="External"/><Relationship Id="rId22" Type="http://schemas.openxmlformats.org/officeDocument/2006/relationships/hyperlink" Target="https://common-legacy-app-admin.us.ikemen-sengoku.jp/admin/itemtrial/item_edit/13407?combinedsale_mst_id=843" TargetMode="External"/><Relationship Id="rId66" Type="http://schemas.openxmlformats.org/officeDocument/2006/relationships/hyperlink" Target="https://common-legacy-app-admin.us.ikemen-sengoku.jp/admin/itemtrial/item_edit/13418?combinedsale_mst_id=843" TargetMode="External"/><Relationship Id="rId21" Type="http://schemas.openxmlformats.org/officeDocument/2006/relationships/hyperlink" Target="https://common-legacy-app-admin.us.ikemen-sengoku.jp/admin/combinedsale/combinedsale_item_detail/843/76619" TargetMode="External"/><Relationship Id="rId65" Type="http://schemas.openxmlformats.org/officeDocument/2006/relationships/hyperlink" Target="https://common-legacy-app-admin.us.ikemen-sengoku.jp/admin/combinedsale/combinedsale_item_detail/843/76630" TargetMode="External"/><Relationship Id="rId24" Type="http://schemas.openxmlformats.org/officeDocument/2006/relationships/hyperlink" Target="https://common-legacy-app-admin.us.ikemen-sengoku.jp/admin/combinedsale/combinedsale_item_info/843/76620" TargetMode="External"/><Relationship Id="rId68" Type="http://schemas.openxmlformats.org/officeDocument/2006/relationships/hyperlink" Target="https://common-legacy-app-admin.us.ikemen-sengoku.jp/admin/combinedsale/combinedsale_item_info/843/76631" TargetMode="External"/><Relationship Id="rId23" Type="http://schemas.openxmlformats.org/officeDocument/2006/relationships/hyperlink" Target="https://common-legacy-app-admin.us.ikemen-sengoku.jp/admin/itemtrial/set_list/13407" TargetMode="External"/><Relationship Id="rId67" Type="http://schemas.openxmlformats.org/officeDocument/2006/relationships/hyperlink" Target="https://common-legacy-app-admin.us.ikemen-sengoku.jp/admin/itemtrial/set_list/13418" TargetMode="External"/><Relationship Id="rId60" Type="http://schemas.openxmlformats.org/officeDocument/2006/relationships/hyperlink" Target="https://common-legacy-app-admin.us.ikemen-sengoku.jp/admin/combinedsale/combinedsale_item_info/843/76629" TargetMode="External"/><Relationship Id="rId26" Type="http://schemas.openxmlformats.org/officeDocument/2006/relationships/hyperlink" Target="https://common-legacy-app-admin.us.ikemen-sengoku.jp/admin/itemtrial/item_edit/13408?combinedsale_mst_id=843" TargetMode="External"/><Relationship Id="rId25" Type="http://schemas.openxmlformats.org/officeDocument/2006/relationships/hyperlink" Target="https://common-legacy-app-admin.us.ikemen-sengoku.jp/admin/combinedsale/combinedsale_item_detail/843/76620" TargetMode="External"/><Relationship Id="rId69" Type="http://schemas.openxmlformats.org/officeDocument/2006/relationships/hyperlink" Target="https://common-legacy-app-admin.us.ikemen-sengoku.jp/admin/combinedsale/combinedsale_item_detail/843/76631" TargetMode="External"/><Relationship Id="rId28" Type="http://schemas.openxmlformats.org/officeDocument/2006/relationships/hyperlink" Target="https://common-legacy-app-admin.us.ikemen-sengoku.jp/admin/combinedsale/combinedsale_item_info/843/76621" TargetMode="External"/><Relationship Id="rId27" Type="http://schemas.openxmlformats.org/officeDocument/2006/relationships/hyperlink" Target="https://common-legacy-app-admin.us.ikemen-sengoku.jp/admin/itemtrial/set_list/13408" TargetMode="External"/><Relationship Id="rId29" Type="http://schemas.openxmlformats.org/officeDocument/2006/relationships/hyperlink" Target="https://common-legacy-app-admin.us.ikemen-sengoku.jp/admin/combinedsale/combinedsale_item_detail/843/76621" TargetMode="External"/><Relationship Id="rId51" Type="http://schemas.openxmlformats.org/officeDocument/2006/relationships/hyperlink" Target="https://common-legacy-app-admin.us.ikemen-sengoku.jp/admin/itemtrial/set_list/13414" TargetMode="External"/><Relationship Id="rId50" Type="http://schemas.openxmlformats.org/officeDocument/2006/relationships/hyperlink" Target="https://common-legacy-app-admin.us.ikemen-sengoku.jp/admin/itemtrial/item_edit/13414?combinedsale_mst_id=843" TargetMode="External"/><Relationship Id="rId53" Type="http://schemas.openxmlformats.org/officeDocument/2006/relationships/hyperlink" Target="https://common-legacy-app-admin.us.ikemen-sengoku.jp/admin/combinedsale/combinedsale_item_detail/843/76627" TargetMode="External"/><Relationship Id="rId52" Type="http://schemas.openxmlformats.org/officeDocument/2006/relationships/hyperlink" Target="https://common-legacy-app-admin.us.ikemen-sengoku.jp/admin/combinedsale/combinedsale_item_info/843/76627" TargetMode="External"/><Relationship Id="rId11" Type="http://schemas.openxmlformats.org/officeDocument/2006/relationships/hyperlink" Target="https://common-legacy-app-admin.us.ikemen-sengoku.jp/admin/itemtrial/set_list/13404" TargetMode="External"/><Relationship Id="rId55" Type="http://schemas.openxmlformats.org/officeDocument/2006/relationships/hyperlink" Target="https://common-legacy-app-admin.us.ikemen-sengoku.jp/admin/itemtrial/set_list/13415" TargetMode="External"/><Relationship Id="rId10" Type="http://schemas.openxmlformats.org/officeDocument/2006/relationships/hyperlink" Target="https://common-legacy-app-admin.us.ikemen-sengoku.jp/admin/itemtrial/item_edit/13404?combinedsale_mst_id=843" TargetMode="External"/><Relationship Id="rId54" Type="http://schemas.openxmlformats.org/officeDocument/2006/relationships/hyperlink" Target="https://common-legacy-app-admin.us.ikemen-sengoku.jp/admin/itemtrial/item_edit/13415?combinedsale_mst_id=843" TargetMode="External"/><Relationship Id="rId13" Type="http://schemas.openxmlformats.org/officeDocument/2006/relationships/hyperlink" Target="https://common-legacy-app-admin.us.ikemen-sengoku.jp/admin/combinedsale/combinedsale_item_detail/843/76617" TargetMode="External"/><Relationship Id="rId57" Type="http://schemas.openxmlformats.org/officeDocument/2006/relationships/hyperlink" Target="https://common-legacy-app-admin.us.ikemen-sengoku.jp/admin/combinedsale/combinedsale_item_detail/843/76628" TargetMode="External"/><Relationship Id="rId12" Type="http://schemas.openxmlformats.org/officeDocument/2006/relationships/hyperlink" Target="https://common-legacy-app-admin.us.ikemen-sengoku.jp/admin/combinedsale/combinedsale_item_info/843/76617" TargetMode="External"/><Relationship Id="rId56" Type="http://schemas.openxmlformats.org/officeDocument/2006/relationships/hyperlink" Target="https://common-legacy-app-admin.us.ikemen-sengoku.jp/admin/combinedsale/combinedsale_item_info/843/76628" TargetMode="External"/><Relationship Id="rId15" Type="http://schemas.openxmlformats.org/officeDocument/2006/relationships/hyperlink" Target="https://common-legacy-app-admin.us.ikemen-sengoku.jp/admin/itemtrial/set_list/13405" TargetMode="External"/><Relationship Id="rId59" Type="http://schemas.openxmlformats.org/officeDocument/2006/relationships/hyperlink" Target="https://common-legacy-app-admin.us.ikemen-sengoku.jp/admin/itemtrial/set_list/13416" TargetMode="External"/><Relationship Id="rId14" Type="http://schemas.openxmlformats.org/officeDocument/2006/relationships/hyperlink" Target="https://common-legacy-app-admin.us.ikemen-sengoku.jp/admin/itemtrial/item_edit/13405?combinedsale_mst_id=843" TargetMode="External"/><Relationship Id="rId58" Type="http://schemas.openxmlformats.org/officeDocument/2006/relationships/hyperlink" Target="https://common-legacy-app-admin.us.ikemen-sengoku.jp/admin/itemtrial/item_edit/13416?combinedsale_mst_id=843" TargetMode="External"/><Relationship Id="rId17" Type="http://schemas.openxmlformats.org/officeDocument/2006/relationships/hyperlink" Target="https://common-legacy-app-admin.us.ikemen-sengoku.jp/admin/combinedsale/combinedsale_item_detail/843/76618" TargetMode="External"/><Relationship Id="rId16" Type="http://schemas.openxmlformats.org/officeDocument/2006/relationships/hyperlink" Target="https://common-legacy-app-admin.us.ikemen-sengoku.jp/admin/combinedsale/combinedsale_item_info/843/76618" TargetMode="External"/><Relationship Id="rId19" Type="http://schemas.openxmlformats.org/officeDocument/2006/relationships/hyperlink" Target="https://common-legacy-app-admin.us.ikemen-sengoku.jp/admin/itemtrial/set_list/13406" TargetMode="External"/><Relationship Id="rId18" Type="http://schemas.openxmlformats.org/officeDocument/2006/relationships/hyperlink" Target="https://common-legacy-app-admin.us.ikemen-sengoku.jp/admin/itemtrial/item_edit/13406?combinedsale_mst_id=843"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common-legacy-app-admin.us.ikemen-sengoku.jp/admin/itemtrial/set_list/"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common-legacy-app-admin.us.ikemen-sengoku.jp/admin/shopitem?item_name=Mystic+Matrimony" TargetMode="Externa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0D9"/>
    <pageSetUpPr/>
  </sheetPr>
  <sheetViews>
    <sheetView workbookViewId="0"/>
  </sheetViews>
  <sheetFormatPr customHeight="1" defaultColWidth="14.43" defaultRowHeight="15.0" outlineLevelCol="1"/>
  <cols>
    <col customWidth="1" min="1" max="1" width="29.86"/>
    <col customWidth="1" min="2" max="2" width="26.86"/>
    <col customWidth="1" min="3" max="3" width="34.43"/>
    <col customWidth="1" min="4" max="4" width="16.71"/>
    <col customWidth="1" hidden="1" min="5" max="6" width="15.14" outlineLevel="1"/>
    <col collapsed="1" customWidth="1" min="7" max="7" width="15.14"/>
  </cols>
  <sheetData>
    <row r="1">
      <c r="A1" s="1" t="s">
        <v>0</v>
      </c>
      <c r="B1" s="2" t="s">
        <v>1</v>
      </c>
      <c r="E1" s="3"/>
      <c r="F1" s="3"/>
      <c r="G1" s="3"/>
    </row>
    <row r="2">
      <c r="A2" s="1" t="s">
        <v>2</v>
      </c>
      <c r="B2" s="4" t="s">
        <v>3</v>
      </c>
      <c r="E2" s="3"/>
      <c r="F2" s="3"/>
      <c r="G2" s="3"/>
    </row>
    <row r="3">
      <c r="A3" s="1" t="s">
        <v>4</v>
      </c>
      <c r="B3" s="4" t="s">
        <v>5</v>
      </c>
      <c r="E3" s="3"/>
      <c r="F3" s="3"/>
      <c r="G3" s="3"/>
    </row>
    <row r="4" ht="15.75" customHeight="1">
      <c r="A4" s="5"/>
      <c r="B4" s="5"/>
      <c r="C4" s="5"/>
      <c r="D4" s="6"/>
      <c r="E4" s="3"/>
      <c r="F4" s="3"/>
      <c r="G4" s="3"/>
    </row>
    <row r="5">
      <c r="A5" s="7" t="s">
        <v>6</v>
      </c>
      <c r="B5" s="8"/>
      <c r="C5" s="8"/>
      <c r="D5" s="9"/>
      <c r="E5" s="10" t="s">
        <v>7</v>
      </c>
      <c r="F5" s="8"/>
      <c r="G5" s="3"/>
    </row>
    <row r="6">
      <c r="A6" s="11" t="s">
        <v>8</v>
      </c>
      <c r="B6" s="11" t="s">
        <v>9</v>
      </c>
      <c r="C6" s="11" t="s">
        <v>10</v>
      </c>
      <c r="D6" s="11" t="s">
        <v>11</v>
      </c>
      <c r="E6" s="3" t="s">
        <v>12</v>
      </c>
      <c r="F6" s="3" t="s">
        <v>13</v>
      </c>
      <c r="G6" s="3" t="s">
        <v>14</v>
      </c>
    </row>
    <row r="7">
      <c r="A7" s="12" t="s">
        <v>15</v>
      </c>
      <c r="B7" s="13" t="s">
        <v>16</v>
      </c>
      <c r="C7" s="14" t="s">
        <v>17</v>
      </c>
      <c r="D7" s="15"/>
      <c r="E7" s="2" t="s">
        <v>18</v>
      </c>
      <c r="F7" s="3" t="s">
        <v>19</v>
      </c>
      <c r="G7" s="2" t="str">
        <f t="array" ref="G7:G29">IF(NOT(ISBLANK(E7:E29)),IF(NOT(ISBLANK(F7:F29)),
HYPERLINK($B$1&amp;E7:E29&amp;F7:F29&amp;C7:C29,"Search"),
HYPERLINK($B$1&amp;E7:E29,"Page Link")
),)</f>
        <v>Search</v>
      </c>
    </row>
    <row r="8">
      <c r="A8" s="12" t="s">
        <v>20</v>
      </c>
      <c r="B8" s="12" t="s">
        <v>21</v>
      </c>
      <c r="C8" s="14" t="s">
        <v>17</v>
      </c>
      <c r="D8" s="15"/>
      <c r="E8" s="2" t="s">
        <v>22</v>
      </c>
      <c r="F8" s="3"/>
      <c r="G8" s="2" t="s">
        <v>23</v>
      </c>
    </row>
    <row r="9">
      <c r="A9" s="12" t="s">
        <v>24</v>
      </c>
      <c r="B9" s="16" t="s">
        <v>25</v>
      </c>
      <c r="C9" s="14">
        <v>203.0</v>
      </c>
      <c r="D9" s="14" t="s">
        <v>26</v>
      </c>
      <c r="E9" s="17" t="s">
        <v>27</v>
      </c>
      <c r="F9" s="17" t="s">
        <v>28</v>
      </c>
      <c r="G9" s="2" t="s">
        <v>29</v>
      </c>
    </row>
    <row r="10">
      <c r="A10" s="12" t="s">
        <v>30</v>
      </c>
      <c r="B10" s="13" t="s">
        <v>31</v>
      </c>
      <c r="C10" s="14">
        <v>843.0</v>
      </c>
      <c r="D10" s="14" t="s">
        <v>26</v>
      </c>
      <c r="E10" s="3" t="s">
        <v>32</v>
      </c>
      <c r="F10" s="3" t="s">
        <v>33</v>
      </c>
      <c r="G10" s="2" t="s">
        <v>29</v>
      </c>
    </row>
    <row r="11">
      <c r="A11" s="7" t="s">
        <v>34</v>
      </c>
      <c r="B11" s="8"/>
      <c r="C11" s="8"/>
      <c r="D11" s="9"/>
      <c r="E11" s="3"/>
      <c r="F11" s="3"/>
      <c r="G11" s="3"/>
    </row>
    <row r="12">
      <c r="A12" s="11" t="s">
        <v>8</v>
      </c>
      <c r="B12" s="11" t="s">
        <v>9</v>
      </c>
      <c r="C12" s="11" t="s">
        <v>10</v>
      </c>
      <c r="D12" s="11" t="s">
        <v>11</v>
      </c>
      <c r="E12" s="3"/>
      <c r="F12" s="3"/>
      <c r="G12" s="3"/>
    </row>
    <row r="13">
      <c r="A13" s="18" t="s">
        <v>35</v>
      </c>
      <c r="B13" s="19" t="s">
        <v>25</v>
      </c>
      <c r="C13" s="14">
        <v>18146.0</v>
      </c>
      <c r="D13" s="13"/>
      <c r="E13" s="3" t="s">
        <v>36</v>
      </c>
      <c r="F13" s="3"/>
      <c r="G13" s="2" t="s">
        <v>23</v>
      </c>
    </row>
    <row r="14">
      <c r="A14" s="20"/>
      <c r="B14" s="20"/>
      <c r="C14" s="14">
        <v>18147.0</v>
      </c>
      <c r="D14" s="13"/>
      <c r="F14" s="3"/>
    </row>
    <row r="15">
      <c r="A15" s="20"/>
      <c r="B15" s="20"/>
      <c r="C15" s="14">
        <v>18148.0</v>
      </c>
      <c r="D15" s="13"/>
      <c r="F15" s="3"/>
    </row>
    <row r="16">
      <c r="A16" s="20"/>
      <c r="B16" s="20"/>
      <c r="C16" s="14">
        <v>18149.0</v>
      </c>
      <c r="D16" s="13"/>
      <c r="F16" s="3"/>
    </row>
    <row r="17">
      <c r="A17" s="20"/>
      <c r="B17" s="20"/>
      <c r="C17" s="14">
        <v>18150.0</v>
      </c>
      <c r="D17" s="13"/>
      <c r="F17" s="3"/>
    </row>
    <row r="18">
      <c r="A18" s="20"/>
      <c r="B18" s="21"/>
      <c r="C18" s="14">
        <v>18151.0</v>
      </c>
      <c r="D18" s="13"/>
      <c r="F18" s="3"/>
    </row>
    <row r="19">
      <c r="A19" s="20"/>
      <c r="B19" s="19" t="s">
        <v>37</v>
      </c>
      <c r="C19" s="14" t="s">
        <v>38</v>
      </c>
      <c r="D19" s="13"/>
      <c r="F19" s="3"/>
    </row>
    <row r="20">
      <c r="A20" s="20"/>
      <c r="B20" s="20"/>
      <c r="C20" s="14" t="s">
        <v>39</v>
      </c>
      <c r="D20" s="13"/>
      <c r="F20" s="3"/>
    </row>
    <row r="21">
      <c r="A21" s="20"/>
      <c r="B21" s="20"/>
      <c r="C21" s="14" t="s">
        <v>40</v>
      </c>
      <c r="D21" s="13"/>
      <c r="F21" s="3"/>
    </row>
    <row r="22">
      <c r="A22" s="20"/>
      <c r="B22" s="20"/>
      <c r="C22" s="14" t="s">
        <v>41</v>
      </c>
      <c r="D22" s="13"/>
      <c r="F22" s="3"/>
    </row>
    <row r="23">
      <c r="A23" s="20"/>
      <c r="B23" s="20"/>
      <c r="C23" s="14" t="s">
        <v>42</v>
      </c>
      <c r="D23" s="13"/>
      <c r="F23" s="3"/>
    </row>
    <row r="24">
      <c r="A24" s="21"/>
      <c r="B24" s="21"/>
      <c r="C24" s="14" t="s">
        <v>43</v>
      </c>
      <c r="D24" s="13"/>
      <c r="F24" s="3"/>
    </row>
    <row r="25" ht="15.75" customHeight="1">
      <c r="A25" s="7" t="s">
        <v>44</v>
      </c>
      <c r="B25" s="8"/>
      <c r="C25" s="8"/>
      <c r="D25" s="9"/>
      <c r="E25" s="3"/>
      <c r="F25" s="3"/>
      <c r="G25" s="3"/>
    </row>
    <row r="26" ht="15.75" customHeight="1">
      <c r="A26" s="11" t="s">
        <v>8</v>
      </c>
      <c r="B26" s="11" t="s">
        <v>9</v>
      </c>
      <c r="C26" s="11" t="s">
        <v>10</v>
      </c>
      <c r="D26" s="11" t="s">
        <v>11</v>
      </c>
      <c r="E26" s="3"/>
      <c r="F26" s="3"/>
      <c r="G26" s="3"/>
    </row>
    <row r="27" ht="15.0" customHeight="1">
      <c r="A27" s="18" t="s">
        <v>45</v>
      </c>
      <c r="B27" s="19" t="s">
        <v>46</v>
      </c>
      <c r="C27" s="14">
        <v>11883.0</v>
      </c>
      <c r="D27" s="14" t="s">
        <v>38</v>
      </c>
      <c r="E27" s="3"/>
      <c r="F27" s="3"/>
      <c r="G27" s="3"/>
    </row>
    <row r="28" ht="15.75" customHeight="1">
      <c r="A28" s="21"/>
      <c r="B28" s="21"/>
      <c r="C28" s="14">
        <v>11884.0</v>
      </c>
      <c r="D28" s="14" t="s">
        <v>39</v>
      </c>
      <c r="E28" s="3"/>
      <c r="F28" s="3"/>
      <c r="G28" s="3"/>
    </row>
    <row r="29" ht="15.75" customHeight="1">
      <c r="A29" s="5"/>
      <c r="B29" s="5"/>
      <c r="C29" s="5"/>
      <c r="D29" s="6"/>
      <c r="E29" s="3"/>
      <c r="F29" s="3"/>
      <c r="G29" s="3"/>
    </row>
  </sheetData>
  <mergeCells count="14">
    <mergeCell ref="E5:F5"/>
    <mergeCell ref="E13:E24"/>
    <mergeCell ref="G13:G24"/>
    <mergeCell ref="B19:B24"/>
    <mergeCell ref="A25:D25"/>
    <mergeCell ref="A27:A28"/>
    <mergeCell ref="B27:B28"/>
    <mergeCell ref="B1:D1"/>
    <mergeCell ref="B2:D2"/>
    <mergeCell ref="B3:D3"/>
    <mergeCell ref="A5:D5"/>
    <mergeCell ref="A11:D11"/>
    <mergeCell ref="A13:A24"/>
    <mergeCell ref="B13:B18"/>
  </mergeCells>
  <hyperlinks>
    <hyperlink r:id="rId1" ref="B1"/>
    <hyperlink r:id="rId2" ref="B2"/>
    <hyperlink r:id="rId3" ref="B3"/>
    <hyperlink r:id="rId4" ref="E7"/>
    <hyperlink r:id="rId5" ref="E8"/>
    <hyperlink r:id="rId6" ref="G8"/>
    <hyperlink r:id="rId7" ref="G9"/>
    <hyperlink r:id="rId8" ref="G10"/>
    <hyperlink r:id="rId9" ref="G13"/>
  </hyperlinks>
  <printOptions/>
  <pageMargins bottom="0.75" footer="0.0" header="0.0" left="0.7" right="0.7" top="0.75"/>
  <pageSetup orientation="landscape"/>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outlineLevelCol="1"/>
  <cols>
    <col collapsed="1" customWidth="1" min="1" max="1" width="4.43"/>
    <col customWidth="1" hidden="1" min="2" max="2" width="18.71" outlineLevel="1"/>
    <col collapsed="1" customWidth="1" min="3" max="3" width="23.0"/>
    <col customWidth="1" hidden="1" min="4" max="4" width="57.29" outlineLevel="1"/>
    <col customWidth="1" min="5" max="5" width="18.71"/>
    <col customWidth="1" min="6" max="6" width="23.0"/>
    <col customWidth="1" min="7" max="7" width="57.29"/>
    <col customWidth="1" min="8" max="8" width="20.14"/>
    <col customWidth="1" min="9" max="12" width="8.71" outlineLevel="1"/>
    <col customWidth="1" min="13" max="17" width="8.71"/>
    <col customWidth="1" min="18" max="19" width="28.71"/>
  </cols>
  <sheetData>
    <row r="1">
      <c r="A1" s="22" t="s">
        <v>47</v>
      </c>
      <c r="B1" s="22" t="s">
        <v>48</v>
      </c>
      <c r="C1" s="22" t="s">
        <v>49</v>
      </c>
      <c r="D1" s="22" t="s">
        <v>50</v>
      </c>
      <c r="E1" s="23" t="s">
        <v>48</v>
      </c>
      <c r="F1" s="23" t="s">
        <v>49</v>
      </c>
      <c r="G1" s="23" t="s">
        <v>50</v>
      </c>
      <c r="H1" s="22" t="s">
        <v>51</v>
      </c>
      <c r="I1" s="24" t="s">
        <v>52</v>
      </c>
      <c r="J1" s="8"/>
      <c r="K1" s="8"/>
      <c r="L1" s="9"/>
      <c r="M1" s="25" t="s">
        <v>53</v>
      </c>
      <c r="N1" s="8"/>
      <c r="O1" s="8"/>
      <c r="P1" s="9"/>
      <c r="Q1" s="22" t="s">
        <v>54</v>
      </c>
      <c r="R1" s="22" t="s">
        <v>55</v>
      </c>
      <c r="S1" s="22" t="s">
        <v>56</v>
      </c>
    </row>
    <row r="2">
      <c r="A2" s="21"/>
      <c r="B2" s="21"/>
      <c r="C2" s="21"/>
      <c r="D2" s="21"/>
      <c r="E2" s="21"/>
      <c r="F2" s="21"/>
      <c r="G2" s="21"/>
      <c r="H2" s="21"/>
      <c r="I2" s="26" t="s">
        <v>57</v>
      </c>
      <c r="J2" s="27" t="s">
        <v>58</v>
      </c>
      <c r="K2" s="26" t="s">
        <v>59</v>
      </c>
      <c r="L2" s="26" t="s">
        <v>60</v>
      </c>
      <c r="M2" s="26" t="s">
        <v>57</v>
      </c>
      <c r="N2" s="27" t="s">
        <v>58</v>
      </c>
      <c r="O2" s="26" t="s">
        <v>59</v>
      </c>
      <c r="P2" s="26" t="s">
        <v>60</v>
      </c>
      <c r="Q2" s="21"/>
      <c r="R2" s="21"/>
      <c r="S2" s="21"/>
    </row>
    <row r="3">
      <c r="A3" s="28">
        <f t="shared" ref="A3:A25" si="1">ROW()-2</f>
        <v>1</v>
      </c>
      <c r="B3" s="29" t="s">
        <v>61</v>
      </c>
      <c r="C3" s="30" t="s">
        <v>62</v>
      </c>
      <c r="D3" s="31" t="s">
        <v>63</v>
      </c>
      <c r="E3" s="29" t="s">
        <v>64</v>
      </c>
      <c r="F3" s="32" t="s">
        <v>65</v>
      </c>
      <c r="G3" s="33" t="s">
        <v>66</v>
      </c>
      <c r="H3" s="33">
        <f>'参照_概要'!$C$36</f>
        <v>46074.70833</v>
      </c>
      <c r="I3" s="34" t="s">
        <v>67</v>
      </c>
      <c r="J3" s="34" t="s">
        <v>68</v>
      </c>
      <c r="K3" s="34" t="s">
        <v>69</v>
      </c>
      <c r="L3" s="35">
        <v>46062.0</v>
      </c>
      <c r="M3" s="36"/>
      <c r="N3" s="36"/>
      <c r="O3" s="36"/>
      <c r="P3" s="36"/>
      <c r="Q3" s="37"/>
      <c r="R3" s="37"/>
      <c r="S3" s="38"/>
    </row>
    <row r="4">
      <c r="A4" s="28">
        <f t="shared" si="1"/>
        <v>2</v>
      </c>
      <c r="B4" s="20"/>
      <c r="C4" s="21"/>
      <c r="D4" s="31" t="s">
        <v>70</v>
      </c>
      <c r="E4" s="20"/>
      <c r="F4" s="21"/>
      <c r="G4" s="33" t="s">
        <v>71</v>
      </c>
      <c r="H4" s="39">
        <f>'参照_概要'!$D$36</f>
        <v>46080.70833</v>
      </c>
      <c r="I4" s="34" t="s">
        <v>67</v>
      </c>
      <c r="J4" s="34" t="s">
        <v>68</v>
      </c>
      <c r="K4" s="34" t="s">
        <v>69</v>
      </c>
      <c r="L4" s="35">
        <v>46062.0</v>
      </c>
      <c r="M4" s="36"/>
      <c r="N4" s="36"/>
      <c r="O4" s="36"/>
      <c r="P4" s="36"/>
      <c r="Q4" s="40"/>
      <c r="R4" s="40"/>
      <c r="S4" s="40"/>
    </row>
    <row r="5">
      <c r="A5" s="28">
        <f t="shared" si="1"/>
        <v>3</v>
      </c>
      <c r="B5" s="20"/>
      <c r="C5" s="41" t="s">
        <v>72</v>
      </c>
      <c r="D5" s="42" t="s">
        <v>73</v>
      </c>
      <c r="E5" s="20"/>
      <c r="F5" s="41" t="s">
        <v>74</v>
      </c>
      <c r="G5" s="43" t="s">
        <v>75</v>
      </c>
      <c r="H5" s="44">
        <f>'参照_概要'!$C$17+1/24/60</f>
        <v>46074.70903</v>
      </c>
      <c r="I5" s="34" t="s">
        <v>67</v>
      </c>
      <c r="J5" s="34" t="s">
        <v>68</v>
      </c>
      <c r="K5" s="34" t="s">
        <v>69</v>
      </c>
      <c r="L5" s="35">
        <v>46064.0</v>
      </c>
      <c r="M5" s="34" t="s">
        <v>67</v>
      </c>
      <c r="N5" s="28" t="str">
        <f t="array" ref="N5:P25">IF(M5:M25="OK",{"IW","Bill","2/12"},)</f>
        <v>IW</v>
      </c>
      <c r="O5" s="28" t="s">
        <v>69</v>
      </c>
      <c r="P5" s="45" t="s">
        <v>76</v>
      </c>
      <c r="Q5" s="46"/>
      <c r="R5" s="46"/>
      <c r="S5" s="47"/>
    </row>
    <row r="6">
      <c r="A6" s="28">
        <f t="shared" si="1"/>
        <v>4</v>
      </c>
      <c r="B6" s="21"/>
      <c r="C6" s="21"/>
      <c r="D6" s="42" t="s">
        <v>77</v>
      </c>
      <c r="E6" s="21"/>
      <c r="F6" s="21"/>
      <c r="G6" s="43" t="s">
        <v>78</v>
      </c>
      <c r="H6" s="21"/>
      <c r="I6" s="34" t="s">
        <v>67</v>
      </c>
      <c r="J6" s="34" t="s">
        <v>68</v>
      </c>
      <c r="K6" s="34" t="s">
        <v>69</v>
      </c>
      <c r="L6" s="35">
        <v>46064.0</v>
      </c>
      <c r="M6" s="34" t="s">
        <v>67</v>
      </c>
      <c r="N6" s="28" t="s">
        <v>68</v>
      </c>
      <c r="O6" s="28" t="s">
        <v>69</v>
      </c>
      <c r="P6" s="45" t="s">
        <v>76</v>
      </c>
      <c r="Q6" s="46"/>
      <c r="R6" s="46"/>
      <c r="S6" s="47"/>
    </row>
    <row r="7">
      <c r="A7" s="28">
        <f t="shared" si="1"/>
        <v>5</v>
      </c>
      <c r="B7" s="48" t="s">
        <v>79</v>
      </c>
      <c r="C7" s="30" t="s">
        <v>20</v>
      </c>
      <c r="D7" s="37" t="s">
        <v>63</v>
      </c>
      <c r="E7" s="48" t="s">
        <v>80</v>
      </c>
      <c r="F7" s="32" t="s">
        <v>81</v>
      </c>
      <c r="G7" s="49" t="s">
        <v>66</v>
      </c>
      <c r="H7" s="49">
        <f>'参照_概要'!$C$37</f>
        <v>46079.70833</v>
      </c>
      <c r="I7" s="34" t="s">
        <v>67</v>
      </c>
      <c r="J7" s="34" t="s">
        <v>68</v>
      </c>
      <c r="K7" s="34" t="s">
        <v>69</v>
      </c>
      <c r="L7" s="35">
        <v>46062.0</v>
      </c>
      <c r="M7" s="36"/>
      <c r="N7" s="36"/>
      <c r="O7" s="36"/>
      <c r="P7" s="36"/>
      <c r="Q7" s="46"/>
      <c r="R7" s="40"/>
      <c r="S7" s="47"/>
    </row>
    <row r="8">
      <c r="A8" s="28">
        <f t="shared" si="1"/>
        <v>6</v>
      </c>
      <c r="B8" s="20"/>
      <c r="C8" s="21"/>
      <c r="D8" s="37" t="s">
        <v>70</v>
      </c>
      <c r="E8" s="20"/>
      <c r="F8" s="21"/>
      <c r="G8" s="49" t="s">
        <v>71</v>
      </c>
      <c r="H8" s="50">
        <f>'参照_概要'!$D$37</f>
        <v>46080.70833</v>
      </c>
      <c r="I8" s="34" t="s">
        <v>67</v>
      </c>
      <c r="J8" s="34" t="s">
        <v>68</v>
      </c>
      <c r="K8" s="34" t="s">
        <v>69</v>
      </c>
      <c r="L8" s="35">
        <v>46062.0</v>
      </c>
      <c r="M8" s="36"/>
      <c r="N8" s="36"/>
      <c r="O8" s="36"/>
      <c r="P8" s="36"/>
      <c r="Q8" s="47"/>
      <c r="R8" s="40"/>
      <c r="S8" s="47"/>
    </row>
    <row r="9">
      <c r="A9" s="28">
        <f t="shared" si="1"/>
        <v>7</v>
      </c>
      <c r="B9" s="20"/>
      <c r="C9" s="41" t="s">
        <v>72</v>
      </c>
      <c r="D9" s="47" t="s">
        <v>73</v>
      </c>
      <c r="E9" s="20"/>
      <c r="F9" s="41" t="s">
        <v>74</v>
      </c>
      <c r="G9" s="51" t="s">
        <v>75</v>
      </c>
      <c r="H9" s="52">
        <f>'参照_概要'!$C$37+1/24/60</f>
        <v>46079.70903</v>
      </c>
      <c r="I9" s="34" t="s">
        <v>67</v>
      </c>
      <c r="J9" s="34" t="s">
        <v>68</v>
      </c>
      <c r="K9" s="34" t="s">
        <v>69</v>
      </c>
      <c r="L9" s="35">
        <v>46064.0</v>
      </c>
      <c r="M9" s="34" t="s">
        <v>67</v>
      </c>
      <c r="N9" s="28" t="s">
        <v>68</v>
      </c>
      <c r="O9" s="28" t="s">
        <v>69</v>
      </c>
      <c r="P9" s="45" t="s">
        <v>76</v>
      </c>
      <c r="Q9" s="47"/>
      <c r="R9" s="47"/>
      <c r="S9" s="47"/>
    </row>
    <row r="10">
      <c r="A10" s="28">
        <f t="shared" si="1"/>
        <v>8</v>
      </c>
      <c r="B10" s="21"/>
      <c r="C10" s="21"/>
      <c r="D10" s="47" t="s">
        <v>77</v>
      </c>
      <c r="E10" s="21"/>
      <c r="F10" s="21"/>
      <c r="G10" s="51" t="s">
        <v>82</v>
      </c>
      <c r="H10" s="21"/>
      <c r="I10" s="34" t="s">
        <v>67</v>
      </c>
      <c r="J10" s="34" t="s">
        <v>68</v>
      </c>
      <c r="K10" s="34" t="s">
        <v>69</v>
      </c>
      <c r="L10" s="35">
        <v>46064.0</v>
      </c>
      <c r="M10" s="34" t="s">
        <v>67</v>
      </c>
      <c r="N10" s="28" t="s">
        <v>68</v>
      </c>
      <c r="O10" s="28" t="s">
        <v>69</v>
      </c>
      <c r="P10" s="45" t="s">
        <v>76</v>
      </c>
      <c r="Q10" s="47"/>
      <c r="R10" s="47"/>
      <c r="S10" s="47"/>
    </row>
    <row r="11">
      <c r="A11" s="28">
        <f t="shared" si="1"/>
        <v>9</v>
      </c>
      <c r="B11" s="53" t="s">
        <v>83</v>
      </c>
      <c r="C11" s="30" t="s">
        <v>15</v>
      </c>
      <c r="D11" s="42" t="s">
        <v>84</v>
      </c>
      <c r="E11" s="54" t="s">
        <v>85</v>
      </c>
      <c r="F11" s="55" t="s">
        <v>86</v>
      </c>
      <c r="G11" s="43" t="s">
        <v>87</v>
      </c>
      <c r="H11" s="33">
        <f>'参照_概要'!$C$17</f>
        <v>46074.70833</v>
      </c>
      <c r="I11" s="34" t="s">
        <v>67</v>
      </c>
      <c r="J11" s="34" t="s">
        <v>68</v>
      </c>
      <c r="K11" s="34" t="s">
        <v>69</v>
      </c>
      <c r="L11" s="35">
        <v>46062.0</v>
      </c>
      <c r="M11" s="36"/>
      <c r="N11" s="36"/>
      <c r="O11" s="36"/>
      <c r="P11" s="36"/>
      <c r="Q11" s="40"/>
      <c r="R11" s="40"/>
      <c r="S11" s="40"/>
    </row>
    <row r="12">
      <c r="A12" s="28">
        <f t="shared" si="1"/>
        <v>10</v>
      </c>
      <c r="B12" s="20"/>
      <c r="C12" s="20"/>
      <c r="D12" s="42" t="s">
        <v>88</v>
      </c>
      <c r="E12" s="20"/>
      <c r="F12" s="20"/>
      <c r="G12" s="43" t="s">
        <v>89</v>
      </c>
      <c r="H12" s="33">
        <f>'参照_概要'!$D$17</f>
        <v>46080.70833</v>
      </c>
      <c r="I12" s="34" t="s">
        <v>67</v>
      </c>
      <c r="J12" s="34" t="s">
        <v>68</v>
      </c>
      <c r="K12" s="34" t="s">
        <v>69</v>
      </c>
      <c r="L12" s="35">
        <v>46062.0</v>
      </c>
      <c r="M12" s="36"/>
      <c r="N12" s="36"/>
      <c r="O12" s="36"/>
      <c r="P12" s="36"/>
      <c r="Q12" s="46"/>
      <c r="R12" s="46"/>
      <c r="S12" s="47"/>
    </row>
    <row r="13">
      <c r="A13" s="28">
        <f t="shared" si="1"/>
        <v>11</v>
      </c>
      <c r="B13" s="20"/>
      <c r="C13" s="21"/>
      <c r="D13" s="42" t="s">
        <v>90</v>
      </c>
      <c r="E13" s="20"/>
      <c r="F13" s="21"/>
      <c r="G13" s="43" t="s">
        <v>91</v>
      </c>
      <c r="H13" s="56" t="str">
        <f>'参照_概要'!$E$17</f>
        <v>The only thing left to do, is to fall head over heels…</v>
      </c>
      <c r="I13" s="34" t="s">
        <v>67</v>
      </c>
      <c r="J13" s="34" t="s">
        <v>68</v>
      </c>
      <c r="K13" s="34" t="s">
        <v>69</v>
      </c>
      <c r="L13" s="35">
        <v>46062.0</v>
      </c>
      <c r="M13" s="36"/>
      <c r="N13" s="36"/>
      <c r="O13" s="36"/>
      <c r="P13" s="36"/>
      <c r="Q13" s="46"/>
      <c r="R13" s="46"/>
      <c r="S13" s="47"/>
    </row>
    <row r="14">
      <c r="A14" s="28">
        <f t="shared" si="1"/>
        <v>12</v>
      </c>
      <c r="B14" s="20"/>
      <c r="C14" s="41" t="s">
        <v>72</v>
      </c>
      <c r="D14" s="42" t="s">
        <v>92</v>
      </c>
      <c r="E14" s="20"/>
      <c r="F14" s="41" t="s">
        <v>74</v>
      </c>
      <c r="G14" s="43" t="s">
        <v>93</v>
      </c>
      <c r="H14" s="44">
        <f>'参照_概要'!$C$17+1/24/60</f>
        <v>46074.70903</v>
      </c>
      <c r="I14" s="34" t="s">
        <v>67</v>
      </c>
      <c r="J14" s="34" t="s">
        <v>68</v>
      </c>
      <c r="K14" s="34" t="s">
        <v>69</v>
      </c>
      <c r="L14" s="35">
        <v>46064.0</v>
      </c>
      <c r="M14" s="34" t="s">
        <v>67</v>
      </c>
      <c r="N14" s="28" t="s">
        <v>68</v>
      </c>
      <c r="O14" s="28" t="s">
        <v>69</v>
      </c>
      <c r="P14" s="45" t="s">
        <v>76</v>
      </c>
      <c r="Q14" s="46"/>
      <c r="R14" s="46"/>
      <c r="S14" s="47"/>
    </row>
    <row r="15">
      <c r="A15" s="28">
        <f t="shared" si="1"/>
        <v>13</v>
      </c>
      <c r="B15" s="20"/>
      <c r="C15" s="20"/>
      <c r="D15" s="42" t="s">
        <v>94</v>
      </c>
      <c r="E15" s="20"/>
      <c r="F15" s="20"/>
      <c r="G15" s="43" t="s">
        <v>95</v>
      </c>
      <c r="H15" s="20"/>
      <c r="I15" s="34" t="s">
        <v>67</v>
      </c>
      <c r="J15" s="34" t="s">
        <v>68</v>
      </c>
      <c r="K15" s="34" t="s">
        <v>69</v>
      </c>
      <c r="L15" s="35">
        <v>46064.0</v>
      </c>
      <c r="M15" s="34" t="s">
        <v>67</v>
      </c>
      <c r="N15" s="28" t="s">
        <v>68</v>
      </c>
      <c r="O15" s="28" t="s">
        <v>69</v>
      </c>
      <c r="P15" s="45" t="s">
        <v>76</v>
      </c>
      <c r="Q15" s="46"/>
      <c r="R15" s="46"/>
      <c r="S15" s="47"/>
    </row>
    <row r="16">
      <c r="A16" s="28">
        <f t="shared" si="1"/>
        <v>14</v>
      </c>
      <c r="B16" s="21"/>
      <c r="C16" s="21"/>
      <c r="D16" s="42" t="s">
        <v>96</v>
      </c>
      <c r="E16" s="21"/>
      <c r="F16" s="21"/>
      <c r="G16" s="43" t="s">
        <v>97</v>
      </c>
      <c r="H16" s="21"/>
      <c r="I16" s="34" t="s">
        <v>67</v>
      </c>
      <c r="J16" s="34" t="s">
        <v>68</v>
      </c>
      <c r="K16" s="34" t="s">
        <v>69</v>
      </c>
      <c r="L16" s="35">
        <v>46064.0</v>
      </c>
      <c r="M16" s="34" t="s">
        <v>67</v>
      </c>
      <c r="N16" s="28" t="s">
        <v>68</v>
      </c>
      <c r="O16" s="28" t="s">
        <v>69</v>
      </c>
      <c r="P16" s="45" t="s">
        <v>76</v>
      </c>
      <c r="Q16" s="46"/>
      <c r="R16" s="46"/>
      <c r="S16" s="47"/>
    </row>
    <row r="17">
      <c r="A17" s="28">
        <f t="shared" si="1"/>
        <v>15</v>
      </c>
      <c r="B17" s="57" t="s">
        <v>98</v>
      </c>
      <c r="C17" s="30" t="s">
        <v>15</v>
      </c>
      <c r="D17" s="47" t="s">
        <v>84</v>
      </c>
      <c r="E17" s="57" t="s">
        <v>99</v>
      </c>
      <c r="F17" s="30" t="s">
        <v>86</v>
      </c>
      <c r="G17" s="51" t="s">
        <v>87</v>
      </c>
      <c r="H17" s="49">
        <f>'参照_概要'!$C$18</f>
        <v>46074.70833</v>
      </c>
      <c r="I17" s="34" t="s">
        <v>67</v>
      </c>
      <c r="J17" s="34" t="s">
        <v>68</v>
      </c>
      <c r="K17" s="34" t="s">
        <v>69</v>
      </c>
      <c r="L17" s="35">
        <v>46062.0</v>
      </c>
      <c r="M17" s="36"/>
      <c r="N17" s="36"/>
      <c r="O17" s="36"/>
      <c r="P17" s="36"/>
      <c r="Q17" s="46"/>
      <c r="R17" s="46"/>
      <c r="S17" s="47"/>
    </row>
    <row r="18">
      <c r="A18" s="28">
        <f t="shared" si="1"/>
        <v>16</v>
      </c>
      <c r="B18" s="20"/>
      <c r="C18" s="21"/>
      <c r="D18" s="47" t="s">
        <v>88</v>
      </c>
      <c r="E18" s="20"/>
      <c r="F18" s="21"/>
      <c r="G18" s="51" t="s">
        <v>89</v>
      </c>
      <c r="H18" s="49">
        <f>'参照_概要'!$D$18</f>
        <v>46080.70833</v>
      </c>
      <c r="I18" s="34" t="s">
        <v>67</v>
      </c>
      <c r="J18" s="34" t="s">
        <v>68</v>
      </c>
      <c r="K18" s="34" t="s">
        <v>69</v>
      </c>
      <c r="L18" s="35">
        <v>46062.0</v>
      </c>
      <c r="M18" s="36"/>
      <c r="N18" s="36"/>
      <c r="O18" s="36"/>
      <c r="P18" s="36"/>
      <c r="Q18" s="46"/>
      <c r="R18" s="46"/>
      <c r="S18" s="47"/>
    </row>
    <row r="19">
      <c r="A19" s="28">
        <f t="shared" si="1"/>
        <v>17</v>
      </c>
      <c r="B19" s="20"/>
      <c r="C19" s="41" t="s">
        <v>72</v>
      </c>
      <c r="D19" s="47" t="s">
        <v>100</v>
      </c>
      <c r="E19" s="20"/>
      <c r="F19" s="41" t="s">
        <v>74</v>
      </c>
      <c r="G19" s="51" t="s">
        <v>101</v>
      </c>
      <c r="H19" s="52">
        <f>'参照_概要'!$C$17+1/24/60</f>
        <v>46074.70903</v>
      </c>
      <c r="I19" s="34" t="s">
        <v>67</v>
      </c>
      <c r="J19" s="34" t="s">
        <v>68</v>
      </c>
      <c r="K19" s="34" t="s">
        <v>69</v>
      </c>
      <c r="L19" s="35">
        <v>46064.0</v>
      </c>
      <c r="M19" s="34" t="s">
        <v>67</v>
      </c>
      <c r="N19" s="28" t="s">
        <v>68</v>
      </c>
      <c r="O19" s="28" t="s">
        <v>69</v>
      </c>
      <c r="P19" s="45" t="s">
        <v>76</v>
      </c>
      <c r="Q19" s="46"/>
      <c r="R19" s="46"/>
      <c r="S19" s="47"/>
    </row>
    <row r="20">
      <c r="A20" s="28">
        <f t="shared" si="1"/>
        <v>18</v>
      </c>
      <c r="B20" s="21"/>
      <c r="C20" s="21"/>
      <c r="D20" s="47" t="s">
        <v>102</v>
      </c>
      <c r="E20" s="21"/>
      <c r="F20" s="21"/>
      <c r="G20" s="51" t="s">
        <v>103</v>
      </c>
      <c r="H20" s="21"/>
      <c r="I20" s="34" t="s">
        <v>67</v>
      </c>
      <c r="J20" s="34" t="s">
        <v>68</v>
      </c>
      <c r="K20" s="34" t="s">
        <v>69</v>
      </c>
      <c r="L20" s="35">
        <v>46064.0</v>
      </c>
      <c r="M20" s="34" t="s">
        <v>67</v>
      </c>
      <c r="N20" s="28" t="s">
        <v>68</v>
      </c>
      <c r="O20" s="28" t="s">
        <v>69</v>
      </c>
      <c r="P20" s="45" t="s">
        <v>76</v>
      </c>
      <c r="Q20" s="46"/>
      <c r="R20" s="46"/>
      <c r="S20" s="47"/>
    </row>
    <row r="21">
      <c r="A21" s="28">
        <f t="shared" si="1"/>
        <v>19</v>
      </c>
      <c r="B21" s="53" t="s">
        <v>104</v>
      </c>
      <c r="C21" s="30" t="s">
        <v>15</v>
      </c>
      <c r="D21" s="42" t="s">
        <v>84</v>
      </c>
      <c r="E21" s="53" t="s">
        <v>105</v>
      </c>
      <c r="F21" s="58" t="s">
        <v>86</v>
      </c>
      <c r="G21" s="43" t="s">
        <v>87</v>
      </c>
      <c r="H21" s="33">
        <f>'参照_概要'!$C$19</f>
        <v>46080.72917</v>
      </c>
      <c r="I21" s="34" t="s">
        <v>67</v>
      </c>
      <c r="J21" s="34" t="s">
        <v>68</v>
      </c>
      <c r="K21" s="34" t="s">
        <v>69</v>
      </c>
      <c r="L21" s="35">
        <v>46062.0</v>
      </c>
      <c r="M21" s="36"/>
      <c r="N21" s="36"/>
      <c r="O21" s="36"/>
      <c r="P21" s="36"/>
      <c r="Q21" s="46"/>
      <c r="R21" s="46"/>
      <c r="S21" s="47"/>
    </row>
    <row r="22">
      <c r="A22" s="28">
        <f t="shared" si="1"/>
        <v>20</v>
      </c>
      <c r="B22" s="20"/>
      <c r="C22" s="20"/>
      <c r="D22" s="42" t="s">
        <v>88</v>
      </c>
      <c r="E22" s="20"/>
      <c r="F22" s="20"/>
      <c r="G22" s="43" t="s">
        <v>89</v>
      </c>
      <c r="H22" s="33">
        <f>'参照_概要'!$D$19</f>
        <v>46087.72917</v>
      </c>
      <c r="I22" s="34" t="s">
        <v>67</v>
      </c>
      <c r="J22" s="34" t="s">
        <v>68</v>
      </c>
      <c r="K22" s="34" t="s">
        <v>69</v>
      </c>
      <c r="L22" s="35">
        <v>46062.0</v>
      </c>
      <c r="M22" s="36"/>
      <c r="N22" s="36"/>
      <c r="O22" s="36"/>
      <c r="P22" s="36"/>
      <c r="Q22" s="40"/>
      <c r="R22" s="40"/>
      <c r="S22" s="40"/>
    </row>
    <row r="23">
      <c r="A23" s="28">
        <f t="shared" si="1"/>
        <v>21</v>
      </c>
      <c r="B23" s="20"/>
      <c r="C23" s="21"/>
      <c r="D23" s="42" t="s">
        <v>90</v>
      </c>
      <c r="E23" s="20"/>
      <c r="F23" s="21"/>
      <c r="G23" s="43" t="s">
        <v>91</v>
      </c>
      <c r="H23" s="56" t="str">
        <f>'参照_概要'!$E$19</f>
        <v>Check your Ranking!</v>
      </c>
      <c r="I23" s="34" t="s">
        <v>67</v>
      </c>
      <c r="J23" s="34" t="s">
        <v>68</v>
      </c>
      <c r="K23" s="34" t="s">
        <v>69</v>
      </c>
      <c r="L23" s="35">
        <v>46062.0</v>
      </c>
      <c r="M23" s="36"/>
      <c r="N23" s="36"/>
      <c r="O23" s="36"/>
      <c r="P23" s="36"/>
      <c r="Q23" s="46"/>
      <c r="R23" s="46"/>
      <c r="S23" s="47"/>
    </row>
    <row r="24">
      <c r="A24" s="28">
        <f t="shared" si="1"/>
        <v>22</v>
      </c>
      <c r="B24" s="20"/>
      <c r="C24" s="41" t="s">
        <v>72</v>
      </c>
      <c r="D24" s="42" t="s">
        <v>94</v>
      </c>
      <c r="E24" s="20"/>
      <c r="F24" s="41" t="s">
        <v>74</v>
      </c>
      <c r="G24" s="43" t="s">
        <v>95</v>
      </c>
      <c r="H24" s="44">
        <f>'参照_概要'!$C$19+1/24/60</f>
        <v>46080.72986</v>
      </c>
      <c r="I24" s="34" t="s">
        <v>67</v>
      </c>
      <c r="J24" s="34" t="s">
        <v>68</v>
      </c>
      <c r="K24" s="34" t="s">
        <v>69</v>
      </c>
      <c r="L24" s="35">
        <v>46064.0</v>
      </c>
      <c r="M24" s="34" t="s">
        <v>67</v>
      </c>
      <c r="N24" s="28" t="s">
        <v>68</v>
      </c>
      <c r="O24" s="28" t="s">
        <v>69</v>
      </c>
      <c r="P24" s="45" t="s">
        <v>76</v>
      </c>
      <c r="Q24" s="47"/>
      <c r="R24" s="47"/>
      <c r="S24" s="47"/>
    </row>
    <row r="25">
      <c r="A25" s="28">
        <f t="shared" si="1"/>
        <v>23</v>
      </c>
      <c r="B25" s="21"/>
      <c r="C25" s="21"/>
      <c r="D25" s="42" t="s">
        <v>106</v>
      </c>
      <c r="E25" s="21"/>
      <c r="F25" s="21"/>
      <c r="G25" s="43" t="s">
        <v>107</v>
      </c>
      <c r="H25" s="21"/>
      <c r="I25" s="34" t="s">
        <v>67</v>
      </c>
      <c r="J25" s="34" t="s">
        <v>68</v>
      </c>
      <c r="K25" s="34" t="s">
        <v>69</v>
      </c>
      <c r="L25" s="35">
        <v>46064.0</v>
      </c>
      <c r="M25" s="36"/>
      <c r="N25" s="36"/>
      <c r="O25" s="36"/>
      <c r="P25" s="36"/>
      <c r="Q25" s="47"/>
      <c r="R25" s="47"/>
      <c r="S25" s="47"/>
    </row>
  </sheetData>
  <customSheetViews>
    <customSheetView guid="{1ABAEFC5-7779-47AF-8E40-B46656CFF8B1}" filter="1" showAutoFilter="1">
      <autoFilter ref="$A$1:$S$25">
        <filterColumn colId="5">
          <colorFilter dxfId="1"/>
        </filterColumn>
      </autoFilter>
    </customSheetView>
  </customSheetViews>
  <mergeCells count="48">
    <mergeCell ref="E3:E6"/>
    <mergeCell ref="F5:F6"/>
    <mergeCell ref="E7:E10"/>
    <mergeCell ref="F7:F8"/>
    <mergeCell ref="F9:F10"/>
    <mergeCell ref="H9:H10"/>
    <mergeCell ref="E11:E16"/>
    <mergeCell ref="F19:F20"/>
    <mergeCell ref="F21:F23"/>
    <mergeCell ref="E21:E25"/>
    <mergeCell ref="F24:F25"/>
    <mergeCell ref="H24:H25"/>
    <mergeCell ref="F11:F13"/>
    <mergeCell ref="F14:F16"/>
    <mergeCell ref="E17:E20"/>
    <mergeCell ref="F17:F18"/>
    <mergeCell ref="B21:B25"/>
    <mergeCell ref="C21:C23"/>
    <mergeCell ref="C24:C25"/>
    <mergeCell ref="H1:H2"/>
    <mergeCell ref="I1:L1"/>
    <mergeCell ref="M1:P1"/>
    <mergeCell ref="Q1:Q2"/>
    <mergeCell ref="R1:R2"/>
    <mergeCell ref="S1:S2"/>
    <mergeCell ref="F1:F2"/>
    <mergeCell ref="F3:F4"/>
    <mergeCell ref="A1:A2"/>
    <mergeCell ref="B1:B2"/>
    <mergeCell ref="D1:D2"/>
    <mergeCell ref="E1:E2"/>
    <mergeCell ref="G1:G2"/>
    <mergeCell ref="B3:B6"/>
    <mergeCell ref="C5:C6"/>
    <mergeCell ref="H5:H6"/>
    <mergeCell ref="B11:B16"/>
    <mergeCell ref="B17:B20"/>
    <mergeCell ref="C17:C18"/>
    <mergeCell ref="C19:C20"/>
    <mergeCell ref="C1:C2"/>
    <mergeCell ref="C3:C4"/>
    <mergeCell ref="B7:B10"/>
    <mergeCell ref="C7:C8"/>
    <mergeCell ref="C9:C10"/>
    <mergeCell ref="C11:C13"/>
    <mergeCell ref="C14:C16"/>
    <mergeCell ref="H14:H16"/>
    <mergeCell ref="H19:H20"/>
  </mergeCells>
  <hyperlinks>
    <hyperlink r:id="rId1" ref="E11"/>
    <hyperlink r:id="rId2" ref="F11"/>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outlineLevelCol="1"/>
  <cols>
    <col collapsed="1" customWidth="1" min="1" max="1" width="4.43"/>
    <col customWidth="1" hidden="1" min="2" max="2" width="23.0" outlineLevel="1"/>
    <col collapsed="1" customWidth="1" min="3" max="3" width="20.14"/>
    <col customWidth="1" hidden="1" min="4" max="4" width="58.71" outlineLevel="1"/>
    <col collapsed="1" customWidth="1" min="5" max="5" width="23.0"/>
    <col customWidth="1" hidden="1" min="6" max="6" width="20.14" outlineLevel="1"/>
    <col customWidth="1" min="7" max="7" width="58.71"/>
    <col customWidth="1" min="8" max="8" width="20.14"/>
    <col customWidth="1" min="9" max="12" width="8.71" outlineLevel="1"/>
    <col customWidth="1" min="13" max="17" width="8.71"/>
    <col customWidth="1" min="18" max="19" width="28.71"/>
  </cols>
  <sheetData>
    <row r="1">
      <c r="A1" s="22" t="s">
        <v>47</v>
      </c>
      <c r="B1" s="22" t="s">
        <v>108</v>
      </c>
      <c r="C1" s="22" t="s">
        <v>49</v>
      </c>
      <c r="D1" s="22" t="s">
        <v>50</v>
      </c>
      <c r="E1" s="23" t="s">
        <v>108</v>
      </c>
      <c r="F1" s="23" t="s">
        <v>49</v>
      </c>
      <c r="G1" s="23" t="s">
        <v>50</v>
      </c>
      <c r="H1" s="22" t="s">
        <v>109</v>
      </c>
      <c r="I1" s="24" t="s">
        <v>52</v>
      </c>
      <c r="J1" s="8"/>
      <c r="K1" s="8"/>
      <c r="L1" s="9"/>
      <c r="M1" s="25" t="s">
        <v>53</v>
      </c>
      <c r="N1" s="8"/>
      <c r="O1" s="8"/>
      <c r="P1" s="9"/>
      <c r="Q1" s="22" t="s">
        <v>54</v>
      </c>
      <c r="R1" s="22" t="s">
        <v>55</v>
      </c>
      <c r="S1" s="22" t="s">
        <v>56</v>
      </c>
    </row>
    <row r="2">
      <c r="A2" s="21"/>
      <c r="B2" s="21"/>
      <c r="C2" s="21"/>
      <c r="D2" s="21"/>
      <c r="E2" s="21"/>
      <c r="F2" s="21"/>
      <c r="G2" s="21"/>
      <c r="H2" s="21"/>
      <c r="I2" s="26" t="s">
        <v>57</v>
      </c>
      <c r="J2" s="27" t="s">
        <v>58</v>
      </c>
      <c r="K2" s="27" t="s">
        <v>59</v>
      </c>
      <c r="L2" s="26" t="s">
        <v>60</v>
      </c>
      <c r="M2" s="26" t="s">
        <v>57</v>
      </c>
      <c r="N2" s="27" t="s">
        <v>58</v>
      </c>
      <c r="O2" s="26" t="s">
        <v>59</v>
      </c>
      <c r="P2" s="26" t="s">
        <v>60</v>
      </c>
      <c r="Q2" s="21"/>
      <c r="R2" s="21"/>
      <c r="S2" s="21"/>
    </row>
    <row r="3">
      <c r="A3" s="28">
        <f t="shared" ref="A3:A55" si="1">ROW()-2</f>
        <v>1</v>
      </c>
      <c r="B3" s="59" t="s">
        <v>110</v>
      </c>
      <c r="C3" s="30" t="s">
        <v>111</v>
      </c>
      <c r="D3" s="37" t="s">
        <v>112</v>
      </c>
      <c r="E3" s="60" t="s">
        <v>113</v>
      </c>
      <c r="F3" s="61" t="s">
        <v>114</v>
      </c>
      <c r="G3" s="49" t="s">
        <v>115</v>
      </c>
      <c r="H3" s="49">
        <f>'参照_概要'!$C$17</f>
        <v>46074.70833</v>
      </c>
      <c r="I3" s="34" t="s">
        <v>67</v>
      </c>
      <c r="J3" s="34" t="s">
        <v>68</v>
      </c>
      <c r="K3" s="34" t="s">
        <v>69</v>
      </c>
      <c r="L3" s="35">
        <v>46062.0</v>
      </c>
      <c r="M3" s="36"/>
      <c r="N3" s="36"/>
      <c r="O3" s="36"/>
      <c r="P3" s="36"/>
      <c r="Q3" s="37"/>
      <c r="R3" s="37"/>
      <c r="S3" s="37"/>
    </row>
    <row r="4">
      <c r="A4" s="28">
        <f t="shared" si="1"/>
        <v>2</v>
      </c>
      <c r="B4" s="20"/>
      <c r="C4" s="20"/>
      <c r="D4" s="37" t="s">
        <v>116</v>
      </c>
      <c r="E4" s="20"/>
      <c r="F4" s="20"/>
      <c r="G4" s="49" t="s">
        <v>117</v>
      </c>
      <c r="H4" s="50">
        <f>'参照_概要'!$D$17</f>
        <v>46080.70833</v>
      </c>
      <c r="I4" s="34" t="s">
        <v>67</v>
      </c>
      <c r="J4" s="34" t="s">
        <v>68</v>
      </c>
      <c r="K4" s="34" t="s">
        <v>69</v>
      </c>
      <c r="L4" s="35">
        <v>46062.0</v>
      </c>
      <c r="M4" s="36"/>
      <c r="N4" s="36"/>
      <c r="O4" s="36"/>
      <c r="P4" s="36"/>
      <c r="Q4" s="47"/>
      <c r="R4" s="47"/>
      <c r="S4" s="40"/>
    </row>
    <row r="5">
      <c r="A5" s="28">
        <f t="shared" si="1"/>
        <v>3</v>
      </c>
      <c r="B5" s="20"/>
      <c r="C5" s="20"/>
      <c r="D5" s="31" t="s">
        <v>118</v>
      </c>
      <c r="E5" s="20"/>
      <c r="F5" s="20"/>
      <c r="G5" s="33" t="s">
        <v>119</v>
      </c>
      <c r="H5" s="39">
        <f>'参照_概要'!$C$19</f>
        <v>46080.72917</v>
      </c>
      <c r="I5" s="34" t="s">
        <v>67</v>
      </c>
      <c r="J5" s="34" t="s">
        <v>68</v>
      </c>
      <c r="K5" s="34" t="s">
        <v>69</v>
      </c>
      <c r="L5" s="35">
        <v>46062.0</v>
      </c>
      <c r="M5" s="36"/>
      <c r="N5" s="36"/>
      <c r="O5" s="36"/>
      <c r="P5" s="36"/>
      <c r="Q5" s="47"/>
      <c r="R5" s="47"/>
      <c r="S5" s="40"/>
    </row>
    <row r="6">
      <c r="A6" s="28">
        <f t="shared" si="1"/>
        <v>4</v>
      </c>
      <c r="B6" s="21"/>
      <c r="C6" s="21"/>
      <c r="D6" s="31" t="s">
        <v>120</v>
      </c>
      <c r="E6" s="21"/>
      <c r="F6" s="21"/>
      <c r="G6" s="33" t="s">
        <v>121</v>
      </c>
      <c r="H6" s="39">
        <f>'参照_概要'!$D$19</f>
        <v>46087.72917</v>
      </c>
      <c r="I6" s="34" t="s">
        <v>67</v>
      </c>
      <c r="J6" s="34" t="s">
        <v>68</v>
      </c>
      <c r="K6" s="34" t="s">
        <v>69</v>
      </c>
      <c r="L6" s="35">
        <v>46062.0</v>
      </c>
      <c r="M6" s="36"/>
      <c r="N6" s="36"/>
      <c r="O6" s="36"/>
      <c r="P6" s="36"/>
      <c r="Q6" s="47"/>
      <c r="R6" s="47"/>
      <c r="S6" s="40"/>
    </row>
    <row r="7">
      <c r="A7" s="28">
        <f t="shared" si="1"/>
        <v>5</v>
      </c>
      <c r="B7" s="29" t="s">
        <v>122</v>
      </c>
      <c r="C7" s="62" t="s">
        <v>72</v>
      </c>
      <c r="D7" s="47" t="s">
        <v>123</v>
      </c>
      <c r="E7" s="29" t="s">
        <v>113</v>
      </c>
      <c r="F7" s="62" t="s">
        <v>74</v>
      </c>
      <c r="G7" s="51" t="s">
        <v>124</v>
      </c>
      <c r="H7" s="37"/>
      <c r="I7" s="34" t="s">
        <v>67</v>
      </c>
      <c r="J7" s="34" t="s">
        <v>68</v>
      </c>
      <c r="K7" s="34" t="s">
        <v>69</v>
      </c>
      <c r="L7" s="35">
        <v>46064.0</v>
      </c>
      <c r="M7" s="36"/>
      <c r="N7" s="36"/>
      <c r="O7" s="36"/>
      <c r="P7" s="36"/>
      <c r="Q7" s="47"/>
      <c r="R7" s="47"/>
      <c r="S7" s="40"/>
    </row>
    <row r="8">
      <c r="A8" s="28">
        <f t="shared" si="1"/>
        <v>6</v>
      </c>
      <c r="B8" s="20"/>
      <c r="C8" s="20"/>
      <c r="D8" s="42" t="s">
        <v>125</v>
      </c>
      <c r="E8" s="20"/>
      <c r="F8" s="20"/>
      <c r="G8" s="43" t="s">
        <v>126</v>
      </c>
      <c r="H8" s="31"/>
      <c r="I8" s="34" t="s">
        <v>67</v>
      </c>
      <c r="J8" s="34" t="s">
        <v>68</v>
      </c>
      <c r="K8" s="34" t="s">
        <v>69</v>
      </c>
      <c r="L8" s="35">
        <v>46064.0</v>
      </c>
      <c r="M8" s="34" t="s">
        <v>67</v>
      </c>
      <c r="N8" s="28" t="str">
        <f t="array" ref="N8:P74">IF(M8:M74="OK",{"IW","Bill","2/12"},)</f>
        <v>IW</v>
      </c>
      <c r="O8" s="28" t="s">
        <v>69</v>
      </c>
      <c r="P8" s="45" t="s">
        <v>76</v>
      </c>
      <c r="Q8" s="47"/>
      <c r="R8" s="47"/>
      <c r="S8" s="47"/>
    </row>
    <row r="9">
      <c r="A9" s="28">
        <f t="shared" si="1"/>
        <v>7</v>
      </c>
      <c r="B9" s="20"/>
      <c r="C9" s="20"/>
      <c r="D9" s="47" t="s">
        <v>127</v>
      </c>
      <c r="E9" s="20"/>
      <c r="F9" s="20"/>
      <c r="G9" s="51" t="s">
        <v>128</v>
      </c>
      <c r="H9" s="63"/>
      <c r="I9" s="34" t="s">
        <v>67</v>
      </c>
      <c r="J9" s="34" t="s">
        <v>68</v>
      </c>
      <c r="K9" s="34" t="s">
        <v>69</v>
      </c>
      <c r="L9" s="35">
        <v>46064.0</v>
      </c>
      <c r="M9" s="34" t="s">
        <v>67</v>
      </c>
      <c r="N9" s="28" t="s">
        <v>68</v>
      </c>
      <c r="O9" s="28" t="s">
        <v>69</v>
      </c>
      <c r="P9" s="45" t="s">
        <v>76</v>
      </c>
      <c r="Q9" s="47"/>
      <c r="R9" s="47"/>
      <c r="S9" s="47"/>
    </row>
    <row r="10">
      <c r="A10" s="28">
        <f t="shared" si="1"/>
        <v>8</v>
      </c>
      <c r="B10" s="20"/>
      <c r="C10" s="20"/>
      <c r="D10" s="42" t="s">
        <v>129</v>
      </c>
      <c r="E10" s="20"/>
      <c r="F10" s="20"/>
      <c r="G10" s="64" t="s">
        <v>130</v>
      </c>
      <c r="H10" s="31"/>
      <c r="I10" s="34" t="s">
        <v>67</v>
      </c>
      <c r="J10" s="34" t="s">
        <v>68</v>
      </c>
      <c r="K10" s="34" t="s">
        <v>69</v>
      </c>
      <c r="L10" s="35">
        <v>46064.0</v>
      </c>
      <c r="M10" s="34" t="s">
        <v>67</v>
      </c>
      <c r="N10" s="28" t="s">
        <v>68</v>
      </c>
      <c r="O10" s="28" t="s">
        <v>69</v>
      </c>
      <c r="P10" s="45" t="s">
        <v>76</v>
      </c>
      <c r="Q10" s="47"/>
      <c r="R10" s="47"/>
      <c r="S10" s="40"/>
    </row>
    <row r="11">
      <c r="A11" s="28">
        <f t="shared" si="1"/>
        <v>9</v>
      </c>
      <c r="B11" s="20"/>
      <c r="C11" s="20"/>
      <c r="D11" s="42" t="s">
        <v>131</v>
      </c>
      <c r="E11" s="20"/>
      <c r="F11" s="20"/>
      <c r="G11" s="43" t="s">
        <v>132</v>
      </c>
      <c r="H11" s="31"/>
      <c r="I11" s="34" t="s">
        <v>67</v>
      </c>
      <c r="J11" s="34" t="s">
        <v>68</v>
      </c>
      <c r="K11" s="34" t="s">
        <v>69</v>
      </c>
      <c r="L11" s="35">
        <v>46064.0</v>
      </c>
      <c r="M11" s="34" t="s">
        <v>67</v>
      </c>
      <c r="N11" s="28" t="s">
        <v>68</v>
      </c>
      <c r="O11" s="28" t="s">
        <v>69</v>
      </c>
      <c r="P11" s="45" t="s">
        <v>76</v>
      </c>
      <c r="Q11" s="47"/>
      <c r="R11" s="47"/>
      <c r="S11" s="40"/>
    </row>
    <row r="12">
      <c r="A12" s="28">
        <f t="shared" si="1"/>
        <v>10</v>
      </c>
      <c r="B12" s="20"/>
      <c r="C12" s="20"/>
      <c r="D12" s="42" t="s">
        <v>133</v>
      </c>
      <c r="E12" s="20"/>
      <c r="F12" s="20"/>
      <c r="G12" s="64" t="s">
        <v>134</v>
      </c>
      <c r="H12" s="31"/>
      <c r="I12" s="34" t="s">
        <v>67</v>
      </c>
      <c r="J12" s="34" t="s">
        <v>68</v>
      </c>
      <c r="K12" s="34" t="s">
        <v>69</v>
      </c>
      <c r="L12" s="35">
        <v>46064.0</v>
      </c>
      <c r="M12" s="34" t="s">
        <v>67</v>
      </c>
      <c r="N12" s="28" t="s">
        <v>68</v>
      </c>
      <c r="O12" s="28" t="s">
        <v>69</v>
      </c>
      <c r="P12" s="45" t="s">
        <v>76</v>
      </c>
      <c r="Q12" s="47"/>
      <c r="R12" s="47"/>
      <c r="S12" s="40"/>
    </row>
    <row r="13">
      <c r="A13" s="28">
        <f t="shared" si="1"/>
        <v>11</v>
      </c>
      <c r="B13" s="20"/>
      <c r="C13" s="20"/>
      <c r="D13" s="42" t="s">
        <v>135</v>
      </c>
      <c r="E13" s="20"/>
      <c r="F13" s="20"/>
      <c r="G13" s="64" t="s">
        <v>136</v>
      </c>
      <c r="H13" s="31"/>
      <c r="I13" s="34" t="s">
        <v>67</v>
      </c>
      <c r="J13" s="34" t="s">
        <v>68</v>
      </c>
      <c r="K13" s="34" t="s">
        <v>69</v>
      </c>
      <c r="L13" s="35">
        <v>46064.0</v>
      </c>
      <c r="M13" s="34" t="s">
        <v>67</v>
      </c>
      <c r="N13" s="28" t="s">
        <v>68</v>
      </c>
      <c r="O13" s="28" t="s">
        <v>69</v>
      </c>
      <c r="P13" s="45" t="s">
        <v>76</v>
      </c>
      <c r="Q13" s="47"/>
      <c r="R13" s="47"/>
      <c r="S13" s="40"/>
    </row>
    <row r="14">
      <c r="A14" s="28">
        <f t="shared" si="1"/>
        <v>12</v>
      </c>
      <c r="B14" s="20"/>
      <c r="C14" s="20"/>
      <c r="D14" s="42" t="s">
        <v>137</v>
      </c>
      <c r="E14" s="20"/>
      <c r="F14" s="20"/>
      <c r="G14" s="64" t="s">
        <v>138</v>
      </c>
      <c r="H14" s="31"/>
      <c r="I14" s="34" t="s">
        <v>67</v>
      </c>
      <c r="J14" s="34" t="s">
        <v>68</v>
      </c>
      <c r="K14" s="34" t="s">
        <v>69</v>
      </c>
      <c r="L14" s="35">
        <v>46064.0</v>
      </c>
      <c r="M14" s="34" t="s">
        <v>67</v>
      </c>
      <c r="N14" s="28" t="s">
        <v>68</v>
      </c>
      <c r="O14" s="28" t="s">
        <v>69</v>
      </c>
      <c r="P14" s="45" t="s">
        <v>76</v>
      </c>
      <c r="Q14" s="47"/>
      <c r="R14" s="47"/>
      <c r="S14" s="40"/>
    </row>
    <row r="15">
      <c r="A15" s="28">
        <f t="shared" si="1"/>
        <v>13</v>
      </c>
      <c r="B15" s="20"/>
      <c r="C15" s="20"/>
      <c r="D15" s="42" t="s">
        <v>139</v>
      </c>
      <c r="E15" s="20"/>
      <c r="F15" s="20"/>
      <c r="G15" s="43" t="s">
        <v>140</v>
      </c>
      <c r="H15" s="31"/>
      <c r="I15" s="34" t="s">
        <v>67</v>
      </c>
      <c r="J15" s="34" t="s">
        <v>68</v>
      </c>
      <c r="K15" s="34" t="s">
        <v>69</v>
      </c>
      <c r="L15" s="35">
        <v>46064.0</v>
      </c>
      <c r="M15" s="34" t="s">
        <v>67</v>
      </c>
      <c r="N15" s="28" t="s">
        <v>68</v>
      </c>
      <c r="O15" s="28" t="s">
        <v>69</v>
      </c>
      <c r="P15" s="45" t="s">
        <v>76</v>
      </c>
      <c r="Q15" s="47"/>
      <c r="R15" s="47"/>
      <c r="S15" s="40"/>
    </row>
    <row r="16">
      <c r="A16" s="28">
        <f t="shared" si="1"/>
        <v>14</v>
      </c>
      <c r="B16" s="20"/>
      <c r="C16" s="20"/>
      <c r="D16" s="42" t="s">
        <v>141</v>
      </c>
      <c r="E16" s="20"/>
      <c r="F16" s="20"/>
      <c r="G16" s="64" t="s">
        <v>142</v>
      </c>
      <c r="H16" s="31"/>
      <c r="I16" s="34" t="s">
        <v>67</v>
      </c>
      <c r="J16" s="34" t="s">
        <v>68</v>
      </c>
      <c r="K16" s="34" t="s">
        <v>69</v>
      </c>
      <c r="L16" s="35">
        <v>46064.0</v>
      </c>
      <c r="M16" s="34" t="s">
        <v>67</v>
      </c>
      <c r="N16" s="28" t="s">
        <v>68</v>
      </c>
      <c r="O16" s="28" t="s">
        <v>69</v>
      </c>
      <c r="P16" s="45" t="s">
        <v>76</v>
      </c>
      <c r="Q16" s="47"/>
      <c r="R16" s="47"/>
      <c r="S16" s="40"/>
    </row>
    <row r="17">
      <c r="A17" s="28">
        <f t="shared" si="1"/>
        <v>15</v>
      </c>
      <c r="B17" s="21"/>
      <c r="C17" s="21"/>
      <c r="D17" s="47" t="s">
        <v>143</v>
      </c>
      <c r="E17" s="21"/>
      <c r="F17" s="21"/>
      <c r="G17" s="51" t="s">
        <v>144</v>
      </c>
      <c r="H17" s="63"/>
      <c r="I17" s="34" t="s">
        <v>67</v>
      </c>
      <c r="J17" s="34" t="s">
        <v>68</v>
      </c>
      <c r="K17" s="34" t="s">
        <v>69</v>
      </c>
      <c r="L17" s="35">
        <v>46064.0</v>
      </c>
      <c r="M17" s="34" t="s">
        <v>67</v>
      </c>
      <c r="N17" s="28" t="s">
        <v>68</v>
      </c>
      <c r="O17" s="28" t="s">
        <v>69</v>
      </c>
      <c r="P17" s="45" t="s">
        <v>76</v>
      </c>
      <c r="Q17" s="47"/>
      <c r="R17" s="47"/>
      <c r="S17" s="40"/>
    </row>
    <row r="18">
      <c r="A18" s="28">
        <f t="shared" si="1"/>
        <v>16</v>
      </c>
      <c r="B18" s="59" t="s">
        <v>145</v>
      </c>
      <c r="C18" s="62" t="s">
        <v>72</v>
      </c>
      <c r="D18" s="47" t="s">
        <v>123</v>
      </c>
      <c r="E18" s="59" t="s">
        <v>146</v>
      </c>
      <c r="F18" s="62" t="s">
        <v>74</v>
      </c>
      <c r="G18" s="51" t="s">
        <v>147</v>
      </c>
      <c r="H18" s="37"/>
      <c r="I18" s="34" t="s">
        <v>67</v>
      </c>
      <c r="J18" s="34" t="s">
        <v>68</v>
      </c>
      <c r="K18" s="34" t="s">
        <v>69</v>
      </c>
      <c r="L18" s="35">
        <v>46064.0</v>
      </c>
      <c r="M18" s="36"/>
      <c r="N18" s="36"/>
      <c r="O18" s="36"/>
      <c r="P18" s="36"/>
      <c r="Q18" s="47"/>
      <c r="R18" s="47"/>
      <c r="S18" s="40"/>
    </row>
    <row r="19">
      <c r="A19" s="28">
        <f t="shared" si="1"/>
        <v>17</v>
      </c>
      <c r="B19" s="20"/>
      <c r="C19" s="20"/>
      <c r="D19" s="42" t="s">
        <v>125</v>
      </c>
      <c r="E19" s="20"/>
      <c r="F19" s="20"/>
      <c r="G19" s="43" t="s">
        <v>126</v>
      </c>
      <c r="H19" s="31"/>
      <c r="I19" s="34" t="s">
        <v>67</v>
      </c>
      <c r="J19" s="34" t="s">
        <v>68</v>
      </c>
      <c r="K19" s="34" t="s">
        <v>69</v>
      </c>
      <c r="L19" s="35">
        <v>46064.0</v>
      </c>
      <c r="M19" s="34" t="s">
        <v>67</v>
      </c>
      <c r="N19" s="28" t="s">
        <v>68</v>
      </c>
      <c r="O19" s="28" t="s">
        <v>69</v>
      </c>
      <c r="P19" s="45" t="s">
        <v>76</v>
      </c>
      <c r="Q19" s="47"/>
      <c r="R19" s="47"/>
      <c r="S19" s="40"/>
    </row>
    <row r="20">
      <c r="A20" s="28">
        <f t="shared" si="1"/>
        <v>18</v>
      </c>
      <c r="B20" s="20"/>
      <c r="C20" s="20"/>
      <c r="D20" s="47" t="s">
        <v>148</v>
      </c>
      <c r="E20" s="20"/>
      <c r="F20" s="20"/>
      <c r="G20" s="65" t="s">
        <v>149</v>
      </c>
      <c r="H20" s="37"/>
      <c r="I20" s="34" t="s">
        <v>67</v>
      </c>
      <c r="J20" s="34" t="s">
        <v>68</v>
      </c>
      <c r="K20" s="34" t="s">
        <v>69</v>
      </c>
      <c r="L20" s="35">
        <v>46064.0</v>
      </c>
      <c r="M20" s="34" t="s">
        <v>67</v>
      </c>
      <c r="N20" s="28" t="s">
        <v>68</v>
      </c>
      <c r="O20" s="28" t="s">
        <v>69</v>
      </c>
      <c r="P20" s="45" t="s">
        <v>76</v>
      </c>
      <c r="Q20" s="47"/>
      <c r="R20" s="47"/>
      <c r="S20" s="40"/>
    </row>
    <row r="21" ht="15.75" customHeight="1">
      <c r="A21" s="28">
        <f t="shared" si="1"/>
        <v>19</v>
      </c>
      <c r="B21" s="20"/>
      <c r="C21" s="20"/>
      <c r="D21" s="47" t="s">
        <v>150</v>
      </c>
      <c r="E21" s="20"/>
      <c r="F21" s="20"/>
      <c r="G21" s="51" t="s">
        <v>151</v>
      </c>
      <c r="H21" s="37">
        <v>10.0</v>
      </c>
      <c r="I21" s="34" t="s">
        <v>67</v>
      </c>
      <c r="J21" s="34" t="s">
        <v>68</v>
      </c>
      <c r="K21" s="34" t="s">
        <v>69</v>
      </c>
      <c r="L21" s="35">
        <v>46064.0</v>
      </c>
      <c r="M21" s="34" t="s">
        <v>67</v>
      </c>
      <c r="N21" s="28" t="s">
        <v>68</v>
      </c>
      <c r="O21" s="28" t="s">
        <v>69</v>
      </c>
      <c r="P21" s="45" t="s">
        <v>76</v>
      </c>
      <c r="Q21" s="47"/>
      <c r="R21" s="47"/>
      <c r="S21" s="40"/>
    </row>
    <row r="22" ht="15.75" customHeight="1">
      <c r="A22" s="28">
        <f t="shared" si="1"/>
        <v>20</v>
      </c>
      <c r="B22" s="20"/>
      <c r="C22" s="20"/>
      <c r="D22" s="47" t="s">
        <v>152</v>
      </c>
      <c r="E22" s="20"/>
      <c r="F22" s="20"/>
      <c r="G22" s="51" t="s">
        <v>153</v>
      </c>
      <c r="H22" s="37">
        <v>100.0</v>
      </c>
      <c r="I22" s="34" t="s">
        <v>67</v>
      </c>
      <c r="J22" s="34" t="s">
        <v>68</v>
      </c>
      <c r="K22" s="34" t="s">
        <v>69</v>
      </c>
      <c r="L22" s="35">
        <v>46064.0</v>
      </c>
      <c r="M22" s="34" t="s">
        <v>67</v>
      </c>
      <c r="N22" s="28" t="s">
        <v>68</v>
      </c>
      <c r="O22" s="28" t="s">
        <v>69</v>
      </c>
      <c r="P22" s="45" t="s">
        <v>76</v>
      </c>
      <c r="Q22" s="47"/>
      <c r="R22" s="47"/>
      <c r="S22" s="40"/>
    </row>
    <row r="23" ht="15.75" customHeight="1">
      <c r="A23" s="28">
        <f t="shared" si="1"/>
        <v>21</v>
      </c>
      <c r="B23" s="20"/>
      <c r="C23" s="20"/>
      <c r="D23" s="42" t="s">
        <v>154</v>
      </c>
      <c r="E23" s="20"/>
      <c r="F23" s="20"/>
      <c r="G23" s="43" t="s">
        <v>155</v>
      </c>
      <c r="H23" s="31"/>
      <c r="I23" s="34" t="s">
        <v>67</v>
      </c>
      <c r="J23" s="34" t="s">
        <v>68</v>
      </c>
      <c r="K23" s="34" t="s">
        <v>69</v>
      </c>
      <c r="L23" s="35">
        <v>46064.0</v>
      </c>
      <c r="M23" s="34" t="s">
        <v>67</v>
      </c>
      <c r="N23" s="28" t="s">
        <v>68</v>
      </c>
      <c r="O23" s="28" t="s">
        <v>69</v>
      </c>
      <c r="P23" s="45" t="s">
        <v>76</v>
      </c>
      <c r="Q23" s="47"/>
      <c r="R23" s="47"/>
      <c r="S23" s="40"/>
    </row>
    <row r="24" ht="15.75" customHeight="1">
      <c r="A24" s="28">
        <f t="shared" si="1"/>
        <v>22</v>
      </c>
      <c r="B24" s="20"/>
      <c r="C24" s="20"/>
      <c r="D24" s="42" t="s">
        <v>156</v>
      </c>
      <c r="E24" s="20"/>
      <c r="F24" s="20"/>
      <c r="G24" s="43" t="s">
        <v>157</v>
      </c>
      <c r="H24" s="31"/>
      <c r="I24" s="34" t="s">
        <v>67</v>
      </c>
      <c r="J24" s="34" t="s">
        <v>68</v>
      </c>
      <c r="K24" s="34" t="s">
        <v>69</v>
      </c>
      <c r="L24" s="35">
        <v>46064.0</v>
      </c>
      <c r="M24" s="36"/>
      <c r="N24" s="36"/>
      <c r="O24" s="36"/>
      <c r="P24" s="36"/>
      <c r="Q24" s="47"/>
      <c r="R24" s="47"/>
      <c r="S24" s="40"/>
    </row>
    <row r="25" ht="15.75" customHeight="1">
      <c r="A25" s="28">
        <f t="shared" si="1"/>
        <v>23</v>
      </c>
      <c r="B25" s="20"/>
      <c r="C25" s="20"/>
      <c r="D25" s="42" t="s">
        <v>158</v>
      </c>
      <c r="E25" s="20"/>
      <c r="F25" s="20"/>
      <c r="G25" s="43" t="s">
        <v>159</v>
      </c>
      <c r="H25" s="66"/>
      <c r="I25" s="34" t="s">
        <v>67</v>
      </c>
      <c r="J25" s="34" t="s">
        <v>68</v>
      </c>
      <c r="K25" s="34" t="s">
        <v>69</v>
      </c>
      <c r="L25" s="35">
        <v>46064.0</v>
      </c>
      <c r="M25" s="34" t="s">
        <v>67</v>
      </c>
      <c r="N25" s="28" t="s">
        <v>68</v>
      </c>
      <c r="O25" s="28" t="s">
        <v>69</v>
      </c>
      <c r="P25" s="45" t="s">
        <v>76</v>
      </c>
      <c r="Q25" s="47"/>
      <c r="R25" s="47"/>
      <c r="S25" s="40"/>
    </row>
    <row r="26" ht="15.75" customHeight="1">
      <c r="A26" s="28">
        <f t="shared" si="1"/>
        <v>24</v>
      </c>
      <c r="B26" s="20"/>
      <c r="C26" s="20"/>
      <c r="D26" s="67" t="s">
        <v>160</v>
      </c>
      <c r="E26" s="20"/>
      <c r="F26" s="20"/>
      <c r="G26" s="51" t="s">
        <v>161</v>
      </c>
      <c r="H26" s="37"/>
      <c r="I26" s="34" t="s">
        <v>67</v>
      </c>
      <c r="J26" s="34" t="s">
        <v>68</v>
      </c>
      <c r="K26" s="34" t="s">
        <v>69</v>
      </c>
      <c r="L26" s="35">
        <v>46064.0</v>
      </c>
      <c r="M26" s="34" t="s">
        <v>67</v>
      </c>
      <c r="N26" s="28" t="s">
        <v>68</v>
      </c>
      <c r="O26" s="28" t="s">
        <v>69</v>
      </c>
      <c r="P26" s="45" t="s">
        <v>76</v>
      </c>
      <c r="Q26" s="47"/>
      <c r="R26" s="47"/>
      <c r="S26" s="40"/>
    </row>
    <row r="27" ht="15.75" customHeight="1">
      <c r="A27" s="28">
        <f t="shared" si="1"/>
        <v>25</v>
      </c>
      <c r="B27" s="20"/>
      <c r="C27" s="20"/>
      <c r="D27" s="47" t="s">
        <v>162</v>
      </c>
      <c r="E27" s="20"/>
      <c r="F27" s="20"/>
      <c r="G27" s="51" t="s">
        <v>163</v>
      </c>
      <c r="H27" s="37"/>
      <c r="I27" s="34" t="s">
        <v>67</v>
      </c>
      <c r="J27" s="34" t="s">
        <v>68</v>
      </c>
      <c r="K27" s="34" t="s">
        <v>69</v>
      </c>
      <c r="L27" s="35">
        <v>46064.0</v>
      </c>
      <c r="M27" s="36"/>
      <c r="N27" s="36"/>
      <c r="O27" s="36"/>
      <c r="P27" s="36"/>
      <c r="Q27" s="47"/>
      <c r="R27" s="47"/>
      <c r="S27" s="40"/>
    </row>
    <row r="28" ht="15.75" customHeight="1">
      <c r="A28" s="28">
        <f t="shared" si="1"/>
        <v>26</v>
      </c>
      <c r="B28" s="20"/>
      <c r="C28" s="20"/>
      <c r="D28" s="42" t="s">
        <v>164</v>
      </c>
      <c r="E28" s="20"/>
      <c r="F28" s="20"/>
      <c r="G28" s="64" t="s">
        <v>165</v>
      </c>
      <c r="H28" s="31"/>
      <c r="I28" s="34" t="s">
        <v>67</v>
      </c>
      <c r="J28" s="34" t="s">
        <v>68</v>
      </c>
      <c r="K28" s="34" t="s">
        <v>69</v>
      </c>
      <c r="L28" s="35">
        <v>46064.0</v>
      </c>
      <c r="M28" s="34" t="s">
        <v>67</v>
      </c>
      <c r="N28" s="28" t="s">
        <v>68</v>
      </c>
      <c r="O28" s="28" t="s">
        <v>69</v>
      </c>
      <c r="P28" s="45" t="s">
        <v>76</v>
      </c>
      <c r="Q28" s="47"/>
      <c r="R28" s="47"/>
      <c r="S28" s="40"/>
    </row>
    <row r="29" ht="15.75" customHeight="1">
      <c r="A29" s="28">
        <f t="shared" si="1"/>
        <v>27</v>
      </c>
      <c r="B29" s="20"/>
      <c r="C29" s="20"/>
      <c r="D29" s="42" t="s">
        <v>166</v>
      </c>
      <c r="E29" s="20"/>
      <c r="F29" s="20"/>
      <c r="G29" s="43" t="s">
        <v>167</v>
      </c>
      <c r="H29" s="31"/>
      <c r="I29" s="34" t="s">
        <v>67</v>
      </c>
      <c r="J29" s="34" t="s">
        <v>68</v>
      </c>
      <c r="K29" s="34" t="s">
        <v>69</v>
      </c>
      <c r="L29" s="35">
        <v>46064.0</v>
      </c>
      <c r="M29" s="34" t="s">
        <v>67</v>
      </c>
      <c r="N29" s="28" t="s">
        <v>68</v>
      </c>
      <c r="O29" s="28" t="s">
        <v>69</v>
      </c>
      <c r="P29" s="45" t="s">
        <v>76</v>
      </c>
      <c r="Q29" s="47"/>
      <c r="R29" s="47"/>
      <c r="S29" s="40"/>
    </row>
    <row r="30" ht="15.75" customHeight="1">
      <c r="A30" s="28">
        <f t="shared" si="1"/>
        <v>28</v>
      </c>
      <c r="B30" s="20"/>
      <c r="C30" s="20"/>
      <c r="D30" s="68" t="s">
        <v>168</v>
      </c>
      <c r="E30" s="20"/>
      <c r="F30" s="20"/>
      <c r="G30" s="69" t="s">
        <v>169</v>
      </c>
      <c r="H30" s="70"/>
      <c r="I30" s="36"/>
      <c r="J30" s="36"/>
      <c r="K30" s="36"/>
      <c r="L30" s="71"/>
      <c r="M30" s="36"/>
      <c r="N30" s="36"/>
      <c r="O30" s="36"/>
      <c r="P30" s="71"/>
      <c r="Q30" s="47"/>
      <c r="R30" s="47"/>
      <c r="S30" s="40"/>
    </row>
    <row r="31" ht="15.75" customHeight="1">
      <c r="A31" s="28">
        <f t="shared" si="1"/>
        <v>29</v>
      </c>
      <c r="B31" s="20"/>
      <c r="C31" s="20"/>
      <c r="D31" s="68" t="s">
        <v>170</v>
      </c>
      <c r="E31" s="20"/>
      <c r="F31" s="20"/>
      <c r="G31" s="69" t="s">
        <v>171</v>
      </c>
      <c r="H31" s="70"/>
      <c r="I31" s="36"/>
      <c r="J31" s="36"/>
      <c r="K31" s="36"/>
      <c r="L31" s="71"/>
      <c r="M31" s="36"/>
      <c r="N31" s="36"/>
      <c r="O31" s="36"/>
      <c r="P31" s="71"/>
      <c r="Q31" s="47"/>
      <c r="R31" s="47"/>
      <c r="S31" s="40"/>
    </row>
    <row r="32" ht="15.75" customHeight="1">
      <c r="A32" s="28">
        <f t="shared" si="1"/>
        <v>30</v>
      </c>
      <c r="B32" s="20"/>
      <c r="C32" s="20"/>
      <c r="D32" s="68" t="s">
        <v>172</v>
      </c>
      <c r="E32" s="20"/>
      <c r="F32" s="20"/>
      <c r="G32" s="72" t="s">
        <v>173</v>
      </c>
      <c r="H32" s="70"/>
      <c r="I32" s="36"/>
      <c r="J32" s="36"/>
      <c r="K32" s="36"/>
      <c r="L32" s="71"/>
      <c r="M32" s="36"/>
      <c r="N32" s="36"/>
      <c r="O32" s="36"/>
      <c r="P32" s="71"/>
      <c r="Q32" s="47"/>
      <c r="R32" s="47"/>
      <c r="S32" s="40"/>
    </row>
    <row r="33" ht="15.75" customHeight="1">
      <c r="A33" s="28">
        <f t="shared" si="1"/>
        <v>31</v>
      </c>
      <c r="B33" s="20"/>
      <c r="C33" s="20"/>
      <c r="D33" s="68" t="s">
        <v>174</v>
      </c>
      <c r="E33" s="20"/>
      <c r="F33" s="20"/>
      <c r="G33" s="72" t="s">
        <v>175</v>
      </c>
      <c r="H33" s="70"/>
      <c r="I33" s="36"/>
      <c r="J33" s="36"/>
      <c r="K33" s="36"/>
      <c r="L33" s="71"/>
      <c r="M33" s="36"/>
      <c r="N33" s="36"/>
      <c r="O33" s="36"/>
      <c r="P33" s="71"/>
      <c r="Q33" s="47"/>
      <c r="R33" s="47"/>
      <c r="S33" s="40"/>
    </row>
    <row r="34" ht="15.75" customHeight="1">
      <c r="A34" s="28">
        <f t="shared" si="1"/>
        <v>32</v>
      </c>
      <c r="B34" s="21"/>
      <c r="C34" s="21"/>
      <c r="D34" s="42" t="s">
        <v>176</v>
      </c>
      <c r="E34" s="21"/>
      <c r="F34" s="21"/>
      <c r="G34" s="43" t="s">
        <v>177</v>
      </c>
      <c r="H34" s="31" t="s">
        <v>178</v>
      </c>
      <c r="I34" s="34" t="s">
        <v>67</v>
      </c>
      <c r="J34" s="34" t="s">
        <v>68</v>
      </c>
      <c r="K34" s="34" t="s">
        <v>69</v>
      </c>
      <c r="L34" s="35">
        <v>46064.0</v>
      </c>
      <c r="M34" s="34" t="s">
        <v>67</v>
      </c>
      <c r="N34" s="28" t="s">
        <v>68</v>
      </c>
      <c r="O34" s="28" t="s">
        <v>69</v>
      </c>
      <c r="P34" s="45" t="s">
        <v>76</v>
      </c>
      <c r="Q34" s="47"/>
      <c r="R34" s="47"/>
      <c r="S34" s="40"/>
    </row>
    <row r="35" ht="15.75" customHeight="1">
      <c r="A35" s="28">
        <f t="shared" si="1"/>
        <v>33</v>
      </c>
      <c r="B35" s="31" t="s">
        <v>179</v>
      </c>
      <c r="C35" s="73" t="s">
        <v>72</v>
      </c>
      <c r="D35" s="42" t="s">
        <v>123</v>
      </c>
      <c r="E35" s="31" t="s">
        <v>180</v>
      </c>
      <c r="F35" s="73" t="s">
        <v>74</v>
      </c>
      <c r="G35" s="43" t="s">
        <v>147</v>
      </c>
      <c r="H35" s="31"/>
      <c r="I35" s="34" t="s">
        <v>67</v>
      </c>
      <c r="J35" s="34" t="s">
        <v>68</v>
      </c>
      <c r="K35" s="34" t="s">
        <v>69</v>
      </c>
      <c r="L35" s="35">
        <v>46064.0</v>
      </c>
      <c r="M35" s="36"/>
      <c r="N35" s="36"/>
      <c r="O35" s="36"/>
      <c r="P35" s="36"/>
      <c r="Q35" s="47"/>
      <c r="R35" s="47"/>
      <c r="S35" s="40"/>
    </row>
    <row r="36" ht="15.75" customHeight="1">
      <c r="A36" s="28">
        <f t="shared" si="1"/>
        <v>34</v>
      </c>
      <c r="B36" s="37" t="s">
        <v>181</v>
      </c>
      <c r="C36" s="73" t="s">
        <v>72</v>
      </c>
      <c r="D36" s="47" t="s">
        <v>123</v>
      </c>
      <c r="E36" s="37" t="s">
        <v>182</v>
      </c>
      <c r="F36" s="73" t="s">
        <v>74</v>
      </c>
      <c r="G36" s="51" t="s">
        <v>147</v>
      </c>
      <c r="H36" s="37"/>
      <c r="I36" s="34" t="s">
        <v>67</v>
      </c>
      <c r="J36" s="34" t="s">
        <v>68</v>
      </c>
      <c r="K36" s="34" t="s">
        <v>69</v>
      </c>
      <c r="L36" s="35">
        <v>46064.0</v>
      </c>
      <c r="M36" s="36"/>
      <c r="N36" s="36"/>
      <c r="O36" s="36"/>
      <c r="P36" s="36"/>
      <c r="Q36" s="47"/>
      <c r="R36" s="47"/>
      <c r="S36" s="40"/>
    </row>
    <row r="37" ht="15.75" customHeight="1">
      <c r="A37" s="28">
        <f t="shared" si="1"/>
        <v>35</v>
      </c>
      <c r="B37" s="29" t="s">
        <v>183</v>
      </c>
      <c r="C37" s="62" t="s">
        <v>72</v>
      </c>
      <c r="D37" s="42" t="s">
        <v>184</v>
      </c>
      <c r="E37" s="29" t="s">
        <v>185</v>
      </c>
      <c r="F37" s="62" t="s">
        <v>74</v>
      </c>
      <c r="G37" s="42" t="s">
        <v>186</v>
      </c>
      <c r="H37" s="31"/>
      <c r="I37" s="34" t="s">
        <v>67</v>
      </c>
      <c r="J37" s="34" t="s">
        <v>68</v>
      </c>
      <c r="K37" s="34" t="s">
        <v>69</v>
      </c>
      <c r="L37" s="35">
        <v>46064.0</v>
      </c>
      <c r="M37" s="34" t="s">
        <v>67</v>
      </c>
      <c r="N37" s="28" t="s">
        <v>68</v>
      </c>
      <c r="O37" s="28" t="s">
        <v>69</v>
      </c>
      <c r="P37" s="45" t="s">
        <v>76</v>
      </c>
      <c r="Q37" s="47"/>
      <c r="R37" s="47"/>
      <c r="S37" s="40"/>
    </row>
    <row r="38" ht="15.75" customHeight="1">
      <c r="A38" s="28">
        <f t="shared" si="1"/>
        <v>36</v>
      </c>
      <c r="B38" s="20"/>
      <c r="C38" s="20"/>
      <c r="D38" s="47" t="s">
        <v>129</v>
      </c>
      <c r="E38" s="20"/>
      <c r="F38" s="20"/>
      <c r="G38" s="47" t="s">
        <v>130</v>
      </c>
      <c r="H38" s="37"/>
      <c r="I38" s="34" t="s">
        <v>67</v>
      </c>
      <c r="J38" s="34" t="s">
        <v>68</v>
      </c>
      <c r="K38" s="34" t="s">
        <v>69</v>
      </c>
      <c r="L38" s="35">
        <v>46064.0</v>
      </c>
      <c r="M38" s="34" t="s">
        <v>67</v>
      </c>
      <c r="N38" s="28" t="s">
        <v>68</v>
      </c>
      <c r="O38" s="28" t="s">
        <v>69</v>
      </c>
      <c r="P38" s="45" t="s">
        <v>76</v>
      </c>
      <c r="Q38" s="47"/>
      <c r="R38" s="47"/>
      <c r="S38" s="40"/>
    </row>
    <row r="39" ht="15.75" customHeight="1">
      <c r="A39" s="28">
        <f t="shared" si="1"/>
        <v>37</v>
      </c>
      <c r="B39" s="20"/>
      <c r="C39" s="20"/>
      <c r="D39" s="47" t="s">
        <v>187</v>
      </c>
      <c r="E39" s="20"/>
      <c r="F39" s="20"/>
      <c r="G39" s="47" t="s">
        <v>188</v>
      </c>
      <c r="H39" s="37"/>
      <c r="I39" s="34" t="s">
        <v>67</v>
      </c>
      <c r="J39" s="34" t="s">
        <v>68</v>
      </c>
      <c r="K39" s="34" t="s">
        <v>69</v>
      </c>
      <c r="L39" s="35">
        <v>46064.0</v>
      </c>
      <c r="M39" s="34" t="s">
        <v>67</v>
      </c>
      <c r="N39" s="28" t="s">
        <v>68</v>
      </c>
      <c r="O39" s="28" t="s">
        <v>69</v>
      </c>
      <c r="P39" s="45" t="s">
        <v>76</v>
      </c>
      <c r="Q39" s="47"/>
      <c r="R39" s="47"/>
      <c r="S39" s="47"/>
    </row>
    <row r="40" ht="15.75" customHeight="1">
      <c r="A40" s="28">
        <f t="shared" si="1"/>
        <v>38</v>
      </c>
      <c r="B40" s="20"/>
      <c r="C40" s="20"/>
      <c r="D40" s="42" t="s">
        <v>131</v>
      </c>
      <c r="E40" s="20"/>
      <c r="F40" s="20"/>
      <c r="G40" s="42" t="s">
        <v>132</v>
      </c>
      <c r="H40" s="31"/>
      <c r="I40" s="34" t="s">
        <v>67</v>
      </c>
      <c r="J40" s="34" t="s">
        <v>68</v>
      </c>
      <c r="K40" s="34" t="s">
        <v>69</v>
      </c>
      <c r="L40" s="35">
        <v>46064.0</v>
      </c>
      <c r="M40" s="34" t="s">
        <v>67</v>
      </c>
      <c r="N40" s="28" t="s">
        <v>68</v>
      </c>
      <c r="O40" s="28" t="s">
        <v>69</v>
      </c>
      <c r="P40" s="45" t="s">
        <v>76</v>
      </c>
      <c r="Q40" s="47"/>
      <c r="R40" s="47"/>
      <c r="S40" s="47"/>
    </row>
    <row r="41" ht="15.75" customHeight="1">
      <c r="A41" s="28">
        <f t="shared" si="1"/>
        <v>39</v>
      </c>
      <c r="B41" s="20"/>
      <c r="C41" s="20"/>
      <c r="D41" s="42" t="s">
        <v>189</v>
      </c>
      <c r="E41" s="20"/>
      <c r="F41" s="20"/>
      <c r="G41" s="42" t="s">
        <v>190</v>
      </c>
      <c r="H41" s="31"/>
      <c r="I41" s="34" t="s">
        <v>67</v>
      </c>
      <c r="J41" s="34" t="s">
        <v>68</v>
      </c>
      <c r="K41" s="34" t="s">
        <v>69</v>
      </c>
      <c r="L41" s="35">
        <v>46064.0</v>
      </c>
      <c r="M41" s="34" t="s">
        <v>67</v>
      </c>
      <c r="N41" s="28" t="s">
        <v>68</v>
      </c>
      <c r="O41" s="28" t="s">
        <v>69</v>
      </c>
      <c r="P41" s="45" t="s">
        <v>76</v>
      </c>
      <c r="Q41" s="47"/>
      <c r="R41" s="47"/>
      <c r="S41" s="47"/>
    </row>
    <row r="42" ht="15.75" customHeight="1">
      <c r="A42" s="28">
        <f t="shared" si="1"/>
        <v>40</v>
      </c>
      <c r="B42" s="20"/>
      <c r="C42" s="20"/>
      <c r="D42" s="47" t="s">
        <v>133</v>
      </c>
      <c r="E42" s="20"/>
      <c r="F42" s="20"/>
      <c r="G42" s="47" t="s">
        <v>134</v>
      </c>
      <c r="H42" s="37"/>
      <c r="I42" s="34" t="s">
        <v>67</v>
      </c>
      <c r="J42" s="34" t="s">
        <v>68</v>
      </c>
      <c r="K42" s="34" t="s">
        <v>69</v>
      </c>
      <c r="L42" s="35">
        <v>46064.0</v>
      </c>
      <c r="M42" s="34" t="s">
        <v>67</v>
      </c>
      <c r="N42" s="28" t="s">
        <v>68</v>
      </c>
      <c r="O42" s="28" t="s">
        <v>69</v>
      </c>
      <c r="P42" s="45" t="s">
        <v>76</v>
      </c>
      <c r="Q42" s="47"/>
      <c r="R42" s="47"/>
      <c r="S42" s="47"/>
    </row>
    <row r="43" ht="15.75" customHeight="1">
      <c r="A43" s="28">
        <f t="shared" si="1"/>
        <v>41</v>
      </c>
      <c r="B43" s="20"/>
      <c r="C43" s="20"/>
      <c r="D43" s="47" t="s">
        <v>191</v>
      </c>
      <c r="E43" s="20"/>
      <c r="F43" s="20"/>
      <c r="G43" s="47" t="s">
        <v>192</v>
      </c>
      <c r="H43" s="37"/>
      <c r="I43" s="34" t="s">
        <v>67</v>
      </c>
      <c r="J43" s="34" t="s">
        <v>68</v>
      </c>
      <c r="K43" s="34" t="s">
        <v>69</v>
      </c>
      <c r="L43" s="35">
        <v>46064.0</v>
      </c>
      <c r="M43" s="34" t="s">
        <v>67</v>
      </c>
      <c r="N43" s="28" t="s">
        <v>68</v>
      </c>
      <c r="O43" s="28" t="s">
        <v>69</v>
      </c>
      <c r="P43" s="45" t="s">
        <v>76</v>
      </c>
      <c r="Q43" s="47"/>
      <c r="R43" s="47"/>
      <c r="S43" s="47"/>
    </row>
    <row r="44" ht="15.75" customHeight="1">
      <c r="A44" s="28">
        <f t="shared" si="1"/>
        <v>42</v>
      </c>
      <c r="B44" s="20"/>
      <c r="C44" s="20"/>
      <c r="D44" s="42" t="s">
        <v>135</v>
      </c>
      <c r="E44" s="20"/>
      <c r="F44" s="20"/>
      <c r="G44" s="42" t="s">
        <v>136</v>
      </c>
      <c r="H44" s="31"/>
      <c r="I44" s="34" t="s">
        <v>67</v>
      </c>
      <c r="J44" s="34" t="s">
        <v>68</v>
      </c>
      <c r="K44" s="34" t="s">
        <v>69</v>
      </c>
      <c r="L44" s="35">
        <v>46064.0</v>
      </c>
      <c r="M44" s="34" t="s">
        <v>67</v>
      </c>
      <c r="N44" s="28" t="s">
        <v>68</v>
      </c>
      <c r="O44" s="28" t="s">
        <v>69</v>
      </c>
      <c r="P44" s="45" t="s">
        <v>76</v>
      </c>
      <c r="Q44" s="47"/>
      <c r="R44" s="47"/>
      <c r="S44" s="47"/>
    </row>
    <row r="45" ht="15.75" customHeight="1">
      <c r="A45" s="28">
        <f t="shared" si="1"/>
        <v>43</v>
      </c>
      <c r="B45" s="20"/>
      <c r="C45" s="20"/>
      <c r="D45" s="42" t="s">
        <v>193</v>
      </c>
      <c r="E45" s="20"/>
      <c r="F45" s="20"/>
      <c r="G45" s="42" t="s">
        <v>194</v>
      </c>
      <c r="H45" s="31"/>
      <c r="I45" s="34" t="s">
        <v>67</v>
      </c>
      <c r="J45" s="34" t="s">
        <v>68</v>
      </c>
      <c r="K45" s="34" t="s">
        <v>69</v>
      </c>
      <c r="L45" s="35">
        <v>46064.0</v>
      </c>
      <c r="M45" s="34" t="s">
        <v>67</v>
      </c>
      <c r="N45" s="28" t="s">
        <v>68</v>
      </c>
      <c r="O45" s="28" t="s">
        <v>69</v>
      </c>
      <c r="P45" s="45" t="s">
        <v>76</v>
      </c>
      <c r="Q45" s="47"/>
      <c r="R45" s="47"/>
      <c r="S45" s="47"/>
    </row>
    <row r="46" ht="15.75" customHeight="1">
      <c r="A46" s="28">
        <f t="shared" si="1"/>
        <v>44</v>
      </c>
      <c r="B46" s="20"/>
      <c r="C46" s="20"/>
      <c r="D46" s="47" t="s">
        <v>195</v>
      </c>
      <c r="E46" s="20"/>
      <c r="F46" s="20"/>
      <c r="G46" s="74" t="s">
        <v>196</v>
      </c>
      <c r="H46" s="37"/>
      <c r="I46" s="34" t="s">
        <v>67</v>
      </c>
      <c r="J46" s="34" t="s">
        <v>68</v>
      </c>
      <c r="K46" s="34" t="s">
        <v>69</v>
      </c>
      <c r="L46" s="35">
        <v>46064.0</v>
      </c>
      <c r="M46" s="34" t="s">
        <v>67</v>
      </c>
      <c r="N46" s="28" t="s">
        <v>68</v>
      </c>
      <c r="O46" s="28" t="s">
        <v>69</v>
      </c>
      <c r="P46" s="45" t="s">
        <v>76</v>
      </c>
      <c r="Q46" s="47"/>
      <c r="R46" s="47"/>
      <c r="S46" s="47"/>
    </row>
    <row r="47" ht="15.75" customHeight="1">
      <c r="A47" s="28">
        <f t="shared" si="1"/>
        <v>45</v>
      </c>
      <c r="B47" s="20"/>
      <c r="C47" s="20"/>
      <c r="D47" s="47" t="s">
        <v>197</v>
      </c>
      <c r="E47" s="20"/>
      <c r="F47" s="20"/>
      <c r="G47" s="49" t="s">
        <v>198</v>
      </c>
      <c r="H47" s="37"/>
      <c r="I47" s="34" t="s">
        <v>67</v>
      </c>
      <c r="J47" s="34" t="s">
        <v>68</v>
      </c>
      <c r="K47" s="34" t="s">
        <v>69</v>
      </c>
      <c r="L47" s="35">
        <v>46064.0</v>
      </c>
      <c r="M47" s="34" t="s">
        <v>67</v>
      </c>
      <c r="N47" s="28" t="s">
        <v>68</v>
      </c>
      <c r="O47" s="28" t="s">
        <v>69</v>
      </c>
      <c r="P47" s="45" t="s">
        <v>76</v>
      </c>
      <c r="Q47" s="47"/>
      <c r="R47" s="47"/>
      <c r="S47" s="47"/>
    </row>
    <row r="48" ht="15.75" customHeight="1">
      <c r="A48" s="28">
        <f t="shared" si="1"/>
        <v>46</v>
      </c>
      <c r="B48" s="20"/>
      <c r="C48" s="20"/>
      <c r="D48" s="42" t="s">
        <v>137</v>
      </c>
      <c r="E48" s="20"/>
      <c r="F48" s="20"/>
      <c r="G48" s="42" t="s">
        <v>138</v>
      </c>
      <c r="H48" s="31"/>
      <c r="I48" s="34" t="s">
        <v>67</v>
      </c>
      <c r="J48" s="34" t="s">
        <v>68</v>
      </c>
      <c r="K48" s="34" t="s">
        <v>69</v>
      </c>
      <c r="L48" s="35">
        <v>46064.0</v>
      </c>
      <c r="M48" s="34" t="s">
        <v>67</v>
      </c>
      <c r="N48" s="28" t="s">
        <v>68</v>
      </c>
      <c r="O48" s="28" t="s">
        <v>69</v>
      </c>
      <c r="P48" s="45" t="s">
        <v>76</v>
      </c>
      <c r="Q48" s="47"/>
      <c r="R48" s="47"/>
      <c r="S48" s="47"/>
    </row>
    <row r="49" ht="15.75" customHeight="1">
      <c r="A49" s="28">
        <f t="shared" si="1"/>
        <v>47</v>
      </c>
      <c r="B49" s="20"/>
      <c r="C49" s="20"/>
      <c r="D49" s="42" t="s">
        <v>199</v>
      </c>
      <c r="E49" s="20"/>
      <c r="F49" s="20"/>
      <c r="G49" s="43" t="s">
        <v>200</v>
      </c>
      <c r="H49" s="31"/>
      <c r="I49" s="34" t="s">
        <v>67</v>
      </c>
      <c r="J49" s="34" t="s">
        <v>68</v>
      </c>
      <c r="K49" s="34" t="s">
        <v>69</v>
      </c>
      <c r="L49" s="35">
        <v>46064.0</v>
      </c>
      <c r="M49" s="34" t="s">
        <v>67</v>
      </c>
      <c r="N49" s="28" t="s">
        <v>68</v>
      </c>
      <c r="O49" s="28" t="s">
        <v>69</v>
      </c>
      <c r="P49" s="45" t="s">
        <v>76</v>
      </c>
      <c r="Q49" s="47"/>
      <c r="R49" s="47"/>
      <c r="S49" s="47"/>
    </row>
    <row r="50" ht="15.75" customHeight="1">
      <c r="A50" s="28">
        <f t="shared" si="1"/>
        <v>48</v>
      </c>
      <c r="B50" s="20"/>
      <c r="C50" s="20"/>
      <c r="D50" s="47" t="s">
        <v>201</v>
      </c>
      <c r="E50" s="20"/>
      <c r="F50" s="20"/>
      <c r="G50" s="65" t="s">
        <v>202</v>
      </c>
      <c r="H50" s="37"/>
      <c r="I50" s="34" t="s">
        <v>67</v>
      </c>
      <c r="J50" s="34" t="s">
        <v>68</v>
      </c>
      <c r="K50" s="34" t="s">
        <v>69</v>
      </c>
      <c r="L50" s="35">
        <v>46064.0</v>
      </c>
      <c r="M50" s="34" t="s">
        <v>67</v>
      </c>
      <c r="N50" s="28" t="s">
        <v>68</v>
      </c>
      <c r="O50" s="28" t="s">
        <v>69</v>
      </c>
      <c r="P50" s="45" t="s">
        <v>76</v>
      </c>
      <c r="Q50" s="47"/>
      <c r="R50" s="47"/>
      <c r="S50" s="47"/>
    </row>
    <row r="51" ht="15.75" customHeight="1">
      <c r="A51" s="28">
        <f t="shared" si="1"/>
        <v>49</v>
      </c>
      <c r="B51" s="20"/>
      <c r="C51" s="20"/>
      <c r="D51" s="47" t="s">
        <v>203</v>
      </c>
      <c r="E51" s="20"/>
      <c r="F51" s="20"/>
      <c r="G51" s="51" t="s">
        <v>204</v>
      </c>
      <c r="H51" s="37"/>
      <c r="I51" s="34" t="s">
        <v>67</v>
      </c>
      <c r="J51" s="34" t="s">
        <v>68</v>
      </c>
      <c r="K51" s="34" t="s">
        <v>69</v>
      </c>
      <c r="L51" s="35">
        <v>46064.0</v>
      </c>
      <c r="M51" s="34" t="s">
        <v>67</v>
      </c>
      <c r="N51" s="28" t="s">
        <v>68</v>
      </c>
      <c r="O51" s="28" t="s">
        <v>69</v>
      </c>
      <c r="P51" s="45" t="s">
        <v>76</v>
      </c>
      <c r="Q51" s="47"/>
      <c r="R51" s="47"/>
      <c r="S51" s="47"/>
    </row>
    <row r="52" ht="15.75" customHeight="1">
      <c r="A52" s="28">
        <f t="shared" si="1"/>
        <v>50</v>
      </c>
      <c r="B52" s="20"/>
      <c r="C52" s="20"/>
      <c r="D52" s="42" t="s">
        <v>141</v>
      </c>
      <c r="E52" s="20"/>
      <c r="F52" s="20"/>
      <c r="G52" s="42" t="s">
        <v>142</v>
      </c>
      <c r="H52" s="31"/>
      <c r="I52" s="34" t="s">
        <v>67</v>
      </c>
      <c r="J52" s="34" t="s">
        <v>68</v>
      </c>
      <c r="K52" s="34" t="s">
        <v>69</v>
      </c>
      <c r="L52" s="35">
        <v>46064.0</v>
      </c>
      <c r="M52" s="34" t="s">
        <v>67</v>
      </c>
      <c r="N52" s="28" t="s">
        <v>68</v>
      </c>
      <c r="O52" s="28" t="s">
        <v>69</v>
      </c>
      <c r="P52" s="45" t="s">
        <v>76</v>
      </c>
      <c r="Q52" s="47"/>
      <c r="R52" s="47"/>
      <c r="S52" s="47"/>
    </row>
    <row r="53" ht="15.75" customHeight="1">
      <c r="A53" s="28">
        <f t="shared" si="1"/>
        <v>51</v>
      </c>
      <c r="B53" s="20"/>
      <c r="C53" s="20"/>
      <c r="D53" s="42" t="s">
        <v>205</v>
      </c>
      <c r="E53" s="20"/>
      <c r="F53" s="20"/>
      <c r="G53" s="42" t="s">
        <v>206</v>
      </c>
      <c r="H53" s="31"/>
      <c r="I53" s="34" t="s">
        <v>67</v>
      </c>
      <c r="J53" s="34" t="s">
        <v>68</v>
      </c>
      <c r="K53" s="34" t="s">
        <v>69</v>
      </c>
      <c r="L53" s="35">
        <v>46064.0</v>
      </c>
      <c r="M53" s="34" t="s">
        <v>67</v>
      </c>
      <c r="N53" s="28" t="s">
        <v>68</v>
      </c>
      <c r="O53" s="28" t="s">
        <v>69</v>
      </c>
      <c r="P53" s="45" t="s">
        <v>76</v>
      </c>
      <c r="Q53" s="47"/>
      <c r="R53" s="47"/>
      <c r="S53" s="47"/>
    </row>
    <row r="54" ht="15.75" customHeight="1">
      <c r="A54" s="28">
        <f t="shared" si="1"/>
        <v>52</v>
      </c>
      <c r="B54" s="20"/>
      <c r="C54" s="20"/>
      <c r="D54" s="47" t="s">
        <v>207</v>
      </c>
      <c r="E54" s="20"/>
      <c r="F54" s="20"/>
      <c r="G54" s="47" t="s">
        <v>208</v>
      </c>
      <c r="H54" s="37"/>
      <c r="I54" s="34" t="s">
        <v>67</v>
      </c>
      <c r="J54" s="34" t="s">
        <v>68</v>
      </c>
      <c r="K54" s="34" t="s">
        <v>69</v>
      </c>
      <c r="L54" s="35">
        <v>46064.0</v>
      </c>
      <c r="M54" s="34" t="s">
        <v>67</v>
      </c>
      <c r="N54" s="28" t="s">
        <v>68</v>
      </c>
      <c r="O54" s="28" t="s">
        <v>69</v>
      </c>
      <c r="P54" s="45" t="s">
        <v>76</v>
      </c>
      <c r="Q54" s="47"/>
      <c r="R54" s="47"/>
      <c r="S54" s="47"/>
    </row>
    <row r="55" ht="15.75" customHeight="1">
      <c r="A55" s="28">
        <f t="shared" si="1"/>
        <v>53</v>
      </c>
      <c r="B55" s="21"/>
      <c r="C55" s="21"/>
      <c r="D55" s="47" t="s">
        <v>209</v>
      </c>
      <c r="E55" s="21"/>
      <c r="F55" s="21"/>
      <c r="G55" s="67" t="s">
        <v>210</v>
      </c>
      <c r="H55" s="37"/>
      <c r="I55" s="34" t="s">
        <v>67</v>
      </c>
      <c r="J55" s="34" t="s">
        <v>68</v>
      </c>
      <c r="K55" s="34" t="s">
        <v>69</v>
      </c>
      <c r="L55" s="35">
        <v>46064.0</v>
      </c>
      <c r="M55" s="34" t="s">
        <v>67</v>
      </c>
      <c r="N55" s="28" t="s">
        <v>68</v>
      </c>
      <c r="O55" s="28" t="s">
        <v>69</v>
      </c>
      <c r="P55" s="45" t="s">
        <v>76</v>
      </c>
      <c r="Q55" s="47"/>
      <c r="R55" s="47"/>
      <c r="S55" s="47"/>
    </row>
    <row r="56" ht="15.75" customHeight="1">
      <c r="A56" s="75"/>
      <c r="B56" s="76" t="s">
        <v>211</v>
      </c>
      <c r="C56" s="77"/>
      <c r="D56" s="76"/>
      <c r="E56" s="76" t="s">
        <v>212</v>
      </c>
      <c r="F56" s="77"/>
      <c r="G56" s="76"/>
      <c r="H56" s="78"/>
      <c r="I56" s="79"/>
      <c r="J56" s="79"/>
      <c r="K56" s="80"/>
      <c r="L56" s="80"/>
      <c r="M56" s="80"/>
      <c r="N56" s="80"/>
      <c r="O56" s="80"/>
      <c r="P56" s="80"/>
      <c r="Q56" s="76"/>
      <c r="R56" s="76"/>
      <c r="S56" s="81"/>
    </row>
    <row r="57" ht="15.75" customHeight="1">
      <c r="A57" s="28">
        <f t="shared" ref="A57:A68" si="2">ROW()-2</f>
        <v>55</v>
      </c>
      <c r="B57" s="59" t="str">
        <f>'参照_仕様'!C5</f>
        <v>Shaved Ice (+50 Stamina)</v>
      </c>
      <c r="C57" s="82" t="s">
        <v>213</v>
      </c>
      <c r="D57" s="47" t="s">
        <v>214</v>
      </c>
      <c r="E57" s="59" t="str">
        <f>'参照_仕様'!C5</f>
        <v>Shaved Ice (+50 Stamina)</v>
      </c>
      <c r="F57" s="58" t="s">
        <v>215</v>
      </c>
      <c r="G57" s="51" t="s">
        <v>216</v>
      </c>
      <c r="H57" s="49">
        <f>'参照_仕様'!$D$5</f>
        <v>46074.70833</v>
      </c>
      <c r="I57" s="34" t="s">
        <v>67</v>
      </c>
      <c r="J57" s="34" t="s">
        <v>68</v>
      </c>
      <c r="K57" s="34" t="s">
        <v>69</v>
      </c>
      <c r="L57" s="35">
        <v>46062.0</v>
      </c>
      <c r="M57" s="36"/>
      <c r="N57" s="36"/>
      <c r="O57" s="36"/>
      <c r="P57" s="36"/>
      <c r="Q57" s="47"/>
      <c r="R57" s="47"/>
      <c r="S57" s="47"/>
    </row>
    <row r="58" ht="15.75" customHeight="1">
      <c r="A58" s="28">
        <f t="shared" si="2"/>
        <v>56</v>
      </c>
      <c r="B58" s="20"/>
      <c r="C58" s="21"/>
      <c r="D58" s="47" t="s">
        <v>217</v>
      </c>
      <c r="E58" s="20"/>
      <c r="F58" s="21"/>
      <c r="G58" s="51" t="s">
        <v>218</v>
      </c>
      <c r="H58" s="49">
        <f>'参照_仕様'!$E$5</f>
        <v>46080.70833</v>
      </c>
      <c r="I58" s="34" t="s">
        <v>67</v>
      </c>
      <c r="J58" s="34" t="s">
        <v>68</v>
      </c>
      <c r="K58" s="34" t="s">
        <v>69</v>
      </c>
      <c r="L58" s="35">
        <v>46062.0</v>
      </c>
      <c r="M58" s="36"/>
      <c r="N58" s="36"/>
      <c r="O58" s="36"/>
      <c r="P58" s="36"/>
      <c r="Q58" s="47"/>
      <c r="R58" s="47"/>
      <c r="S58" s="47"/>
    </row>
    <row r="59" ht="15.75" customHeight="1">
      <c r="A59" s="28">
        <f t="shared" si="2"/>
        <v>57</v>
      </c>
      <c r="B59" s="20"/>
      <c r="C59" s="62" t="s">
        <v>72</v>
      </c>
      <c r="D59" s="47" t="s">
        <v>219</v>
      </c>
      <c r="E59" s="20"/>
      <c r="F59" s="62" t="s">
        <v>74</v>
      </c>
      <c r="G59" s="51" t="s">
        <v>220</v>
      </c>
      <c r="H59" s="37"/>
      <c r="I59" s="36"/>
      <c r="J59" s="36"/>
      <c r="K59" s="36"/>
      <c r="L59" s="36"/>
      <c r="M59" s="34" t="s">
        <v>67</v>
      </c>
      <c r="N59" s="28" t="s">
        <v>68</v>
      </c>
      <c r="O59" s="28" t="s">
        <v>69</v>
      </c>
      <c r="P59" s="45" t="s">
        <v>76</v>
      </c>
      <c r="Q59" s="47"/>
      <c r="R59" s="47"/>
      <c r="S59" s="47"/>
    </row>
    <row r="60" ht="15.75" customHeight="1">
      <c r="A60" s="28">
        <f t="shared" si="2"/>
        <v>58</v>
      </c>
      <c r="B60" s="21"/>
      <c r="C60" s="21"/>
      <c r="D60" s="47" t="s">
        <v>221</v>
      </c>
      <c r="E60" s="21"/>
      <c r="F60" s="21"/>
      <c r="G60" s="51" t="s">
        <v>222</v>
      </c>
      <c r="H60" s="37"/>
      <c r="I60" s="36"/>
      <c r="J60" s="36"/>
      <c r="K60" s="36"/>
      <c r="L60" s="36"/>
      <c r="M60" s="34" t="s">
        <v>67</v>
      </c>
      <c r="N60" s="28" t="s">
        <v>68</v>
      </c>
      <c r="O60" s="28" t="s">
        <v>69</v>
      </c>
      <c r="P60" s="45" t="s">
        <v>76</v>
      </c>
      <c r="Q60" s="47"/>
      <c r="R60" s="47"/>
      <c r="S60" s="47"/>
    </row>
    <row r="61" ht="15.75" customHeight="1">
      <c r="A61" s="28">
        <f t="shared" si="2"/>
        <v>59</v>
      </c>
      <c r="B61" s="29" t="str">
        <f>'参照_仕様'!C6</f>
        <v>Shaved Ice (+100 Stamina)</v>
      </c>
      <c r="C61" s="58" t="s">
        <v>213</v>
      </c>
      <c r="D61" s="42" t="s">
        <v>214</v>
      </c>
      <c r="E61" s="29" t="str">
        <f>'参照_仕様'!C6</f>
        <v>Shaved Ice (+100 Stamina)</v>
      </c>
      <c r="F61" s="58" t="s">
        <v>215</v>
      </c>
      <c r="G61" s="43" t="s">
        <v>216</v>
      </c>
      <c r="H61" s="33">
        <f>'参照_仕様'!$D$6</f>
        <v>46074.70833</v>
      </c>
      <c r="I61" s="34" t="s">
        <v>67</v>
      </c>
      <c r="J61" s="34" t="s">
        <v>68</v>
      </c>
      <c r="K61" s="34" t="s">
        <v>69</v>
      </c>
      <c r="L61" s="35">
        <v>46062.0</v>
      </c>
      <c r="M61" s="36"/>
      <c r="N61" s="36"/>
      <c r="O61" s="36"/>
      <c r="P61" s="36"/>
      <c r="Q61" s="47"/>
      <c r="R61" s="47"/>
      <c r="S61" s="47"/>
    </row>
    <row r="62" ht="15.75" customHeight="1">
      <c r="A62" s="28">
        <f t="shared" si="2"/>
        <v>60</v>
      </c>
      <c r="B62" s="20"/>
      <c r="C62" s="21"/>
      <c r="D62" s="42" t="s">
        <v>217</v>
      </c>
      <c r="E62" s="20"/>
      <c r="F62" s="21"/>
      <c r="G62" s="43" t="s">
        <v>218</v>
      </c>
      <c r="H62" s="33">
        <f>'参照_仕様'!$E$6</f>
        <v>46080.70833</v>
      </c>
      <c r="I62" s="34" t="s">
        <v>67</v>
      </c>
      <c r="J62" s="34" t="s">
        <v>68</v>
      </c>
      <c r="K62" s="34" t="s">
        <v>69</v>
      </c>
      <c r="L62" s="35">
        <v>46062.0</v>
      </c>
      <c r="M62" s="36"/>
      <c r="N62" s="36"/>
      <c r="O62" s="36"/>
      <c r="P62" s="36"/>
      <c r="Q62" s="47"/>
      <c r="R62" s="47"/>
      <c r="S62" s="47"/>
    </row>
    <row r="63" ht="15.75" customHeight="1">
      <c r="A63" s="28">
        <f t="shared" si="2"/>
        <v>61</v>
      </c>
      <c r="B63" s="20"/>
      <c r="C63" s="62" t="s">
        <v>72</v>
      </c>
      <c r="D63" s="42" t="s">
        <v>219</v>
      </c>
      <c r="E63" s="20"/>
      <c r="F63" s="62" t="s">
        <v>74</v>
      </c>
      <c r="G63" s="43" t="s">
        <v>220</v>
      </c>
      <c r="H63" s="31"/>
      <c r="I63" s="36"/>
      <c r="J63" s="36"/>
      <c r="K63" s="36"/>
      <c r="L63" s="36"/>
      <c r="M63" s="34" t="s">
        <v>67</v>
      </c>
      <c r="N63" s="28" t="s">
        <v>68</v>
      </c>
      <c r="O63" s="28" t="s">
        <v>69</v>
      </c>
      <c r="P63" s="45" t="s">
        <v>76</v>
      </c>
      <c r="Q63" s="47"/>
      <c r="R63" s="47"/>
      <c r="S63" s="47"/>
    </row>
    <row r="64" ht="15.75" customHeight="1">
      <c r="A64" s="28">
        <f t="shared" si="2"/>
        <v>62</v>
      </c>
      <c r="B64" s="21"/>
      <c r="C64" s="21"/>
      <c r="D64" s="42" t="s">
        <v>221</v>
      </c>
      <c r="E64" s="21"/>
      <c r="F64" s="21"/>
      <c r="G64" s="43" t="s">
        <v>222</v>
      </c>
      <c r="H64" s="31"/>
      <c r="I64" s="36"/>
      <c r="J64" s="36"/>
      <c r="K64" s="36"/>
      <c r="L64" s="36"/>
      <c r="M64" s="34" t="s">
        <v>67</v>
      </c>
      <c r="N64" s="28" t="s">
        <v>68</v>
      </c>
      <c r="O64" s="28" t="s">
        <v>69</v>
      </c>
      <c r="P64" s="45" t="s">
        <v>76</v>
      </c>
      <c r="Q64" s="47"/>
      <c r="R64" s="47"/>
      <c r="S64" s="47"/>
    </row>
    <row r="65" ht="15.75" customHeight="1">
      <c r="A65" s="28">
        <f t="shared" si="2"/>
        <v>63</v>
      </c>
      <c r="B65" s="59" t="str">
        <f>'参照_仕様'!C7</f>
        <v>Limited Chapter Ticket</v>
      </c>
      <c r="C65" s="58" t="s">
        <v>213</v>
      </c>
      <c r="D65" s="47" t="s">
        <v>214</v>
      </c>
      <c r="E65" s="59" t="str">
        <f>'参照_仕様'!C7</f>
        <v>Limited Chapter Ticket</v>
      </c>
      <c r="F65" s="58" t="s">
        <v>215</v>
      </c>
      <c r="G65" s="51" t="s">
        <v>216</v>
      </c>
      <c r="H65" s="49">
        <f>'参照_仕様'!$D$7</f>
        <v>46074.70833</v>
      </c>
      <c r="I65" s="34" t="s">
        <v>67</v>
      </c>
      <c r="J65" s="34" t="s">
        <v>68</v>
      </c>
      <c r="K65" s="34" t="s">
        <v>69</v>
      </c>
      <c r="L65" s="35">
        <v>46062.0</v>
      </c>
      <c r="M65" s="36"/>
      <c r="N65" s="36"/>
      <c r="O65" s="36"/>
      <c r="P65" s="36"/>
      <c r="Q65" s="47"/>
      <c r="R65" s="47"/>
      <c r="S65" s="47"/>
    </row>
    <row r="66" ht="15.75" customHeight="1">
      <c r="A66" s="28">
        <f t="shared" si="2"/>
        <v>64</v>
      </c>
      <c r="B66" s="20"/>
      <c r="C66" s="21"/>
      <c r="D66" s="47" t="s">
        <v>217</v>
      </c>
      <c r="E66" s="20"/>
      <c r="F66" s="21"/>
      <c r="G66" s="51" t="s">
        <v>218</v>
      </c>
      <c r="H66" s="49">
        <f>'参照_仕様'!$E$7</f>
        <v>46080.70833</v>
      </c>
      <c r="I66" s="34" t="s">
        <v>67</v>
      </c>
      <c r="J66" s="34" t="s">
        <v>68</v>
      </c>
      <c r="K66" s="34" t="s">
        <v>69</v>
      </c>
      <c r="L66" s="35">
        <v>46062.0</v>
      </c>
      <c r="M66" s="36"/>
      <c r="N66" s="36"/>
      <c r="O66" s="36"/>
      <c r="P66" s="36"/>
      <c r="Q66" s="47"/>
      <c r="R66" s="47"/>
      <c r="S66" s="47"/>
    </row>
    <row r="67" ht="15.75" customHeight="1">
      <c r="A67" s="28">
        <f t="shared" si="2"/>
        <v>65</v>
      </c>
      <c r="B67" s="20"/>
      <c r="C67" s="62" t="s">
        <v>72</v>
      </c>
      <c r="D67" s="47" t="s">
        <v>219</v>
      </c>
      <c r="E67" s="20"/>
      <c r="F67" s="62" t="s">
        <v>74</v>
      </c>
      <c r="G67" s="51" t="s">
        <v>220</v>
      </c>
      <c r="H67" s="37"/>
      <c r="I67" s="36"/>
      <c r="J67" s="36"/>
      <c r="K67" s="36"/>
      <c r="L67" s="36"/>
      <c r="M67" s="34" t="s">
        <v>67</v>
      </c>
      <c r="N67" s="28" t="s">
        <v>68</v>
      </c>
      <c r="O67" s="28" t="s">
        <v>69</v>
      </c>
      <c r="P67" s="45" t="s">
        <v>76</v>
      </c>
      <c r="Q67" s="47"/>
      <c r="R67" s="47"/>
      <c r="S67" s="47"/>
    </row>
    <row r="68" ht="15.75" customHeight="1">
      <c r="A68" s="28">
        <f t="shared" si="2"/>
        <v>66</v>
      </c>
      <c r="B68" s="21"/>
      <c r="C68" s="21"/>
      <c r="D68" s="47" t="s">
        <v>221</v>
      </c>
      <c r="E68" s="21"/>
      <c r="F68" s="21"/>
      <c r="G68" s="51" t="s">
        <v>222</v>
      </c>
      <c r="H68" s="37"/>
      <c r="I68" s="36"/>
      <c r="J68" s="36"/>
      <c r="K68" s="36"/>
      <c r="L68" s="36"/>
      <c r="M68" s="34" t="s">
        <v>67</v>
      </c>
      <c r="N68" s="28" t="s">
        <v>68</v>
      </c>
      <c r="O68" s="28" t="s">
        <v>69</v>
      </c>
      <c r="P68" s="45" t="s">
        <v>76</v>
      </c>
      <c r="Q68" s="47"/>
      <c r="R68" s="47"/>
      <c r="S68" s="47"/>
    </row>
    <row r="69" ht="15.75" customHeight="1">
      <c r="A69" s="75"/>
      <c r="B69" s="76" t="s">
        <v>223</v>
      </c>
      <c r="C69" s="77"/>
      <c r="D69" s="76"/>
      <c r="E69" s="83" t="s">
        <v>224</v>
      </c>
      <c r="F69" s="77"/>
      <c r="G69" s="76"/>
      <c r="H69" s="78"/>
      <c r="I69" s="79"/>
      <c r="J69" s="79"/>
      <c r="K69" s="80"/>
      <c r="L69" s="80"/>
      <c r="M69" s="80"/>
      <c r="N69" s="80"/>
      <c r="O69" s="80"/>
      <c r="P69" s="80"/>
      <c r="Q69" s="76"/>
      <c r="R69" s="76"/>
      <c r="S69" s="81"/>
    </row>
    <row r="70" ht="15.75" customHeight="1">
      <c r="A70" s="28">
        <f t="shared" ref="A70:A75" si="3">ROW()-2</f>
        <v>68</v>
      </c>
      <c r="B70" s="59" t="s">
        <v>223</v>
      </c>
      <c r="C70" s="62" t="s">
        <v>72</v>
      </c>
      <c r="D70" s="47" t="s">
        <v>225</v>
      </c>
      <c r="E70" s="60" t="s">
        <v>224</v>
      </c>
      <c r="F70" s="62" t="s">
        <v>74</v>
      </c>
      <c r="G70" s="51" t="s">
        <v>226</v>
      </c>
      <c r="H70" s="37" t="s">
        <v>227</v>
      </c>
      <c r="I70" s="36"/>
      <c r="J70" s="36"/>
      <c r="K70" s="36"/>
      <c r="L70" s="36"/>
      <c r="M70" s="34" t="s">
        <v>67</v>
      </c>
      <c r="N70" s="28" t="s">
        <v>68</v>
      </c>
      <c r="O70" s="28" t="s">
        <v>69</v>
      </c>
      <c r="P70" s="45" t="s">
        <v>76</v>
      </c>
      <c r="Q70" s="47"/>
      <c r="R70" s="47"/>
      <c r="S70" s="47"/>
    </row>
    <row r="71" ht="15.75" customHeight="1">
      <c r="A71" s="28">
        <f t="shared" si="3"/>
        <v>69</v>
      </c>
      <c r="B71" s="20"/>
      <c r="C71" s="20"/>
      <c r="D71" s="37" t="s">
        <v>228</v>
      </c>
      <c r="E71" s="20"/>
      <c r="F71" s="20"/>
      <c r="G71" s="49" t="s">
        <v>229</v>
      </c>
      <c r="H71" s="37" t="s">
        <v>230</v>
      </c>
      <c r="I71" s="36"/>
      <c r="J71" s="36"/>
      <c r="K71" s="36"/>
      <c r="L71" s="36"/>
      <c r="M71" s="34" t="s">
        <v>67</v>
      </c>
      <c r="N71" s="28" t="s">
        <v>68</v>
      </c>
      <c r="O71" s="28" t="s">
        <v>69</v>
      </c>
      <c r="P71" s="45" t="s">
        <v>76</v>
      </c>
      <c r="Q71" s="47"/>
      <c r="R71" s="47"/>
      <c r="S71" s="47"/>
    </row>
    <row r="72" ht="15.75" customHeight="1">
      <c r="A72" s="28">
        <f t="shared" si="3"/>
        <v>70</v>
      </c>
      <c r="B72" s="20"/>
      <c r="C72" s="20"/>
      <c r="D72" s="37" t="s">
        <v>231</v>
      </c>
      <c r="E72" s="20"/>
      <c r="F72" s="20"/>
      <c r="G72" s="49" t="s">
        <v>232</v>
      </c>
      <c r="H72" s="37" t="s">
        <v>230</v>
      </c>
      <c r="I72" s="36"/>
      <c r="J72" s="36"/>
      <c r="K72" s="36"/>
      <c r="L72" s="36"/>
      <c r="M72" s="34" t="s">
        <v>67</v>
      </c>
      <c r="N72" s="28" t="s">
        <v>68</v>
      </c>
      <c r="O72" s="28" t="s">
        <v>69</v>
      </c>
      <c r="P72" s="45" t="s">
        <v>76</v>
      </c>
      <c r="Q72" s="47"/>
      <c r="R72" s="47"/>
      <c r="S72" s="47"/>
    </row>
    <row r="73" ht="15.75" customHeight="1">
      <c r="A73" s="28">
        <f t="shared" si="3"/>
        <v>71</v>
      </c>
      <c r="B73" s="20"/>
      <c r="C73" s="20"/>
      <c r="D73" s="37" t="s">
        <v>233</v>
      </c>
      <c r="E73" s="20"/>
      <c r="F73" s="20"/>
      <c r="G73" s="49" t="s">
        <v>234</v>
      </c>
      <c r="H73" s="37" t="s">
        <v>227</v>
      </c>
      <c r="I73" s="36"/>
      <c r="J73" s="36"/>
      <c r="K73" s="36"/>
      <c r="L73" s="36"/>
      <c r="M73" s="34" t="s">
        <v>67</v>
      </c>
      <c r="N73" s="28" t="s">
        <v>68</v>
      </c>
      <c r="O73" s="28" t="s">
        <v>69</v>
      </c>
      <c r="P73" s="45" t="s">
        <v>76</v>
      </c>
      <c r="Q73" s="47"/>
      <c r="R73" s="47"/>
      <c r="S73" s="47"/>
    </row>
    <row r="74" ht="15.75" customHeight="1">
      <c r="A74" s="28">
        <f t="shared" si="3"/>
        <v>72</v>
      </c>
      <c r="B74" s="20"/>
      <c r="C74" s="20"/>
      <c r="D74" s="37" t="s">
        <v>235</v>
      </c>
      <c r="E74" s="20"/>
      <c r="F74" s="20"/>
      <c r="G74" s="49" t="s">
        <v>236</v>
      </c>
      <c r="H74" s="37" t="s">
        <v>237</v>
      </c>
      <c r="I74" s="36"/>
      <c r="J74" s="36"/>
      <c r="K74" s="36"/>
      <c r="L74" s="36"/>
      <c r="M74" s="34" t="s">
        <v>67</v>
      </c>
      <c r="N74" s="28" t="s">
        <v>68</v>
      </c>
      <c r="O74" s="28" t="s">
        <v>69</v>
      </c>
      <c r="P74" s="45" t="s">
        <v>76</v>
      </c>
      <c r="Q74" s="47"/>
      <c r="R74" s="47"/>
      <c r="S74" s="47"/>
    </row>
    <row r="75" ht="15.75" customHeight="1">
      <c r="A75" s="28">
        <f t="shared" si="3"/>
        <v>73</v>
      </c>
      <c r="B75" s="21"/>
      <c r="C75" s="21"/>
      <c r="D75" s="37" t="s">
        <v>238</v>
      </c>
      <c r="E75" s="21"/>
      <c r="F75" s="21"/>
      <c r="G75" s="49" t="s">
        <v>239</v>
      </c>
      <c r="H75" s="37" t="s">
        <v>240</v>
      </c>
      <c r="I75" s="36"/>
      <c r="J75" s="36"/>
      <c r="K75" s="36"/>
      <c r="L75" s="36"/>
      <c r="M75" s="34" t="s">
        <v>67</v>
      </c>
      <c r="N75" s="34" t="s">
        <v>68</v>
      </c>
      <c r="O75" s="34" t="s">
        <v>69</v>
      </c>
      <c r="P75" s="35">
        <v>46064.0</v>
      </c>
      <c r="Q75" s="47"/>
      <c r="R75" s="47"/>
      <c r="S75" s="47"/>
    </row>
  </sheetData>
  <customSheetViews>
    <customSheetView guid="{9FA1396E-99B0-44B1-8361-490FB13240C7}" filter="1" showAutoFilter="1">
      <autoFilter ref="$A$1:$S$75">
        <filterColumn colId="12">
          <colorFilter dxfId="2"/>
        </filterColumn>
      </autoFilter>
    </customSheetView>
  </customSheetViews>
  <mergeCells count="51">
    <mergeCell ref="F65:F66"/>
    <mergeCell ref="F67:F68"/>
    <mergeCell ref="B70:B75"/>
    <mergeCell ref="C70:C75"/>
    <mergeCell ref="E70:E75"/>
    <mergeCell ref="F70:F75"/>
    <mergeCell ref="E57:E60"/>
    <mergeCell ref="F57:F58"/>
    <mergeCell ref="F59:F60"/>
    <mergeCell ref="E61:E64"/>
    <mergeCell ref="F61:F62"/>
    <mergeCell ref="F63:F64"/>
    <mergeCell ref="E65:E68"/>
    <mergeCell ref="H1:H2"/>
    <mergeCell ref="I1:L1"/>
    <mergeCell ref="M1:P1"/>
    <mergeCell ref="Q1:Q2"/>
    <mergeCell ref="R1:R2"/>
    <mergeCell ref="S1:S2"/>
    <mergeCell ref="A1:A2"/>
    <mergeCell ref="B1:B2"/>
    <mergeCell ref="C1:C2"/>
    <mergeCell ref="D1:D2"/>
    <mergeCell ref="E1:E2"/>
    <mergeCell ref="F1:F2"/>
    <mergeCell ref="G1:G2"/>
    <mergeCell ref="B3:B6"/>
    <mergeCell ref="C3:C6"/>
    <mergeCell ref="E3:E6"/>
    <mergeCell ref="F3:F6"/>
    <mergeCell ref="C7:C17"/>
    <mergeCell ref="E7:E17"/>
    <mergeCell ref="F7:F17"/>
    <mergeCell ref="E37:E55"/>
    <mergeCell ref="F37:F55"/>
    <mergeCell ref="C37:C55"/>
    <mergeCell ref="C57:C58"/>
    <mergeCell ref="C61:C62"/>
    <mergeCell ref="C63:C64"/>
    <mergeCell ref="C65:C66"/>
    <mergeCell ref="C67:C68"/>
    <mergeCell ref="B57:B60"/>
    <mergeCell ref="B61:B64"/>
    <mergeCell ref="B65:B68"/>
    <mergeCell ref="B7:B17"/>
    <mergeCell ref="B18:B34"/>
    <mergeCell ref="C18:C34"/>
    <mergeCell ref="E18:E34"/>
    <mergeCell ref="F18:F34"/>
    <mergeCell ref="B37:B55"/>
    <mergeCell ref="C59:C6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outlineLevelCol="1"/>
  <cols>
    <col collapsed="1" customWidth="1" min="1" max="1" width="4.43"/>
    <col customWidth="1" hidden="1" min="2" max="2" width="30.14" outlineLevel="1"/>
    <col collapsed="1" customWidth="1" min="3" max="3" width="23.0"/>
    <col customWidth="1" hidden="1" min="4" max="4" width="54.43" outlineLevel="1"/>
    <col customWidth="1" min="5" max="5" width="30.14"/>
    <col customWidth="1" min="6" max="6" width="26.43"/>
    <col customWidth="1" min="7" max="7" width="40.57"/>
    <col collapsed="1" customWidth="1" min="8" max="8" width="28.71"/>
    <col customWidth="1" hidden="1" min="9" max="9" width="18.71" outlineLevel="1"/>
    <col customWidth="1" hidden="1" min="10" max="10" width="23.57" outlineLevel="1"/>
    <col customWidth="1" hidden="1" min="11" max="11" width="7.86" outlineLevel="1"/>
    <col customWidth="1" min="12" max="12" width="25.57"/>
    <col customWidth="1" min="13" max="16" width="8.71" outlineLevel="1"/>
    <col customWidth="1" min="17" max="20" width="8.71"/>
    <col customWidth="1" min="21" max="21" width="56.86"/>
    <col customWidth="1" min="22" max="22" width="34.86"/>
    <col customWidth="1" min="23" max="23" width="28.71"/>
  </cols>
  <sheetData>
    <row r="1">
      <c r="A1" s="22" t="s">
        <v>47</v>
      </c>
      <c r="B1" s="22" t="s">
        <v>241</v>
      </c>
      <c r="C1" s="22" t="s">
        <v>49</v>
      </c>
      <c r="D1" s="22" t="s">
        <v>50</v>
      </c>
      <c r="E1" s="23" t="s">
        <v>242</v>
      </c>
      <c r="F1" s="23" t="s">
        <v>49</v>
      </c>
      <c r="G1" s="23" t="s">
        <v>50</v>
      </c>
      <c r="H1" s="22" t="s">
        <v>243</v>
      </c>
      <c r="I1" s="84" t="s">
        <v>244</v>
      </c>
      <c r="J1" s="85" t="s">
        <v>25</v>
      </c>
      <c r="K1" s="84" t="s">
        <v>245</v>
      </c>
      <c r="L1" s="84" t="s">
        <v>246</v>
      </c>
      <c r="M1" s="24" t="s">
        <v>52</v>
      </c>
      <c r="N1" s="8"/>
      <c r="O1" s="8"/>
      <c r="P1" s="9"/>
      <c r="Q1" s="86" t="s">
        <v>53</v>
      </c>
      <c r="R1" s="8"/>
      <c r="S1" s="8"/>
      <c r="T1" s="9"/>
      <c r="U1" s="22" t="s">
        <v>54</v>
      </c>
      <c r="V1" s="22" t="s">
        <v>55</v>
      </c>
      <c r="W1" s="22" t="s">
        <v>56</v>
      </c>
    </row>
    <row r="2">
      <c r="A2" s="21"/>
      <c r="B2" s="21"/>
      <c r="C2" s="21"/>
      <c r="D2" s="21"/>
      <c r="E2" s="21"/>
      <c r="F2" s="21"/>
      <c r="G2" s="21"/>
      <c r="H2" s="21"/>
      <c r="I2" s="87"/>
      <c r="J2" s="88"/>
      <c r="K2" s="87"/>
      <c r="L2" s="87"/>
      <c r="M2" s="89" t="s">
        <v>57</v>
      </c>
      <c r="N2" s="90" t="s">
        <v>58</v>
      </c>
      <c r="O2" s="90" t="s">
        <v>59</v>
      </c>
      <c r="P2" s="89" t="s">
        <v>60</v>
      </c>
      <c r="Q2" s="89" t="s">
        <v>57</v>
      </c>
      <c r="R2" s="90" t="s">
        <v>58</v>
      </c>
      <c r="S2" s="89" t="s">
        <v>59</v>
      </c>
      <c r="T2" s="89" t="s">
        <v>60</v>
      </c>
      <c r="U2" s="21"/>
      <c r="V2" s="21"/>
      <c r="W2" s="21"/>
    </row>
    <row r="3">
      <c r="A3" s="28">
        <f t="shared" ref="A3:A137" si="1">ROW()-2</f>
        <v>1</v>
      </c>
      <c r="B3" s="59" t="str">
        <f>'参照_各種特典'!C12&amp;"
"&amp;'参照_各種特典'!D12</f>
        <v>早期前半特典
Early Clear Bonus Gold</v>
      </c>
      <c r="C3" s="91" t="s">
        <v>247</v>
      </c>
      <c r="D3" s="37" t="s">
        <v>248</v>
      </c>
      <c r="E3" s="59" t="str">
        <f>'参照_各種特典'!C12&amp;"
"&amp;'参照_各種特典'!D12</f>
        <v>早期前半特典
Early Clear Bonus Gold</v>
      </c>
      <c r="F3" s="91" t="s">
        <v>249</v>
      </c>
      <c r="G3" s="49" t="s">
        <v>250</v>
      </c>
      <c r="H3" s="49">
        <f>'参照_各種特典'!I12</f>
        <v>46074.70833</v>
      </c>
      <c r="I3" s="34" t="s">
        <v>251</v>
      </c>
      <c r="J3" s="92" t="s">
        <v>252</v>
      </c>
      <c r="K3" s="34">
        <v>6.0</v>
      </c>
      <c r="L3" s="93">
        <f t="shared" ref="L3:L63" si="2">IF(ISTEXT(I3:I137),
VLOOKUP(J3:J137,INDIRECT(I3:I137),K3:K137,0),
)</f>
        <v>46074.70833</v>
      </c>
      <c r="M3" s="34" t="s">
        <v>67</v>
      </c>
      <c r="N3" s="34" t="s">
        <v>68</v>
      </c>
      <c r="O3" s="34" t="s">
        <v>69</v>
      </c>
      <c r="P3" s="35">
        <v>46062.0</v>
      </c>
      <c r="Q3" s="36"/>
      <c r="R3" s="36"/>
      <c r="S3" s="36"/>
      <c r="T3" s="36"/>
      <c r="U3" s="37"/>
      <c r="V3" s="37"/>
      <c r="W3" s="37"/>
    </row>
    <row r="4">
      <c r="A4" s="28">
        <f t="shared" si="1"/>
        <v>2</v>
      </c>
      <c r="B4" s="20"/>
      <c r="C4" s="20"/>
      <c r="D4" s="37" t="s">
        <v>253</v>
      </c>
      <c r="E4" s="20"/>
      <c r="F4" s="20"/>
      <c r="G4" s="49" t="s">
        <v>254</v>
      </c>
      <c r="H4" s="49">
        <f>'参照_各種特典'!J12</f>
        <v>46075.95833</v>
      </c>
      <c r="I4" s="34" t="s">
        <v>251</v>
      </c>
      <c r="J4" s="92" t="s">
        <v>252</v>
      </c>
      <c r="K4" s="34">
        <v>7.0</v>
      </c>
      <c r="L4" s="93">
        <f t="shared" si="2"/>
        <v>46075.95833</v>
      </c>
      <c r="M4" s="35" t="s">
        <v>67</v>
      </c>
      <c r="N4" s="35" t="s">
        <v>68</v>
      </c>
      <c r="O4" s="35" t="s">
        <v>69</v>
      </c>
      <c r="P4" s="35">
        <v>46062.0</v>
      </c>
      <c r="Q4" s="36"/>
      <c r="R4" s="36"/>
      <c r="S4" s="36"/>
      <c r="T4" s="36"/>
      <c r="U4" s="47"/>
      <c r="V4" s="47"/>
      <c r="W4" s="40"/>
    </row>
    <row r="5">
      <c r="A5" s="28">
        <f t="shared" si="1"/>
        <v>3</v>
      </c>
      <c r="B5" s="20"/>
      <c r="C5" s="21"/>
      <c r="D5" s="37" t="s">
        <v>255</v>
      </c>
      <c r="E5" s="20"/>
      <c r="F5" s="21"/>
      <c r="G5" s="49" t="s">
        <v>256</v>
      </c>
      <c r="H5" s="37" t="str">
        <f>'参照_各種特典'!F12</f>
        <v>Blue Anemone Hair Clip</v>
      </c>
      <c r="I5" s="34" t="s">
        <v>257</v>
      </c>
      <c r="J5" s="92" t="s">
        <v>252</v>
      </c>
      <c r="K5" s="34">
        <v>6.0</v>
      </c>
      <c r="L5" s="94" t="str">
        <f t="shared" si="2"/>
        <v>Blue Anemone Hair Clip</v>
      </c>
      <c r="M5" s="35" t="s">
        <v>67</v>
      </c>
      <c r="N5" s="35" t="s">
        <v>68</v>
      </c>
      <c r="O5" s="35" t="s">
        <v>69</v>
      </c>
      <c r="P5" s="35">
        <v>46063.0</v>
      </c>
      <c r="Q5" s="36"/>
      <c r="R5" s="36"/>
      <c r="S5" s="36"/>
      <c r="T5" s="36"/>
      <c r="U5" s="95" t="s">
        <v>258</v>
      </c>
      <c r="V5" s="95" t="s">
        <v>259</v>
      </c>
      <c r="W5" s="40"/>
    </row>
    <row r="6">
      <c r="A6" s="28">
        <f t="shared" si="1"/>
        <v>4</v>
      </c>
      <c r="B6" s="20"/>
      <c r="C6" s="96" t="s">
        <v>260</v>
      </c>
      <c r="D6" s="37" t="s">
        <v>261</v>
      </c>
      <c r="E6" s="20"/>
      <c r="F6" s="96" t="s">
        <v>262</v>
      </c>
      <c r="G6" s="49" t="s">
        <v>263</v>
      </c>
      <c r="H6" s="37">
        <v>140.0</v>
      </c>
      <c r="I6" s="34" t="s">
        <v>251</v>
      </c>
      <c r="J6" s="92" t="s">
        <v>252</v>
      </c>
      <c r="K6" s="34">
        <v>9.0</v>
      </c>
      <c r="L6" s="94">
        <f t="shared" si="2"/>
        <v>140</v>
      </c>
      <c r="M6" s="35" t="s">
        <v>67</v>
      </c>
      <c r="N6" s="35" t="s">
        <v>68</v>
      </c>
      <c r="O6" s="35" t="s">
        <v>69</v>
      </c>
      <c r="P6" s="35">
        <v>46062.0</v>
      </c>
      <c r="Q6" s="36"/>
      <c r="R6" s="36"/>
      <c r="S6" s="36"/>
      <c r="T6" s="36"/>
      <c r="U6" s="95" t="s">
        <v>264</v>
      </c>
      <c r="V6" s="47"/>
      <c r="W6" s="40"/>
    </row>
    <row r="7">
      <c r="A7" s="28">
        <f t="shared" si="1"/>
        <v>5</v>
      </c>
      <c r="B7" s="20"/>
      <c r="C7" s="62" t="s">
        <v>72</v>
      </c>
      <c r="D7" s="37" t="s">
        <v>265</v>
      </c>
      <c r="E7" s="20"/>
      <c r="F7" s="62" t="s">
        <v>74</v>
      </c>
      <c r="G7" s="49" t="s">
        <v>266</v>
      </c>
      <c r="H7" s="37" t="str">
        <f>'参照_各種特典'!G13</f>
        <v>Collect 140 Hearts by 2/22 11:00 PM　PST for this!</v>
      </c>
      <c r="I7" s="34" t="s">
        <v>251</v>
      </c>
      <c r="J7" s="92" t="s">
        <v>252</v>
      </c>
      <c r="K7" s="34">
        <v>5.0</v>
      </c>
      <c r="L7" s="94" t="str">
        <f t="shared" si="2"/>
        <v>Collect 140 Hearts by 2/22 11:00 PM PST for this!</v>
      </c>
      <c r="M7" s="97" t="s">
        <v>67</v>
      </c>
      <c r="N7" s="97" t="s">
        <v>68</v>
      </c>
      <c r="O7" s="97" t="s">
        <v>69</v>
      </c>
      <c r="P7" s="98">
        <v>46064.0</v>
      </c>
      <c r="Q7" s="36"/>
      <c r="R7" s="36"/>
      <c r="S7" s="36"/>
      <c r="T7" s="36"/>
      <c r="U7" s="47"/>
      <c r="V7" s="99" t="s">
        <v>267</v>
      </c>
      <c r="W7" s="40"/>
    </row>
    <row r="8">
      <c r="A8" s="28">
        <f t="shared" si="1"/>
        <v>6</v>
      </c>
      <c r="B8" s="21"/>
      <c r="C8" s="21"/>
      <c r="D8" s="37" t="s">
        <v>268</v>
      </c>
      <c r="E8" s="21"/>
      <c r="F8" s="21"/>
      <c r="G8" s="49" t="s">
        <v>269</v>
      </c>
      <c r="H8" s="37"/>
      <c r="I8" s="28"/>
      <c r="J8" s="88"/>
      <c r="K8" s="28"/>
      <c r="L8" s="94" t="str">
        <f t="shared" si="2"/>
        <v/>
      </c>
      <c r="M8" s="34" t="s">
        <v>67</v>
      </c>
      <c r="N8" s="34" t="s">
        <v>68</v>
      </c>
      <c r="O8" s="34" t="s">
        <v>69</v>
      </c>
      <c r="P8" s="35">
        <v>46064.0</v>
      </c>
      <c r="Q8" s="34" t="s">
        <v>67</v>
      </c>
      <c r="R8" s="28" t="str">
        <f t="array" ref="R8:T137">IF(Q8:Q137="OK",{"IW","Bill","2/12"},)</f>
        <v>IW</v>
      </c>
      <c r="S8" s="28" t="s">
        <v>69</v>
      </c>
      <c r="T8" s="45" t="s">
        <v>76</v>
      </c>
      <c r="U8" s="47"/>
      <c r="V8" s="47"/>
      <c r="W8" s="40"/>
    </row>
    <row r="9">
      <c r="A9" s="28">
        <f t="shared" si="1"/>
        <v>7</v>
      </c>
      <c r="B9" s="29" t="str">
        <f>'参照_各種特典'!C14&amp;"
"&amp;'参照_各種特典'!D14</f>
        <v>早期後半特典
Early Clear Bonus Silver</v>
      </c>
      <c r="C9" s="91" t="s">
        <v>270</v>
      </c>
      <c r="D9" s="100" t="s">
        <v>248</v>
      </c>
      <c r="E9" s="29" t="str">
        <f>'参照_各種特典'!C14&amp;"
"&amp;'参照_各種特典'!D14</f>
        <v>早期後半特典
Early Clear Bonus Silver</v>
      </c>
      <c r="F9" s="91" t="s">
        <v>271</v>
      </c>
      <c r="G9" s="101" t="s">
        <v>250</v>
      </c>
      <c r="H9" s="33">
        <f>'参照_各種特典'!I14</f>
        <v>46074.70833</v>
      </c>
      <c r="I9" s="34" t="s">
        <v>251</v>
      </c>
      <c r="J9" s="102" t="s">
        <v>272</v>
      </c>
      <c r="K9" s="34">
        <v>6.0</v>
      </c>
      <c r="L9" s="93">
        <f t="shared" si="2"/>
        <v>46074.70833</v>
      </c>
      <c r="M9" s="35" t="s">
        <v>67</v>
      </c>
      <c r="N9" s="35" t="s">
        <v>68</v>
      </c>
      <c r="O9" s="35" t="s">
        <v>69</v>
      </c>
      <c r="P9" s="35">
        <v>46062.0</v>
      </c>
      <c r="Q9" s="36"/>
      <c r="R9" s="36"/>
      <c r="S9" s="36"/>
      <c r="T9" s="36"/>
      <c r="U9" s="47"/>
      <c r="V9" s="47"/>
      <c r="W9" s="40"/>
    </row>
    <row r="10">
      <c r="A10" s="28">
        <f t="shared" si="1"/>
        <v>8</v>
      </c>
      <c r="B10" s="20"/>
      <c r="C10" s="20"/>
      <c r="D10" s="100" t="s">
        <v>253</v>
      </c>
      <c r="E10" s="20"/>
      <c r="F10" s="20"/>
      <c r="G10" s="101" t="s">
        <v>254</v>
      </c>
      <c r="H10" s="33">
        <f>'参照_各種特典'!J14</f>
        <v>46076.95833</v>
      </c>
      <c r="I10" s="34" t="s">
        <v>251</v>
      </c>
      <c r="J10" s="102" t="s">
        <v>272</v>
      </c>
      <c r="K10" s="34">
        <v>7.0</v>
      </c>
      <c r="L10" s="93">
        <f t="shared" si="2"/>
        <v>46076.95833</v>
      </c>
      <c r="M10" s="35" t="s">
        <v>67</v>
      </c>
      <c r="N10" s="35" t="s">
        <v>68</v>
      </c>
      <c r="O10" s="35" t="s">
        <v>69</v>
      </c>
      <c r="P10" s="35">
        <v>46062.0</v>
      </c>
      <c r="Q10" s="36"/>
      <c r="R10" s="36"/>
      <c r="S10" s="36"/>
      <c r="T10" s="36"/>
      <c r="U10" s="47"/>
      <c r="V10" s="47"/>
      <c r="W10" s="40"/>
    </row>
    <row r="11">
      <c r="A11" s="28">
        <f t="shared" si="1"/>
        <v>9</v>
      </c>
      <c r="B11" s="20"/>
      <c r="C11" s="21"/>
      <c r="D11" s="100" t="s">
        <v>255</v>
      </c>
      <c r="E11" s="20"/>
      <c r="F11" s="21"/>
      <c r="G11" s="101" t="s">
        <v>256</v>
      </c>
      <c r="H11" s="31" t="str">
        <f>'参照_各種特典'!F14</f>
        <v>Shining Silver Ash Hair</v>
      </c>
      <c r="I11" s="34" t="s">
        <v>257</v>
      </c>
      <c r="J11" s="102" t="s">
        <v>272</v>
      </c>
      <c r="K11" s="34">
        <v>6.0</v>
      </c>
      <c r="L11" s="94" t="str">
        <f t="shared" si="2"/>
        <v>Shining Silver Ash Hair</v>
      </c>
      <c r="M11" s="35" t="s">
        <v>67</v>
      </c>
      <c r="N11" s="35" t="s">
        <v>68</v>
      </c>
      <c r="O11" s="35" t="s">
        <v>69</v>
      </c>
      <c r="P11" s="35">
        <v>46063.0</v>
      </c>
      <c r="Q11" s="36"/>
      <c r="R11" s="36"/>
      <c r="S11" s="36"/>
      <c r="T11" s="36"/>
      <c r="U11" s="47"/>
      <c r="V11" s="95" t="s">
        <v>259</v>
      </c>
      <c r="W11" s="40"/>
    </row>
    <row r="12">
      <c r="A12" s="28">
        <f t="shared" si="1"/>
        <v>10</v>
      </c>
      <c r="B12" s="20"/>
      <c r="C12" s="96" t="s">
        <v>273</v>
      </c>
      <c r="D12" s="100" t="s">
        <v>261</v>
      </c>
      <c r="E12" s="20"/>
      <c r="F12" s="96" t="s">
        <v>274</v>
      </c>
      <c r="G12" s="101" t="s">
        <v>263</v>
      </c>
      <c r="H12" s="31">
        <v>240.0</v>
      </c>
      <c r="I12" s="34" t="s">
        <v>251</v>
      </c>
      <c r="J12" s="102" t="s">
        <v>272</v>
      </c>
      <c r="K12" s="34">
        <v>9.0</v>
      </c>
      <c r="L12" s="94">
        <f t="shared" si="2"/>
        <v>240</v>
      </c>
      <c r="M12" s="35" t="s">
        <v>67</v>
      </c>
      <c r="N12" s="35" t="s">
        <v>68</v>
      </c>
      <c r="O12" s="35" t="s">
        <v>69</v>
      </c>
      <c r="P12" s="35">
        <v>46062.0</v>
      </c>
      <c r="Q12" s="36"/>
      <c r="R12" s="36"/>
      <c r="S12" s="36"/>
      <c r="T12" s="36"/>
      <c r="U12" s="95" t="s">
        <v>264</v>
      </c>
      <c r="V12" s="47"/>
      <c r="W12" s="40"/>
    </row>
    <row r="13">
      <c r="A13" s="28">
        <f t="shared" si="1"/>
        <v>11</v>
      </c>
      <c r="B13" s="20"/>
      <c r="C13" s="62" t="s">
        <v>72</v>
      </c>
      <c r="D13" s="100" t="s">
        <v>265</v>
      </c>
      <c r="E13" s="20"/>
      <c r="F13" s="62" t="s">
        <v>74</v>
      </c>
      <c r="G13" s="101" t="s">
        <v>266</v>
      </c>
      <c r="H13" s="31" t="str">
        <f>'参照_各種特典'!G15</f>
        <v>Collect 240 Hearts by 2/23 11:00 PM　PST for this!</v>
      </c>
      <c r="I13" s="34" t="s">
        <v>251</v>
      </c>
      <c r="J13" s="102" t="s">
        <v>272</v>
      </c>
      <c r="K13" s="34">
        <v>5.0</v>
      </c>
      <c r="L13" s="94" t="str">
        <f t="shared" si="2"/>
        <v>Collect 240 Hearts by 2/23 11:00 PM PST for this!</v>
      </c>
      <c r="M13" s="97" t="s">
        <v>67</v>
      </c>
      <c r="N13" s="97" t="s">
        <v>68</v>
      </c>
      <c r="O13" s="97" t="s">
        <v>69</v>
      </c>
      <c r="P13" s="98">
        <v>46064.0</v>
      </c>
      <c r="Q13" s="36"/>
      <c r="R13" s="36"/>
      <c r="S13" s="36"/>
      <c r="T13" s="36"/>
      <c r="U13" s="47"/>
      <c r="V13" s="47" t="s">
        <v>267</v>
      </c>
      <c r="W13" s="40"/>
    </row>
    <row r="14">
      <c r="A14" s="28">
        <f t="shared" si="1"/>
        <v>12</v>
      </c>
      <c r="B14" s="21"/>
      <c r="C14" s="21"/>
      <c r="D14" s="100" t="s">
        <v>268</v>
      </c>
      <c r="E14" s="21"/>
      <c r="F14" s="21"/>
      <c r="G14" s="101" t="s">
        <v>269</v>
      </c>
      <c r="H14" s="31"/>
      <c r="I14" s="28"/>
      <c r="J14" s="88"/>
      <c r="K14" s="28"/>
      <c r="L14" s="94" t="str">
        <f t="shared" si="2"/>
        <v/>
      </c>
      <c r="M14" s="34" t="s">
        <v>67</v>
      </c>
      <c r="N14" s="34" t="s">
        <v>68</v>
      </c>
      <c r="O14" s="34" t="s">
        <v>69</v>
      </c>
      <c r="P14" s="35">
        <v>46064.0</v>
      </c>
      <c r="Q14" s="34" t="s">
        <v>67</v>
      </c>
      <c r="R14" s="28" t="s">
        <v>68</v>
      </c>
      <c r="S14" s="28" t="s">
        <v>69</v>
      </c>
      <c r="T14" s="45" t="s">
        <v>76</v>
      </c>
      <c r="U14" s="47"/>
      <c r="V14" s="47"/>
      <c r="W14" s="40"/>
    </row>
    <row r="15">
      <c r="A15" s="28">
        <f t="shared" si="1"/>
        <v>13</v>
      </c>
      <c r="B15" s="59" t="str">
        <f>'参照_各種特典'!C16&amp;"
"&amp;'参照_各種特典'!D16</f>
        <v>早期～演技派な彼編～特典
Early Clear Bonus Mystic Matrimony ~My Fated Bride~</v>
      </c>
      <c r="C15" s="91" t="s">
        <v>270</v>
      </c>
      <c r="D15" s="103" t="s">
        <v>248</v>
      </c>
      <c r="E15" s="59" t="str">
        <f>'参照_各種特典'!C16&amp;"
"&amp;'参照_各種特典'!D16</f>
        <v>早期～演技派な彼編～特典
Early Clear Bonus Mystic Matrimony ~My Fated Bride~</v>
      </c>
      <c r="F15" s="91" t="s">
        <v>271</v>
      </c>
      <c r="G15" s="104" t="s">
        <v>250</v>
      </c>
      <c r="H15" s="49">
        <f>'参照_各種特典'!I16</f>
        <v>46074.70833</v>
      </c>
      <c r="I15" s="34" t="s">
        <v>251</v>
      </c>
      <c r="J15" s="102" t="s">
        <v>275</v>
      </c>
      <c r="K15" s="34">
        <v>6.0</v>
      </c>
      <c r="L15" s="93">
        <f t="shared" si="2"/>
        <v>46074.70833</v>
      </c>
      <c r="M15" s="35" t="s">
        <v>67</v>
      </c>
      <c r="N15" s="35" t="s">
        <v>68</v>
      </c>
      <c r="O15" s="35" t="s">
        <v>69</v>
      </c>
      <c r="P15" s="35">
        <v>46062.0</v>
      </c>
      <c r="Q15" s="36"/>
      <c r="R15" s="36"/>
      <c r="S15" s="36"/>
      <c r="T15" s="36"/>
      <c r="U15" s="47"/>
      <c r="V15" s="47"/>
      <c r="W15" s="40"/>
    </row>
    <row r="16">
      <c r="A16" s="28">
        <f t="shared" si="1"/>
        <v>14</v>
      </c>
      <c r="B16" s="20"/>
      <c r="C16" s="20"/>
      <c r="D16" s="103" t="s">
        <v>253</v>
      </c>
      <c r="E16" s="20"/>
      <c r="F16" s="20"/>
      <c r="G16" s="104" t="s">
        <v>254</v>
      </c>
      <c r="H16" s="49">
        <f>'参照_各種特典'!J16</f>
        <v>46077.95833</v>
      </c>
      <c r="I16" s="34" t="s">
        <v>251</v>
      </c>
      <c r="J16" s="102" t="s">
        <v>275</v>
      </c>
      <c r="K16" s="34">
        <v>7.0</v>
      </c>
      <c r="L16" s="93">
        <f t="shared" si="2"/>
        <v>46077.95833</v>
      </c>
      <c r="M16" s="35" t="s">
        <v>67</v>
      </c>
      <c r="N16" s="35" t="s">
        <v>68</v>
      </c>
      <c r="O16" s="35" t="s">
        <v>69</v>
      </c>
      <c r="P16" s="35">
        <v>46063.0</v>
      </c>
      <c r="Q16" s="36"/>
      <c r="R16" s="36"/>
      <c r="S16" s="36"/>
      <c r="T16" s="36"/>
      <c r="U16" s="47"/>
      <c r="V16" s="95" t="s">
        <v>259</v>
      </c>
      <c r="W16" s="40"/>
    </row>
    <row r="17">
      <c r="A17" s="28">
        <f t="shared" si="1"/>
        <v>15</v>
      </c>
      <c r="B17" s="20"/>
      <c r="C17" s="21"/>
      <c r="D17" s="103" t="s">
        <v>255</v>
      </c>
      <c r="E17" s="20"/>
      <c r="F17" s="21"/>
      <c r="G17" s="104" t="s">
        <v>256</v>
      </c>
      <c r="H17" s="37" t="str">
        <f>'参照_各種特典'!F16</f>
        <v>Effect: Shiny White Spider Lily</v>
      </c>
      <c r="I17" s="34" t="s">
        <v>257</v>
      </c>
      <c r="J17" s="102" t="s">
        <v>275</v>
      </c>
      <c r="K17" s="34">
        <v>6.0</v>
      </c>
      <c r="L17" s="94" t="str">
        <f t="shared" si="2"/>
        <v>Effect: Shiny White Spider Lily</v>
      </c>
      <c r="M17" s="35" t="s">
        <v>67</v>
      </c>
      <c r="N17" s="35" t="s">
        <v>68</v>
      </c>
      <c r="O17" s="35" t="s">
        <v>69</v>
      </c>
      <c r="P17" s="35">
        <v>46063.0</v>
      </c>
      <c r="Q17" s="36"/>
      <c r="R17" s="36"/>
      <c r="S17" s="36"/>
      <c r="T17" s="36"/>
      <c r="U17" s="47"/>
      <c r="V17" s="95" t="s">
        <v>259</v>
      </c>
      <c r="W17" s="40"/>
    </row>
    <row r="18">
      <c r="A18" s="28">
        <f t="shared" si="1"/>
        <v>16</v>
      </c>
      <c r="B18" s="20"/>
      <c r="C18" s="96" t="s">
        <v>276</v>
      </c>
      <c r="D18" s="103" t="s">
        <v>261</v>
      </c>
      <c r="E18" s="20"/>
      <c r="F18" s="96" t="s">
        <v>277</v>
      </c>
      <c r="G18" s="104" t="s">
        <v>263</v>
      </c>
      <c r="H18" s="37">
        <v>400.0</v>
      </c>
      <c r="I18" s="34" t="s">
        <v>251</v>
      </c>
      <c r="J18" s="102" t="s">
        <v>275</v>
      </c>
      <c r="K18" s="34">
        <v>9.0</v>
      </c>
      <c r="L18" s="94">
        <f t="shared" si="2"/>
        <v>400</v>
      </c>
      <c r="M18" s="35" t="s">
        <v>67</v>
      </c>
      <c r="N18" s="35" t="s">
        <v>68</v>
      </c>
      <c r="O18" s="35" t="s">
        <v>69</v>
      </c>
      <c r="P18" s="35">
        <v>46062.0</v>
      </c>
      <c r="Q18" s="36"/>
      <c r="R18" s="36"/>
      <c r="S18" s="36"/>
      <c r="T18" s="36"/>
      <c r="U18" s="95" t="s">
        <v>264</v>
      </c>
      <c r="V18" s="47"/>
      <c r="W18" s="40"/>
    </row>
    <row r="19">
      <c r="A19" s="28">
        <f t="shared" si="1"/>
        <v>17</v>
      </c>
      <c r="B19" s="20"/>
      <c r="C19" s="62" t="s">
        <v>72</v>
      </c>
      <c r="D19" s="103" t="s">
        <v>265</v>
      </c>
      <c r="E19" s="20"/>
      <c r="F19" s="62" t="s">
        <v>74</v>
      </c>
      <c r="G19" s="104" t="s">
        <v>266</v>
      </c>
      <c r="H19" s="37" t="str">
        <f>'参照_各種特典'!G17</f>
        <v>Collect 400 Hearts by 2/24 11:00 PM　PST for this!</v>
      </c>
      <c r="I19" s="34" t="s">
        <v>251</v>
      </c>
      <c r="J19" s="102" t="s">
        <v>275</v>
      </c>
      <c r="K19" s="34">
        <v>5.0</v>
      </c>
      <c r="L19" s="94" t="str">
        <f t="shared" si="2"/>
        <v>Collect 400 Hearts by 2/24 11:00 PM PST for this!</v>
      </c>
      <c r="M19" s="97" t="s">
        <v>67</v>
      </c>
      <c r="N19" s="97" t="s">
        <v>68</v>
      </c>
      <c r="O19" s="97" t="s">
        <v>69</v>
      </c>
      <c r="P19" s="98">
        <v>46064.0</v>
      </c>
      <c r="Q19" s="36"/>
      <c r="R19" s="36"/>
      <c r="S19" s="36"/>
      <c r="T19" s="36"/>
      <c r="U19" s="47"/>
      <c r="V19" s="47" t="s">
        <v>267</v>
      </c>
      <c r="W19" s="40"/>
    </row>
    <row r="20">
      <c r="A20" s="28">
        <f t="shared" si="1"/>
        <v>18</v>
      </c>
      <c r="B20" s="21"/>
      <c r="C20" s="21"/>
      <c r="D20" s="103" t="s">
        <v>268</v>
      </c>
      <c r="E20" s="21"/>
      <c r="F20" s="21"/>
      <c r="G20" s="104" t="s">
        <v>269</v>
      </c>
      <c r="H20" s="37"/>
      <c r="I20" s="28"/>
      <c r="J20" s="88"/>
      <c r="K20" s="28"/>
      <c r="L20" s="94" t="str">
        <f t="shared" si="2"/>
        <v/>
      </c>
      <c r="M20" s="34" t="s">
        <v>67</v>
      </c>
      <c r="N20" s="34" t="s">
        <v>68</v>
      </c>
      <c r="O20" s="34" t="s">
        <v>69</v>
      </c>
      <c r="P20" s="35">
        <v>46064.0</v>
      </c>
      <c r="Q20" s="34" t="s">
        <v>67</v>
      </c>
      <c r="R20" s="28" t="s">
        <v>68</v>
      </c>
      <c r="S20" s="28" t="s">
        <v>69</v>
      </c>
      <c r="T20" s="45" t="s">
        <v>76</v>
      </c>
      <c r="U20" s="47"/>
      <c r="V20" s="47"/>
      <c r="W20" s="47"/>
    </row>
    <row r="21">
      <c r="A21" s="28">
        <f t="shared" si="1"/>
        <v>19</v>
      </c>
      <c r="B21" s="29" t="str">
        <f>'参照_各種特典'!C18&amp;"
"&amp;'参照_各種特典'!D18</f>
        <v>早期全コレクション特典
Early Clear Bonus Platinum </v>
      </c>
      <c r="C21" s="91" t="s">
        <v>270</v>
      </c>
      <c r="D21" s="100" t="s">
        <v>248</v>
      </c>
      <c r="E21" s="29" t="str">
        <f>'参照_各種特典'!C18&amp;"
"&amp;'参照_各種特典'!D18</f>
        <v>早期全コレクション特典
Early Clear Bonus Platinum </v>
      </c>
      <c r="F21" s="91" t="s">
        <v>271</v>
      </c>
      <c r="G21" s="101" t="s">
        <v>250</v>
      </c>
      <c r="H21" s="33">
        <f>'参照_各種特典'!I18</f>
        <v>46074.70833</v>
      </c>
      <c r="I21" s="34" t="s">
        <v>251</v>
      </c>
      <c r="J21" s="102" t="s">
        <v>278</v>
      </c>
      <c r="K21" s="34">
        <v>6.0</v>
      </c>
      <c r="L21" s="93">
        <f t="shared" si="2"/>
        <v>46074.70833</v>
      </c>
      <c r="M21" s="35" t="s">
        <v>67</v>
      </c>
      <c r="N21" s="35" t="s">
        <v>68</v>
      </c>
      <c r="O21" s="35" t="s">
        <v>69</v>
      </c>
      <c r="P21" s="35">
        <v>46062.0</v>
      </c>
      <c r="Q21" s="36"/>
      <c r="R21" s="36"/>
      <c r="S21" s="36"/>
      <c r="T21" s="36"/>
      <c r="U21" s="47"/>
      <c r="V21" s="47"/>
      <c r="W21" s="47"/>
    </row>
    <row r="22">
      <c r="A22" s="28">
        <f t="shared" si="1"/>
        <v>20</v>
      </c>
      <c r="B22" s="20"/>
      <c r="C22" s="20"/>
      <c r="D22" s="100" t="s">
        <v>253</v>
      </c>
      <c r="E22" s="20"/>
      <c r="F22" s="20"/>
      <c r="G22" s="101" t="s">
        <v>254</v>
      </c>
      <c r="H22" s="33">
        <f>'参照_各種特典'!J18</f>
        <v>46078.95833</v>
      </c>
      <c r="I22" s="34" t="s">
        <v>251</v>
      </c>
      <c r="J22" s="102" t="s">
        <v>278</v>
      </c>
      <c r="K22" s="34">
        <v>7.0</v>
      </c>
      <c r="L22" s="93">
        <f t="shared" si="2"/>
        <v>46078.95833</v>
      </c>
      <c r="M22" s="35" t="s">
        <v>67</v>
      </c>
      <c r="N22" s="35" t="s">
        <v>68</v>
      </c>
      <c r="O22" s="35" t="s">
        <v>69</v>
      </c>
      <c r="P22" s="35">
        <v>46063.0</v>
      </c>
      <c r="Q22" s="36"/>
      <c r="R22" s="36"/>
      <c r="S22" s="36"/>
      <c r="T22" s="36"/>
      <c r="U22" s="47"/>
      <c r="V22" s="95" t="s">
        <v>259</v>
      </c>
      <c r="W22" s="47"/>
    </row>
    <row r="23">
      <c r="A23" s="28">
        <f t="shared" si="1"/>
        <v>21</v>
      </c>
      <c r="B23" s="20"/>
      <c r="C23" s="21"/>
      <c r="D23" s="100" t="s">
        <v>255</v>
      </c>
      <c r="E23" s="20"/>
      <c r="F23" s="21"/>
      <c r="G23" s="101" t="s">
        <v>256</v>
      </c>
      <c r="H23" s="31" t="str">
        <f>'参照_各種特典'!F18</f>
        <v>The Forest Where Spirits Dwell</v>
      </c>
      <c r="I23" s="34" t="s">
        <v>257</v>
      </c>
      <c r="J23" s="102" t="s">
        <v>278</v>
      </c>
      <c r="K23" s="34">
        <v>6.0</v>
      </c>
      <c r="L23" s="94" t="str">
        <f t="shared" si="2"/>
        <v>The Forest Where Spirits Dwell</v>
      </c>
      <c r="M23" s="35" t="s">
        <v>67</v>
      </c>
      <c r="N23" s="35" t="s">
        <v>68</v>
      </c>
      <c r="O23" s="35" t="s">
        <v>69</v>
      </c>
      <c r="P23" s="35">
        <v>46063.0</v>
      </c>
      <c r="Q23" s="36"/>
      <c r="R23" s="36"/>
      <c r="S23" s="36"/>
      <c r="T23" s="36"/>
      <c r="U23" s="47"/>
      <c r="V23" s="95" t="s">
        <v>259</v>
      </c>
      <c r="W23" s="47"/>
    </row>
    <row r="24">
      <c r="A24" s="28">
        <f t="shared" si="1"/>
        <v>22</v>
      </c>
      <c r="B24" s="20"/>
      <c r="C24" s="96" t="s">
        <v>279</v>
      </c>
      <c r="D24" s="100" t="s">
        <v>261</v>
      </c>
      <c r="E24" s="20"/>
      <c r="F24" s="96" t="s">
        <v>280</v>
      </c>
      <c r="G24" s="101" t="s">
        <v>263</v>
      </c>
      <c r="H24" s="31">
        <v>560.0</v>
      </c>
      <c r="I24" s="34" t="s">
        <v>251</v>
      </c>
      <c r="J24" s="102" t="s">
        <v>278</v>
      </c>
      <c r="K24" s="34">
        <v>9.0</v>
      </c>
      <c r="L24" s="94">
        <f t="shared" si="2"/>
        <v>560</v>
      </c>
      <c r="M24" s="35" t="s">
        <v>67</v>
      </c>
      <c r="N24" s="35" t="s">
        <v>68</v>
      </c>
      <c r="O24" s="35" t="s">
        <v>69</v>
      </c>
      <c r="P24" s="35">
        <v>46062.0</v>
      </c>
      <c r="Q24" s="36"/>
      <c r="R24" s="36"/>
      <c r="S24" s="36"/>
      <c r="T24" s="36"/>
      <c r="U24" s="95" t="s">
        <v>264</v>
      </c>
      <c r="V24" s="47"/>
      <c r="W24" s="47"/>
    </row>
    <row r="25">
      <c r="A25" s="28">
        <f t="shared" si="1"/>
        <v>23</v>
      </c>
      <c r="B25" s="20"/>
      <c r="C25" s="62" t="s">
        <v>72</v>
      </c>
      <c r="D25" s="100" t="s">
        <v>265</v>
      </c>
      <c r="E25" s="20"/>
      <c r="F25" s="62" t="s">
        <v>74</v>
      </c>
      <c r="G25" s="101" t="s">
        <v>266</v>
      </c>
      <c r="H25" s="31" t="str">
        <f>'参照_各種特典'!G19</f>
        <v>Collect 560 Hearts by 2/25 11:00 PM　PST for this!</v>
      </c>
      <c r="I25" s="34" t="s">
        <v>251</v>
      </c>
      <c r="J25" s="102" t="s">
        <v>278</v>
      </c>
      <c r="K25" s="34">
        <v>5.0</v>
      </c>
      <c r="L25" s="94" t="str">
        <f t="shared" si="2"/>
        <v>Collect 560 Hearts by 2/25 11:00 PM PST for this!</v>
      </c>
      <c r="M25" s="97" t="s">
        <v>67</v>
      </c>
      <c r="N25" s="97" t="s">
        <v>68</v>
      </c>
      <c r="O25" s="97" t="s">
        <v>69</v>
      </c>
      <c r="P25" s="98">
        <v>46064.0</v>
      </c>
      <c r="Q25" s="36"/>
      <c r="R25" s="36"/>
      <c r="S25" s="36"/>
      <c r="T25" s="36"/>
      <c r="U25" s="47"/>
      <c r="V25" s="47" t="s">
        <v>259</v>
      </c>
      <c r="W25" s="40"/>
    </row>
    <row r="26">
      <c r="A26" s="28">
        <f t="shared" si="1"/>
        <v>24</v>
      </c>
      <c r="B26" s="21"/>
      <c r="C26" s="21"/>
      <c r="D26" s="100" t="s">
        <v>268</v>
      </c>
      <c r="E26" s="21"/>
      <c r="F26" s="21"/>
      <c r="G26" s="101" t="s">
        <v>269</v>
      </c>
      <c r="H26" s="31"/>
      <c r="I26" s="28"/>
      <c r="J26" s="105"/>
      <c r="K26" s="28"/>
      <c r="L26" s="94" t="str">
        <f t="shared" si="2"/>
        <v/>
      </c>
      <c r="M26" s="34" t="s">
        <v>67</v>
      </c>
      <c r="N26" s="34" t="s">
        <v>68</v>
      </c>
      <c r="O26" s="34" t="s">
        <v>69</v>
      </c>
      <c r="P26" s="35">
        <v>46064.0</v>
      </c>
      <c r="Q26" s="34" t="s">
        <v>67</v>
      </c>
      <c r="R26" s="28" t="s">
        <v>68</v>
      </c>
      <c r="S26" s="28" t="s">
        <v>69</v>
      </c>
      <c r="T26" s="45" t="s">
        <v>76</v>
      </c>
      <c r="U26" s="47"/>
      <c r="V26" s="47"/>
      <c r="W26" s="47"/>
    </row>
    <row r="27">
      <c r="A27" s="28">
        <f t="shared" si="1"/>
        <v>25</v>
      </c>
      <c r="B27" s="59" t="s">
        <v>281</v>
      </c>
      <c r="C27" s="62" t="s">
        <v>72</v>
      </c>
      <c r="D27" s="103" t="s">
        <v>282</v>
      </c>
      <c r="E27" s="106" t="s">
        <v>283</v>
      </c>
      <c r="F27" s="62" t="s">
        <v>74</v>
      </c>
      <c r="G27" s="104" t="s">
        <v>256</v>
      </c>
      <c r="H27" s="59" t="str">
        <f>'参照_仕様'!C11</f>
        <v>Mystic Matrimony Bonus Story ～Masamune～</v>
      </c>
      <c r="I27" s="34" t="s">
        <v>284</v>
      </c>
      <c r="J27" s="107">
        <v>6314.0</v>
      </c>
      <c r="K27" s="34">
        <v>2.0</v>
      </c>
      <c r="L27" s="94" t="str">
        <f t="shared" si="2"/>
        <v>Mystic Matrimony Bonus Story ～Masamune～</v>
      </c>
      <c r="M27" s="34" t="s">
        <v>67</v>
      </c>
      <c r="N27" s="34" t="s">
        <v>68</v>
      </c>
      <c r="O27" s="34" t="s">
        <v>69</v>
      </c>
      <c r="P27" s="35">
        <v>46062.0</v>
      </c>
      <c r="Q27" s="36"/>
      <c r="R27" s="36"/>
      <c r="S27" s="36"/>
      <c r="T27" s="36"/>
      <c r="U27" s="47"/>
      <c r="V27" s="47"/>
      <c r="W27" s="47"/>
    </row>
    <row r="28">
      <c r="A28" s="28">
        <f t="shared" si="1"/>
        <v>26</v>
      </c>
      <c r="B28" s="20"/>
      <c r="C28" s="20"/>
      <c r="D28" s="103" t="s">
        <v>285</v>
      </c>
      <c r="E28" s="20"/>
      <c r="F28" s="20"/>
      <c r="G28" s="104" t="s">
        <v>286</v>
      </c>
      <c r="H28" s="20"/>
      <c r="I28" s="28"/>
      <c r="J28" s="105"/>
      <c r="K28" s="28"/>
      <c r="L28" s="94" t="str">
        <f t="shared" si="2"/>
        <v/>
      </c>
      <c r="M28" s="34" t="s">
        <v>67</v>
      </c>
      <c r="N28" s="34" t="s">
        <v>68</v>
      </c>
      <c r="O28" s="34" t="s">
        <v>69</v>
      </c>
      <c r="P28" s="35">
        <v>46064.0</v>
      </c>
      <c r="Q28" s="34" t="s">
        <v>67</v>
      </c>
      <c r="R28" s="28" t="s">
        <v>68</v>
      </c>
      <c r="S28" s="28" t="s">
        <v>69</v>
      </c>
      <c r="T28" s="45" t="s">
        <v>76</v>
      </c>
      <c r="U28" s="47"/>
      <c r="V28" s="47"/>
      <c r="W28" s="47"/>
    </row>
    <row r="29">
      <c r="A29" s="28">
        <f t="shared" si="1"/>
        <v>27</v>
      </c>
      <c r="B29" s="20"/>
      <c r="C29" s="21"/>
      <c r="D29" s="103" t="s">
        <v>268</v>
      </c>
      <c r="E29" s="20"/>
      <c r="F29" s="21"/>
      <c r="G29" s="104" t="s">
        <v>269</v>
      </c>
      <c r="H29" s="21"/>
      <c r="I29" s="28"/>
      <c r="J29" s="105"/>
      <c r="K29" s="28"/>
      <c r="L29" s="94" t="str">
        <f t="shared" si="2"/>
        <v/>
      </c>
      <c r="M29" s="34" t="s">
        <v>67</v>
      </c>
      <c r="N29" s="34" t="s">
        <v>68</v>
      </c>
      <c r="O29" s="34" t="s">
        <v>69</v>
      </c>
      <c r="P29" s="35">
        <v>46064.0</v>
      </c>
      <c r="Q29" s="34" t="s">
        <v>67</v>
      </c>
      <c r="R29" s="28" t="s">
        <v>68</v>
      </c>
      <c r="S29" s="28" t="s">
        <v>69</v>
      </c>
      <c r="T29" s="45" t="s">
        <v>76</v>
      </c>
      <c r="U29" s="47"/>
      <c r="V29" s="47"/>
      <c r="W29" s="47"/>
    </row>
    <row r="30">
      <c r="A30" s="28">
        <f t="shared" si="1"/>
        <v>28</v>
      </c>
      <c r="B30" s="20"/>
      <c r="C30" s="62" t="s">
        <v>72</v>
      </c>
      <c r="D30" s="100" t="s">
        <v>282</v>
      </c>
      <c r="E30" s="20"/>
      <c r="F30" s="62" t="s">
        <v>74</v>
      </c>
      <c r="G30" s="101" t="s">
        <v>256</v>
      </c>
      <c r="H30" s="29" t="str">
        <f>'参照_仕様'!C12</f>
        <v>Mystic Matrimony Bonus Story ～Nobunaga～</v>
      </c>
      <c r="I30" s="34" t="s">
        <v>284</v>
      </c>
      <c r="J30" s="107">
        <v>6315.0</v>
      </c>
      <c r="K30" s="34">
        <v>2.0</v>
      </c>
      <c r="L30" s="94" t="str">
        <f t="shared" si="2"/>
        <v>Mystic Matrimony Bonus Story ～Nobunaga～</v>
      </c>
      <c r="M30" s="34" t="s">
        <v>67</v>
      </c>
      <c r="N30" s="34" t="s">
        <v>68</v>
      </c>
      <c r="O30" s="34" t="s">
        <v>69</v>
      </c>
      <c r="P30" s="35">
        <v>46062.0</v>
      </c>
      <c r="Q30" s="36"/>
      <c r="R30" s="36"/>
      <c r="S30" s="36"/>
      <c r="T30" s="36"/>
      <c r="U30" s="47"/>
      <c r="V30" s="47"/>
      <c r="W30" s="47"/>
    </row>
    <row r="31">
      <c r="A31" s="28">
        <f t="shared" si="1"/>
        <v>29</v>
      </c>
      <c r="B31" s="20"/>
      <c r="C31" s="20"/>
      <c r="D31" s="100" t="s">
        <v>285</v>
      </c>
      <c r="E31" s="20"/>
      <c r="F31" s="20"/>
      <c r="G31" s="101" t="s">
        <v>286</v>
      </c>
      <c r="H31" s="20"/>
      <c r="I31" s="28"/>
      <c r="J31" s="105"/>
      <c r="K31" s="28"/>
      <c r="L31" s="94" t="str">
        <f t="shared" si="2"/>
        <v/>
      </c>
      <c r="M31" s="34" t="s">
        <v>67</v>
      </c>
      <c r="N31" s="34" t="s">
        <v>68</v>
      </c>
      <c r="O31" s="34" t="s">
        <v>69</v>
      </c>
      <c r="P31" s="35">
        <v>46064.0</v>
      </c>
      <c r="Q31" s="34" t="s">
        <v>67</v>
      </c>
      <c r="R31" s="28" t="s">
        <v>68</v>
      </c>
      <c r="S31" s="28" t="s">
        <v>69</v>
      </c>
      <c r="T31" s="45" t="s">
        <v>76</v>
      </c>
      <c r="U31" s="47"/>
      <c r="V31" s="47"/>
      <c r="W31" s="47"/>
    </row>
    <row r="32">
      <c r="A32" s="28">
        <f t="shared" si="1"/>
        <v>30</v>
      </c>
      <c r="B32" s="20"/>
      <c r="C32" s="21"/>
      <c r="D32" s="100" t="s">
        <v>268</v>
      </c>
      <c r="E32" s="20"/>
      <c r="F32" s="21"/>
      <c r="G32" s="101" t="s">
        <v>269</v>
      </c>
      <c r="H32" s="21"/>
      <c r="I32" s="28"/>
      <c r="J32" s="105"/>
      <c r="K32" s="28"/>
      <c r="L32" s="94" t="str">
        <f t="shared" si="2"/>
        <v/>
      </c>
      <c r="M32" s="34" t="s">
        <v>67</v>
      </c>
      <c r="N32" s="34" t="s">
        <v>68</v>
      </c>
      <c r="O32" s="34" t="s">
        <v>69</v>
      </c>
      <c r="P32" s="35">
        <v>46064.0</v>
      </c>
      <c r="Q32" s="34" t="s">
        <v>67</v>
      </c>
      <c r="R32" s="28" t="s">
        <v>68</v>
      </c>
      <c r="S32" s="28" t="s">
        <v>69</v>
      </c>
      <c r="T32" s="45" t="s">
        <v>76</v>
      </c>
      <c r="U32" s="47"/>
      <c r="V32" s="47"/>
      <c r="W32" s="40"/>
    </row>
    <row r="33">
      <c r="A33" s="28">
        <f t="shared" si="1"/>
        <v>31</v>
      </c>
      <c r="B33" s="20"/>
      <c r="C33" s="62" t="s">
        <v>72</v>
      </c>
      <c r="D33" s="103" t="s">
        <v>282</v>
      </c>
      <c r="E33" s="20"/>
      <c r="F33" s="62" t="s">
        <v>74</v>
      </c>
      <c r="G33" s="104" t="s">
        <v>256</v>
      </c>
      <c r="H33" s="59" t="str">
        <f>'参照_仕様'!C13</f>
        <v>Mystic Matrimony Bonus Story ～Kanetsugu～</v>
      </c>
      <c r="I33" s="34" t="s">
        <v>284</v>
      </c>
      <c r="J33" s="107">
        <v>6316.0</v>
      </c>
      <c r="K33" s="34">
        <v>2.0</v>
      </c>
      <c r="L33" s="94" t="str">
        <f t="shared" si="2"/>
        <v>Mystic Matrimony Bonus Story ～Kanetsugu～</v>
      </c>
      <c r="M33" s="34" t="s">
        <v>67</v>
      </c>
      <c r="N33" s="34" t="s">
        <v>68</v>
      </c>
      <c r="O33" s="34" t="s">
        <v>69</v>
      </c>
      <c r="P33" s="35">
        <v>46062.0</v>
      </c>
      <c r="Q33" s="36"/>
      <c r="R33" s="36"/>
      <c r="S33" s="36"/>
      <c r="T33" s="36"/>
      <c r="U33" s="47"/>
      <c r="V33" s="47"/>
      <c r="W33" s="40"/>
    </row>
    <row r="34">
      <c r="A34" s="28">
        <f t="shared" si="1"/>
        <v>32</v>
      </c>
      <c r="B34" s="20"/>
      <c r="C34" s="20"/>
      <c r="D34" s="103" t="s">
        <v>285</v>
      </c>
      <c r="E34" s="20"/>
      <c r="F34" s="20"/>
      <c r="G34" s="104" t="s">
        <v>286</v>
      </c>
      <c r="H34" s="20"/>
      <c r="I34" s="28"/>
      <c r="J34" s="105"/>
      <c r="K34" s="28"/>
      <c r="L34" s="94" t="str">
        <f t="shared" si="2"/>
        <v/>
      </c>
      <c r="M34" s="34" t="s">
        <v>67</v>
      </c>
      <c r="N34" s="34" t="s">
        <v>68</v>
      </c>
      <c r="O34" s="34" t="s">
        <v>69</v>
      </c>
      <c r="P34" s="35">
        <v>46064.0</v>
      </c>
      <c r="Q34" s="34" t="s">
        <v>67</v>
      </c>
      <c r="R34" s="28" t="s">
        <v>68</v>
      </c>
      <c r="S34" s="28" t="s">
        <v>69</v>
      </c>
      <c r="T34" s="45" t="s">
        <v>76</v>
      </c>
      <c r="U34" s="47"/>
      <c r="V34" s="47"/>
      <c r="W34" s="40"/>
    </row>
    <row r="35">
      <c r="A35" s="28">
        <f t="shared" si="1"/>
        <v>33</v>
      </c>
      <c r="B35" s="20"/>
      <c r="C35" s="21"/>
      <c r="D35" s="103" t="s">
        <v>268</v>
      </c>
      <c r="E35" s="20"/>
      <c r="F35" s="21"/>
      <c r="G35" s="104" t="s">
        <v>269</v>
      </c>
      <c r="H35" s="21"/>
      <c r="I35" s="28"/>
      <c r="J35" s="105"/>
      <c r="K35" s="28"/>
      <c r="L35" s="94" t="str">
        <f t="shared" si="2"/>
        <v/>
      </c>
      <c r="M35" s="34" t="s">
        <v>67</v>
      </c>
      <c r="N35" s="34" t="s">
        <v>68</v>
      </c>
      <c r="O35" s="34" t="s">
        <v>69</v>
      </c>
      <c r="P35" s="35">
        <v>46064.0</v>
      </c>
      <c r="Q35" s="34" t="s">
        <v>67</v>
      </c>
      <c r="R35" s="28" t="s">
        <v>68</v>
      </c>
      <c r="S35" s="28" t="s">
        <v>69</v>
      </c>
      <c r="T35" s="45" t="s">
        <v>76</v>
      </c>
      <c r="U35" s="47"/>
      <c r="V35" s="47"/>
      <c r="W35" s="40"/>
    </row>
    <row r="36">
      <c r="A36" s="28">
        <f t="shared" si="1"/>
        <v>34</v>
      </c>
      <c r="B36" s="20"/>
      <c r="C36" s="62" t="s">
        <v>72</v>
      </c>
      <c r="D36" s="100" t="s">
        <v>282</v>
      </c>
      <c r="E36" s="20"/>
      <c r="F36" s="62" t="s">
        <v>74</v>
      </c>
      <c r="G36" s="101" t="s">
        <v>256</v>
      </c>
      <c r="H36" s="29" t="str">
        <f>'参照_仕様'!C14</f>
        <v>Mystic Matrimony Bonus Story ～Kicho～</v>
      </c>
      <c r="I36" s="34" t="s">
        <v>284</v>
      </c>
      <c r="J36" s="108">
        <v>6317.0</v>
      </c>
      <c r="K36" s="34">
        <v>2.0</v>
      </c>
      <c r="L36" s="94" t="str">
        <f t="shared" si="2"/>
        <v>Mystic Matrimony Bonus Story ～Kicho～</v>
      </c>
      <c r="M36" s="34" t="s">
        <v>67</v>
      </c>
      <c r="N36" s="34" t="s">
        <v>68</v>
      </c>
      <c r="O36" s="34" t="s">
        <v>69</v>
      </c>
      <c r="P36" s="35">
        <v>46062.0</v>
      </c>
      <c r="Q36" s="36"/>
      <c r="R36" s="36"/>
      <c r="S36" s="36"/>
      <c r="T36" s="36"/>
      <c r="U36" s="47"/>
      <c r="V36" s="47"/>
      <c r="W36" s="40"/>
    </row>
    <row r="37">
      <c r="A37" s="28">
        <f t="shared" si="1"/>
        <v>35</v>
      </c>
      <c r="B37" s="20"/>
      <c r="C37" s="20"/>
      <c r="D37" s="100" t="s">
        <v>285</v>
      </c>
      <c r="E37" s="20"/>
      <c r="F37" s="20"/>
      <c r="G37" s="101" t="s">
        <v>286</v>
      </c>
      <c r="H37" s="20"/>
      <c r="I37" s="28"/>
      <c r="J37" s="105"/>
      <c r="K37" s="28"/>
      <c r="L37" s="94" t="str">
        <f t="shared" si="2"/>
        <v/>
      </c>
      <c r="M37" s="34" t="s">
        <v>67</v>
      </c>
      <c r="N37" s="34" t="s">
        <v>68</v>
      </c>
      <c r="O37" s="34" t="s">
        <v>69</v>
      </c>
      <c r="P37" s="35">
        <v>46064.0</v>
      </c>
      <c r="Q37" s="34" t="s">
        <v>67</v>
      </c>
      <c r="R37" s="28" t="s">
        <v>68</v>
      </c>
      <c r="S37" s="28" t="s">
        <v>69</v>
      </c>
      <c r="T37" s="45" t="s">
        <v>76</v>
      </c>
      <c r="U37" s="47"/>
      <c r="V37" s="47"/>
      <c r="W37" s="40"/>
    </row>
    <row r="38">
      <c r="A38" s="28">
        <f t="shared" si="1"/>
        <v>36</v>
      </c>
      <c r="B38" s="20"/>
      <c r="C38" s="21"/>
      <c r="D38" s="100" t="s">
        <v>268</v>
      </c>
      <c r="E38" s="20"/>
      <c r="F38" s="21"/>
      <c r="G38" s="101" t="s">
        <v>269</v>
      </c>
      <c r="H38" s="21"/>
      <c r="I38" s="28"/>
      <c r="J38" s="105"/>
      <c r="K38" s="28"/>
      <c r="L38" s="94" t="str">
        <f t="shared" si="2"/>
        <v/>
      </c>
      <c r="M38" s="34" t="s">
        <v>67</v>
      </c>
      <c r="N38" s="34" t="s">
        <v>68</v>
      </c>
      <c r="O38" s="34" t="s">
        <v>69</v>
      </c>
      <c r="P38" s="35">
        <v>46064.0</v>
      </c>
      <c r="Q38" s="34" t="s">
        <v>67</v>
      </c>
      <c r="R38" s="28" t="s">
        <v>68</v>
      </c>
      <c r="S38" s="28" t="s">
        <v>69</v>
      </c>
      <c r="T38" s="45" t="s">
        <v>76</v>
      </c>
      <c r="U38" s="47"/>
      <c r="V38" s="47"/>
      <c r="W38" s="40"/>
    </row>
    <row r="39">
      <c r="A39" s="28">
        <f t="shared" si="1"/>
        <v>37</v>
      </c>
      <c r="B39" s="20"/>
      <c r="C39" s="62" t="s">
        <v>72</v>
      </c>
      <c r="D39" s="103" t="s">
        <v>282</v>
      </c>
      <c r="E39" s="20"/>
      <c r="F39" s="62" t="s">
        <v>74</v>
      </c>
      <c r="G39" s="104" t="s">
        <v>256</v>
      </c>
      <c r="H39" s="59" t="str">
        <f>'参照_仕様'!C15</f>
        <v>Mystic Matrimony Bonus Story ～Motonari～</v>
      </c>
      <c r="I39" s="34" t="s">
        <v>284</v>
      </c>
      <c r="J39" s="107">
        <v>6318.0</v>
      </c>
      <c r="K39" s="34">
        <v>2.0</v>
      </c>
      <c r="L39" s="94" t="str">
        <f t="shared" si="2"/>
        <v>Mystic Matrimony Bonus Story ～Motonari～</v>
      </c>
      <c r="M39" s="34" t="s">
        <v>67</v>
      </c>
      <c r="N39" s="34" t="s">
        <v>68</v>
      </c>
      <c r="O39" s="34" t="s">
        <v>69</v>
      </c>
      <c r="P39" s="35">
        <v>46062.0</v>
      </c>
      <c r="Q39" s="36"/>
      <c r="R39" s="36"/>
      <c r="S39" s="36"/>
      <c r="T39" s="36"/>
      <c r="U39" s="47"/>
      <c r="V39" s="47"/>
      <c r="W39" s="40"/>
    </row>
    <row r="40">
      <c r="A40" s="28">
        <f t="shared" si="1"/>
        <v>38</v>
      </c>
      <c r="B40" s="20"/>
      <c r="C40" s="20"/>
      <c r="D40" s="103" t="s">
        <v>285</v>
      </c>
      <c r="E40" s="20"/>
      <c r="F40" s="20"/>
      <c r="G40" s="104" t="s">
        <v>286</v>
      </c>
      <c r="H40" s="20"/>
      <c r="I40" s="28"/>
      <c r="J40" s="105"/>
      <c r="K40" s="28"/>
      <c r="L40" s="94" t="str">
        <f t="shared" si="2"/>
        <v/>
      </c>
      <c r="M40" s="34" t="s">
        <v>67</v>
      </c>
      <c r="N40" s="34" t="s">
        <v>68</v>
      </c>
      <c r="O40" s="34" t="s">
        <v>69</v>
      </c>
      <c r="P40" s="35">
        <v>46064.0</v>
      </c>
      <c r="Q40" s="34" t="s">
        <v>67</v>
      </c>
      <c r="R40" s="28" t="s">
        <v>68</v>
      </c>
      <c r="S40" s="28" t="s">
        <v>69</v>
      </c>
      <c r="T40" s="45" t="s">
        <v>76</v>
      </c>
      <c r="U40" s="47"/>
      <c r="V40" s="47"/>
      <c r="W40" s="40"/>
    </row>
    <row r="41">
      <c r="A41" s="28">
        <f t="shared" si="1"/>
        <v>39</v>
      </c>
      <c r="B41" s="20"/>
      <c r="C41" s="21"/>
      <c r="D41" s="103" t="s">
        <v>268</v>
      </c>
      <c r="E41" s="20"/>
      <c r="F41" s="21"/>
      <c r="G41" s="104" t="s">
        <v>269</v>
      </c>
      <c r="H41" s="21"/>
      <c r="I41" s="28"/>
      <c r="J41" s="105"/>
      <c r="K41" s="28"/>
      <c r="L41" s="94" t="str">
        <f t="shared" si="2"/>
        <v/>
      </c>
      <c r="M41" s="34" t="s">
        <v>67</v>
      </c>
      <c r="N41" s="34" t="s">
        <v>68</v>
      </c>
      <c r="O41" s="34" t="s">
        <v>69</v>
      </c>
      <c r="P41" s="35">
        <v>46064.0</v>
      </c>
      <c r="Q41" s="34" t="s">
        <v>67</v>
      </c>
      <c r="R41" s="28" t="s">
        <v>68</v>
      </c>
      <c r="S41" s="28" t="s">
        <v>69</v>
      </c>
      <c r="T41" s="45" t="s">
        <v>76</v>
      </c>
      <c r="U41" s="47"/>
      <c r="V41" s="47"/>
      <c r="W41" s="40"/>
    </row>
    <row r="42">
      <c r="A42" s="28">
        <f t="shared" si="1"/>
        <v>40</v>
      </c>
      <c r="B42" s="20"/>
      <c r="C42" s="62" t="s">
        <v>72</v>
      </c>
      <c r="D42" s="100" t="s">
        <v>282</v>
      </c>
      <c r="E42" s="20"/>
      <c r="F42" s="62" t="s">
        <v>74</v>
      </c>
      <c r="G42" s="101" t="s">
        <v>256</v>
      </c>
      <c r="H42" s="29" t="str">
        <f>'参照_仕様'!C16</f>
        <v>Mystic Matrimony Bonus Story ～Yoshimoto～</v>
      </c>
      <c r="I42" s="34" t="s">
        <v>284</v>
      </c>
      <c r="J42" s="107">
        <v>6319.0</v>
      </c>
      <c r="K42" s="34">
        <v>2.0</v>
      </c>
      <c r="L42" s="94" t="str">
        <f t="shared" si="2"/>
        <v>Mystic Matrimony Bonus Story ～Yoshimoto～</v>
      </c>
      <c r="M42" s="34" t="s">
        <v>67</v>
      </c>
      <c r="N42" s="34" t="s">
        <v>68</v>
      </c>
      <c r="O42" s="34" t="s">
        <v>69</v>
      </c>
      <c r="P42" s="35">
        <v>46062.0</v>
      </c>
      <c r="Q42" s="36"/>
      <c r="R42" s="36"/>
      <c r="S42" s="36"/>
      <c r="T42" s="36"/>
      <c r="U42" s="47"/>
      <c r="V42" s="47"/>
      <c r="W42" s="40"/>
    </row>
    <row r="43">
      <c r="A43" s="28">
        <f t="shared" si="1"/>
        <v>41</v>
      </c>
      <c r="B43" s="20"/>
      <c r="C43" s="20"/>
      <c r="D43" s="100" t="s">
        <v>285</v>
      </c>
      <c r="E43" s="20"/>
      <c r="F43" s="20"/>
      <c r="G43" s="101" t="s">
        <v>286</v>
      </c>
      <c r="H43" s="20"/>
      <c r="I43" s="28"/>
      <c r="J43" s="105"/>
      <c r="K43" s="28"/>
      <c r="L43" s="94" t="str">
        <f t="shared" si="2"/>
        <v/>
      </c>
      <c r="M43" s="34" t="s">
        <v>67</v>
      </c>
      <c r="N43" s="34" t="s">
        <v>68</v>
      </c>
      <c r="O43" s="34" t="s">
        <v>69</v>
      </c>
      <c r="P43" s="35">
        <v>46064.0</v>
      </c>
      <c r="Q43" s="34" t="s">
        <v>67</v>
      </c>
      <c r="R43" s="28" t="s">
        <v>68</v>
      </c>
      <c r="S43" s="28" t="s">
        <v>69</v>
      </c>
      <c r="T43" s="45" t="s">
        <v>76</v>
      </c>
      <c r="U43" s="47"/>
      <c r="V43" s="47"/>
      <c r="W43" s="40"/>
    </row>
    <row r="44">
      <c r="A44" s="28">
        <f t="shared" si="1"/>
        <v>42</v>
      </c>
      <c r="B44" s="20"/>
      <c r="C44" s="21"/>
      <c r="D44" s="100" t="s">
        <v>268</v>
      </c>
      <c r="E44" s="20"/>
      <c r="F44" s="21"/>
      <c r="G44" s="101" t="s">
        <v>269</v>
      </c>
      <c r="H44" s="21"/>
      <c r="I44" s="28"/>
      <c r="J44" s="105"/>
      <c r="K44" s="28"/>
      <c r="L44" s="94" t="str">
        <f t="shared" si="2"/>
        <v/>
      </c>
      <c r="M44" s="34" t="s">
        <v>67</v>
      </c>
      <c r="N44" s="34" t="s">
        <v>68</v>
      </c>
      <c r="O44" s="34" t="s">
        <v>69</v>
      </c>
      <c r="P44" s="35">
        <v>46064.0</v>
      </c>
      <c r="Q44" s="34" t="s">
        <v>67</v>
      </c>
      <c r="R44" s="28" t="s">
        <v>68</v>
      </c>
      <c r="S44" s="28" t="s">
        <v>69</v>
      </c>
      <c r="T44" s="45" t="s">
        <v>76</v>
      </c>
      <c r="U44" s="47"/>
      <c r="V44" s="47"/>
      <c r="W44" s="40"/>
    </row>
    <row r="45">
      <c r="A45" s="28">
        <f t="shared" si="1"/>
        <v>43</v>
      </c>
      <c r="B45" s="20"/>
      <c r="C45" s="62" t="s">
        <v>72</v>
      </c>
      <c r="D45" s="103" t="s">
        <v>282</v>
      </c>
      <c r="E45" s="20"/>
      <c r="F45" s="62" t="s">
        <v>74</v>
      </c>
      <c r="G45" s="104" t="s">
        <v>256</v>
      </c>
      <c r="H45" s="59" t="str">
        <f>'参照_仕様'!C17</f>
        <v>Mystic Matrimony After Story ～Masamune～</v>
      </c>
      <c r="I45" s="34" t="s">
        <v>284</v>
      </c>
      <c r="J45" s="108">
        <v>6320.0</v>
      </c>
      <c r="K45" s="34">
        <v>2.0</v>
      </c>
      <c r="L45" s="94" t="str">
        <f t="shared" si="2"/>
        <v>Mystic Matrimony After Story ～Masamune～</v>
      </c>
      <c r="M45" s="34" t="s">
        <v>67</v>
      </c>
      <c r="N45" s="34" t="s">
        <v>68</v>
      </c>
      <c r="O45" s="34" t="s">
        <v>69</v>
      </c>
      <c r="P45" s="35">
        <v>46062.0</v>
      </c>
      <c r="Q45" s="36"/>
      <c r="R45" s="36"/>
      <c r="S45" s="36"/>
      <c r="T45" s="36"/>
      <c r="U45" s="47"/>
      <c r="V45" s="47"/>
      <c r="W45" s="40"/>
    </row>
    <row r="46">
      <c r="A46" s="28">
        <f t="shared" si="1"/>
        <v>44</v>
      </c>
      <c r="B46" s="20"/>
      <c r="C46" s="20"/>
      <c r="D46" s="103" t="s">
        <v>285</v>
      </c>
      <c r="E46" s="20"/>
      <c r="F46" s="20"/>
      <c r="G46" s="104" t="s">
        <v>286</v>
      </c>
      <c r="H46" s="20"/>
      <c r="I46" s="28"/>
      <c r="J46" s="105"/>
      <c r="K46" s="28"/>
      <c r="L46" s="94" t="str">
        <f t="shared" si="2"/>
        <v/>
      </c>
      <c r="M46" s="34" t="s">
        <v>67</v>
      </c>
      <c r="N46" s="34" t="s">
        <v>68</v>
      </c>
      <c r="O46" s="34" t="s">
        <v>69</v>
      </c>
      <c r="P46" s="35">
        <v>46064.0</v>
      </c>
      <c r="Q46" s="34" t="s">
        <v>67</v>
      </c>
      <c r="R46" s="28" t="s">
        <v>68</v>
      </c>
      <c r="S46" s="28" t="s">
        <v>69</v>
      </c>
      <c r="T46" s="45" t="s">
        <v>76</v>
      </c>
      <c r="U46" s="47"/>
      <c r="V46" s="47"/>
      <c r="W46" s="40"/>
    </row>
    <row r="47">
      <c r="A47" s="28">
        <f t="shared" si="1"/>
        <v>45</v>
      </c>
      <c r="B47" s="20"/>
      <c r="C47" s="21"/>
      <c r="D47" s="103" t="s">
        <v>268</v>
      </c>
      <c r="E47" s="20"/>
      <c r="F47" s="21"/>
      <c r="G47" s="104" t="s">
        <v>269</v>
      </c>
      <c r="H47" s="21"/>
      <c r="I47" s="28"/>
      <c r="J47" s="105"/>
      <c r="K47" s="28"/>
      <c r="L47" s="94" t="str">
        <f t="shared" si="2"/>
        <v/>
      </c>
      <c r="M47" s="34" t="s">
        <v>67</v>
      </c>
      <c r="N47" s="34" t="s">
        <v>68</v>
      </c>
      <c r="O47" s="34" t="s">
        <v>69</v>
      </c>
      <c r="P47" s="35">
        <v>46064.0</v>
      </c>
      <c r="Q47" s="34" t="s">
        <v>67</v>
      </c>
      <c r="R47" s="28" t="s">
        <v>68</v>
      </c>
      <c r="S47" s="28" t="s">
        <v>69</v>
      </c>
      <c r="T47" s="45" t="s">
        <v>76</v>
      </c>
      <c r="U47" s="47"/>
      <c r="V47" s="47"/>
      <c r="W47" s="40"/>
    </row>
    <row r="48">
      <c r="A48" s="28">
        <f t="shared" si="1"/>
        <v>46</v>
      </c>
      <c r="B48" s="20"/>
      <c r="C48" s="62" t="s">
        <v>72</v>
      </c>
      <c r="D48" s="100" t="s">
        <v>282</v>
      </c>
      <c r="E48" s="20"/>
      <c r="F48" s="62" t="s">
        <v>74</v>
      </c>
      <c r="G48" s="101" t="s">
        <v>256</v>
      </c>
      <c r="H48" s="29" t="str">
        <f>'参照_仕様'!C18</f>
        <v>Mystic Matrimony After Story ～Nobunaga～</v>
      </c>
      <c r="I48" s="34" t="s">
        <v>284</v>
      </c>
      <c r="J48" s="107">
        <v>6321.0</v>
      </c>
      <c r="K48" s="34">
        <v>2.0</v>
      </c>
      <c r="L48" s="94" t="str">
        <f t="shared" si="2"/>
        <v>Mystic Matrimony After Story ～Nobunaga～</v>
      </c>
      <c r="M48" s="34" t="s">
        <v>67</v>
      </c>
      <c r="N48" s="34" t="s">
        <v>68</v>
      </c>
      <c r="O48" s="34" t="s">
        <v>69</v>
      </c>
      <c r="P48" s="35">
        <v>46062.0</v>
      </c>
      <c r="Q48" s="36"/>
      <c r="R48" s="36"/>
      <c r="S48" s="36"/>
      <c r="T48" s="36"/>
      <c r="U48" s="47"/>
      <c r="V48" s="47"/>
      <c r="W48" s="40"/>
    </row>
    <row r="49">
      <c r="A49" s="28">
        <f t="shared" si="1"/>
        <v>47</v>
      </c>
      <c r="B49" s="20"/>
      <c r="C49" s="20"/>
      <c r="D49" s="100" t="s">
        <v>285</v>
      </c>
      <c r="E49" s="20"/>
      <c r="F49" s="20"/>
      <c r="G49" s="101" t="s">
        <v>286</v>
      </c>
      <c r="H49" s="20"/>
      <c r="I49" s="28"/>
      <c r="J49" s="105"/>
      <c r="K49" s="28"/>
      <c r="L49" s="94" t="str">
        <f t="shared" si="2"/>
        <v/>
      </c>
      <c r="M49" s="34" t="s">
        <v>67</v>
      </c>
      <c r="N49" s="34" t="s">
        <v>68</v>
      </c>
      <c r="O49" s="34" t="s">
        <v>69</v>
      </c>
      <c r="P49" s="35">
        <v>46064.0</v>
      </c>
      <c r="Q49" s="34" t="s">
        <v>67</v>
      </c>
      <c r="R49" s="28" t="s">
        <v>68</v>
      </c>
      <c r="S49" s="28" t="s">
        <v>69</v>
      </c>
      <c r="T49" s="45" t="s">
        <v>76</v>
      </c>
      <c r="U49" s="47"/>
      <c r="V49" s="47"/>
      <c r="W49" s="40"/>
    </row>
    <row r="50">
      <c r="A50" s="28">
        <f t="shared" si="1"/>
        <v>48</v>
      </c>
      <c r="B50" s="20"/>
      <c r="C50" s="21"/>
      <c r="D50" s="100" t="s">
        <v>268</v>
      </c>
      <c r="E50" s="20"/>
      <c r="F50" s="21"/>
      <c r="G50" s="101" t="s">
        <v>269</v>
      </c>
      <c r="H50" s="21"/>
      <c r="I50" s="28"/>
      <c r="J50" s="105"/>
      <c r="K50" s="28"/>
      <c r="L50" s="94" t="str">
        <f t="shared" si="2"/>
        <v/>
      </c>
      <c r="M50" s="34" t="s">
        <v>67</v>
      </c>
      <c r="N50" s="34" t="s">
        <v>68</v>
      </c>
      <c r="O50" s="34" t="s">
        <v>69</v>
      </c>
      <c r="P50" s="35">
        <v>46064.0</v>
      </c>
      <c r="Q50" s="34" t="s">
        <v>67</v>
      </c>
      <c r="R50" s="28" t="s">
        <v>68</v>
      </c>
      <c r="S50" s="28" t="s">
        <v>69</v>
      </c>
      <c r="T50" s="45" t="s">
        <v>76</v>
      </c>
      <c r="U50" s="47"/>
      <c r="V50" s="47"/>
      <c r="W50" s="40"/>
    </row>
    <row r="51">
      <c r="A51" s="28">
        <f t="shared" si="1"/>
        <v>49</v>
      </c>
      <c r="B51" s="20"/>
      <c r="C51" s="62" t="s">
        <v>72</v>
      </c>
      <c r="D51" s="103" t="s">
        <v>282</v>
      </c>
      <c r="E51" s="20"/>
      <c r="F51" s="62" t="s">
        <v>74</v>
      </c>
      <c r="G51" s="104" t="s">
        <v>256</v>
      </c>
      <c r="H51" s="59" t="str">
        <f>'参照_仕様'!C19</f>
        <v>Mystic Matrimony After Story ～Kanetsugu～</v>
      </c>
      <c r="I51" s="34" t="s">
        <v>284</v>
      </c>
      <c r="J51" s="107">
        <v>6322.0</v>
      </c>
      <c r="K51" s="34">
        <v>2.0</v>
      </c>
      <c r="L51" s="94" t="str">
        <f t="shared" si="2"/>
        <v>Mystic Matrimony After Story ～Kanetsugu～</v>
      </c>
      <c r="M51" s="34" t="s">
        <v>67</v>
      </c>
      <c r="N51" s="34" t="s">
        <v>68</v>
      </c>
      <c r="O51" s="34" t="s">
        <v>69</v>
      </c>
      <c r="P51" s="35">
        <v>46062.0</v>
      </c>
      <c r="Q51" s="36"/>
      <c r="R51" s="36"/>
      <c r="S51" s="36"/>
      <c r="T51" s="36"/>
      <c r="U51" s="47"/>
      <c r="V51" s="47"/>
      <c r="W51" s="40"/>
    </row>
    <row r="52">
      <c r="A52" s="28">
        <f t="shared" si="1"/>
        <v>50</v>
      </c>
      <c r="B52" s="20"/>
      <c r="C52" s="20"/>
      <c r="D52" s="103" t="s">
        <v>285</v>
      </c>
      <c r="E52" s="20"/>
      <c r="F52" s="20"/>
      <c r="G52" s="104" t="s">
        <v>286</v>
      </c>
      <c r="H52" s="20"/>
      <c r="I52" s="28"/>
      <c r="J52" s="105"/>
      <c r="K52" s="28"/>
      <c r="L52" s="94" t="str">
        <f t="shared" si="2"/>
        <v/>
      </c>
      <c r="M52" s="34" t="s">
        <v>67</v>
      </c>
      <c r="N52" s="34" t="s">
        <v>68</v>
      </c>
      <c r="O52" s="34" t="s">
        <v>69</v>
      </c>
      <c r="P52" s="35">
        <v>46064.0</v>
      </c>
      <c r="Q52" s="34" t="s">
        <v>67</v>
      </c>
      <c r="R52" s="28" t="s">
        <v>68</v>
      </c>
      <c r="S52" s="28" t="s">
        <v>69</v>
      </c>
      <c r="T52" s="45" t="s">
        <v>76</v>
      </c>
      <c r="U52" s="47"/>
      <c r="V52" s="47"/>
      <c r="W52" s="40"/>
    </row>
    <row r="53">
      <c r="A53" s="28">
        <f t="shared" si="1"/>
        <v>51</v>
      </c>
      <c r="B53" s="20"/>
      <c r="C53" s="21"/>
      <c r="D53" s="103" t="s">
        <v>268</v>
      </c>
      <c r="E53" s="20"/>
      <c r="F53" s="21"/>
      <c r="G53" s="104" t="s">
        <v>269</v>
      </c>
      <c r="H53" s="21"/>
      <c r="I53" s="28"/>
      <c r="J53" s="105"/>
      <c r="K53" s="28"/>
      <c r="L53" s="94" t="str">
        <f t="shared" si="2"/>
        <v/>
      </c>
      <c r="M53" s="34" t="s">
        <v>67</v>
      </c>
      <c r="N53" s="34" t="s">
        <v>68</v>
      </c>
      <c r="O53" s="34" t="s">
        <v>69</v>
      </c>
      <c r="P53" s="35">
        <v>46064.0</v>
      </c>
      <c r="Q53" s="34" t="s">
        <v>67</v>
      </c>
      <c r="R53" s="28" t="s">
        <v>68</v>
      </c>
      <c r="S53" s="28" t="s">
        <v>69</v>
      </c>
      <c r="T53" s="45" t="s">
        <v>76</v>
      </c>
      <c r="U53" s="47"/>
      <c r="V53" s="47"/>
      <c r="W53" s="40"/>
    </row>
    <row r="54">
      <c r="A54" s="28">
        <f t="shared" si="1"/>
        <v>52</v>
      </c>
      <c r="B54" s="20"/>
      <c r="C54" s="62" t="s">
        <v>72</v>
      </c>
      <c r="D54" s="100" t="s">
        <v>282</v>
      </c>
      <c r="E54" s="20"/>
      <c r="F54" s="62" t="s">
        <v>74</v>
      </c>
      <c r="G54" s="101" t="s">
        <v>256</v>
      </c>
      <c r="H54" s="29" t="str">
        <f>'参照_仕様'!C20</f>
        <v>Mystic Matrimony After Story ～Kicho～</v>
      </c>
      <c r="I54" s="34" t="s">
        <v>284</v>
      </c>
      <c r="J54" s="107">
        <v>6323.0</v>
      </c>
      <c r="K54" s="34">
        <v>2.0</v>
      </c>
      <c r="L54" s="94" t="str">
        <f t="shared" si="2"/>
        <v>Mystic Matrimony After Story ～Kicho～</v>
      </c>
      <c r="M54" s="34" t="s">
        <v>67</v>
      </c>
      <c r="N54" s="34" t="s">
        <v>68</v>
      </c>
      <c r="O54" s="34" t="s">
        <v>69</v>
      </c>
      <c r="P54" s="35">
        <v>46062.0</v>
      </c>
      <c r="Q54" s="36"/>
      <c r="R54" s="36"/>
      <c r="S54" s="36"/>
      <c r="T54" s="36"/>
      <c r="U54" s="47"/>
      <c r="V54" s="47"/>
      <c r="W54" s="40"/>
    </row>
    <row r="55">
      <c r="A55" s="28">
        <f t="shared" si="1"/>
        <v>53</v>
      </c>
      <c r="B55" s="20"/>
      <c r="C55" s="20"/>
      <c r="D55" s="100" t="s">
        <v>285</v>
      </c>
      <c r="E55" s="20"/>
      <c r="F55" s="20"/>
      <c r="G55" s="101" t="s">
        <v>286</v>
      </c>
      <c r="H55" s="20"/>
      <c r="I55" s="28"/>
      <c r="J55" s="105"/>
      <c r="K55" s="28"/>
      <c r="L55" s="94" t="str">
        <f t="shared" si="2"/>
        <v/>
      </c>
      <c r="M55" s="34" t="s">
        <v>67</v>
      </c>
      <c r="N55" s="34" t="s">
        <v>68</v>
      </c>
      <c r="O55" s="34" t="s">
        <v>69</v>
      </c>
      <c r="P55" s="35">
        <v>46064.0</v>
      </c>
      <c r="Q55" s="34" t="s">
        <v>67</v>
      </c>
      <c r="R55" s="28" t="s">
        <v>68</v>
      </c>
      <c r="S55" s="28" t="s">
        <v>69</v>
      </c>
      <c r="T55" s="45" t="s">
        <v>76</v>
      </c>
      <c r="U55" s="47"/>
      <c r="V55" s="47"/>
      <c r="W55" s="40"/>
    </row>
    <row r="56">
      <c r="A56" s="28">
        <f t="shared" si="1"/>
        <v>54</v>
      </c>
      <c r="B56" s="20"/>
      <c r="C56" s="21"/>
      <c r="D56" s="100" t="s">
        <v>268</v>
      </c>
      <c r="E56" s="20"/>
      <c r="F56" s="21"/>
      <c r="G56" s="101" t="s">
        <v>269</v>
      </c>
      <c r="H56" s="21"/>
      <c r="I56" s="28"/>
      <c r="J56" s="105"/>
      <c r="K56" s="28"/>
      <c r="L56" s="94" t="str">
        <f t="shared" si="2"/>
        <v/>
      </c>
      <c r="M56" s="34" t="s">
        <v>67</v>
      </c>
      <c r="N56" s="34" t="s">
        <v>68</v>
      </c>
      <c r="O56" s="34" t="s">
        <v>69</v>
      </c>
      <c r="P56" s="35">
        <v>46064.0</v>
      </c>
      <c r="Q56" s="34" t="s">
        <v>67</v>
      </c>
      <c r="R56" s="28" t="s">
        <v>68</v>
      </c>
      <c r="S56" s="28" t="s">
        <v>69</v>
      </c>
      <c r="T56" s="45" t="s">
        <v>76</v>
      </c>
      <c r="U56" s="47"/>
      <c r="V56" s="47"/>
      <c r="W56" s="40"/>
    </row>
    <row r="57">
      <c r="A57" s="28">
        <f t="shared" si="1"/>
        <v>55</v>
      </c>
      <c r="B57" s="20"/>
      <c r="C57" s="62" t="s">
        <v>72</v>
      </c>
      <c r="D57" s="103" t="s">
        <v>282</v>
      </c>
      <c r="E57" s="20"/>
      <c r="F57" s="62" t="s">
        <v>74</v>
      </c>
      <c r="G57" s="104" t="s">
        <v>256</v>
      </c>
      <c r="H57" s="59" t="str">
        <f>'参照_仕様'!C21</f>
        <v>Mystic Matrimony After Story ～Motonari～</v>
      </c>
      <c r="I57" s="34" t="s">
        <v>284</v>
      </c>
      <c r="J57" s="107">
        <v>6324.0</v>
      </c>
      <c r="K57" s="34">
        <v>2.0</v>
      </c>
      <c r="L57" s="94" t="str">
        <f t="shared" si="2"/>
        <v>Mystic Matrimony After Story ～Motonari～</v>
      </c>
      <c r="M57" s="34" t="s">
        <v>67</v>
      </c>
      <c r="N57" s="34" t="s">
        <v>68</v>
      </c>
      <c r="O57" s="34" t="s">
        <v>69</v>
      </c>
      <c r="P57" s="35">
        <v>46062.0</v>
      </c>
      <c r="Q57" s="36"/>
      <c r="R57" s="36"/>
      <c r="S57" s="36"/>
      <c r="T57" s="36"/>
      <c r="U57" s="47"/>
      <c r="V57" s="47"/>
      <c r="W57" s="40"/>
    </row>
    <row r="58">
      <c r="A58" s="28">
        <f t="shared" si="1"/>
        <v>56</v>
      </c>
      <c r="B58" s="20"/>
      <c r="C58" s="20"/>
      <c r="D58" s="103" t="s">
        <v>285</v>
      </c>
      <c r="E58" s="20"/>
      <c r="F58" s="20"/>
      <c r="G58" s="104" t="s">
        <v>286</v>
      </c>
      <c r="H58" s="20"/>
      <c r="I58" s="28"/>
      <c r="J58" s="105"/>
      <c r="K58" s="28"/>
      <c r="L58" s="94" t="str">
        <f t="shared" si="2"/>
        <v/>
      </c>
      <c r="M58" s="34" t="s">
        <v>67</v>
      </c>
      <c r="N58" s="34" t="s">
        <v>68</v>
      </c>
      <c r="O58" s="34" t="s">
        <v>69</v>
      </c>
      <c r="P58" s="35">
        <v>46064.0</v>
      </c>
      <c r="Q58" s="34" t="s">
        <v>67</v>
      </c>
      <c r="R58" s="28" t="s">
        <v>68</v>
      </c>
      <c r="S58" s="28" t="s">
        <v>69</v>
      </c>
      <c r="T58" s="45" t="s">
        <v>76</v>
      </c>
      <c r="U58" s="47"/>
      <c r="V58" s="47"/>
      <c r="W58" s="40"/>
    </row>
    <row r="59">
      <c r="A59" s="28">
        <f t="shared" si="1"/>
        <v>57</v>
      </c>
      <c r="B59" s="20"/>
      <c r="C59" s="21"/>
      <c r="D59" s="103" t="s">
        <v>268</v>
      </c>
      <c r="E59" s="20"/>
      <c r="F59" s="21"/>
      <c r="G59" s="104" t="s">
        <v>269</v>
      </c>
      <c r="H59" s="21"/>
      <c r="I59" s="28"/>
      <c r="J59" s="105"/>
      <c r="K59" s="28"/>
      <c r="L59" s="94" t="str">
        <f t="shared" si="2"/>
        <v/>
      </c>
      <c r="M59" s="34" t="s">
        <v>67</v>
      </c>
      <c r="N59" s="34" t="s">
        <v>68</v>
      </c>
      <c r="O59" s="34" t="s">
        <v>69</v>
      </c>
      <c r="P59" s="35">
        <v>46064.0</v>
      </c>
      <c r="Q59" s="34" t="s">
        <v>67</v>
      </c>
      <c r="R59" s="28" t="s">
        <v>68</v>
      </c>
      <c r="S59" s="28" t="s">
        <v>69</v>
      </c>
      <c r="T59" s="45" t="s">
        <v>76</v>
      </c>
      <c r="U59" s="47"/>
      <c r="V59" s="47"/>
      <c r="W59" s="40"/>
    </row>
    <row r="60">
      <c r="A60" s="28">
        <f t="shared" si="1"/>
        <v>58</v>
      </c>
      <c r="B60" s="20"/>
      <c r="C60" s="62" t="s">
        <v>72</v>
      </c>
      <c r="D60" s="100" t="s">
        <v>282</v>
      </c>
      <c r="E60" s="20"/>
      <c r="F60" s="62" t="s">
        <v>74</v>
      </c>
      <c r="G60" s="101" t="s">
        <v>256</v>
      </c>
      <c r="H60" s="29" t="str">
        <f>'参照_仕様'!C22</f>
        <v>Mystic Matrimony After Story ～Yoshimoto～</v>
      </c>
      <c r="I60" s="34" t="s">
        <v>284</v>
      </c>
      <c r="J60" s="107">
        <v>6325.0</v>
      </c>
      <c r="K60" s="34">
        <v>2.0</v>
      </c>
      <c r="L60" s="94" t="str">
        <f t="shared" si="2"/>
        <v>Mystic Matrimony After Story ～Yoshimoto～</v>
      </c>
      <c r="M60" s="34" t="s">
        <v>67</v>
      </c>
      <c r="N60" s="34" t="s">
        <v>68</v>
      </c>
      <c r="O60" s="34" t="s">
        <v>69</v>
      </c>
      <c r="P60" s="35">
        <v>46062.0</v>
      </c>
      <c r="Q60" s="36"/>
      <c r="R60" s="36"/>
      <c r="S60" s="36"/>
      <c r="T60" s="36"/>
      <c r="U60" s="47"/>
      <c r="V60" s="47"/>
      <c r="W60" s="40"/>
    </row>
    <row r="61">
      <c r="A61" s="28">
        <f t="shared" si="1"/>
        <v>59</v>
      </c>
      <c r="B61" s="20"/>
      <c r="C61" s="20"/>
      <c r="D61" s="100" t="s">
        <v>285</v>
      </c>
      <c r="E61" s="20"/>
      <c r="F61" s="20"/>
      <c r="G61" s="101" t="s">
        <v>286</v>
      </c>
      <c r="H61" s="20"/>
      <c r="I61" s="28"/>
      <c r="J61" s="105"/>
      <c r="K61" s="28"/>
      <c r="L61" s="94" t="str">
        <f t="shared" si="2"/>
        <v/>
      </c>
      <c r="M61" s="34" t="s">
        <v>67</v>
      </c>
      <c r="N61" s="34" t="s">
        <v>68</v>
      </c>
      <c r="O61" s="34" t="s">
        <v>69</v>
      </c>
      <c r="P61" s="35">
        <v>46064.0</v>
      </c>
      <c r="Q61" s="34" t="s">
        <v>67</v>
      </c>
      <c r="R61" s="28" t="s">
        <v>68</v>
      </c>
      <c r="S61" s="28" t="s">
        <v>69</v>
      </c>
      <c r="T61" s="45" t="s">
        <v>76</v>
      </c>
      <c r="U61" s="47"/>
      <c r="V61" s="47"/>
      <c r="W61" s="40"/>
    </row>
    <row r="62">
      <c r="A62" s="28">
        <f t="shared" si="1"/>
        <v>60</v>
      </c>
      <c r="B62" s="20"/>
      <c r="C62" s="21"/>
      <c r="D62" s="100" t="s">
        <v>268</v>
      </c>
      <c r="E62" s="20"/>
      <c r="F62" s="21"/>
      <c r="G62" s="101" t="s">
        <v>269</v>
      </c>
      <c r="H62" s="21"/>
      <c r="I62" s="28"/>
      <c r="J62" s="105"/>
      <c r="K62" s="28"/>
      <c r="L62" s="94" t="str">
        <f t="shared" si="2"/>
        <v/>
      </c>
      <c r="M62" s="34" t="s">
        <v>67</v>
      </c>
      <c r="N62" s="34" t="s">
        <v>68</v>
      </c>
      <c r="O62" s="34" t="s">
        <v>69</v>
      </c>
      <c r="P62" s="35">
        <v>46064.0</v>
      </c>
      <c r="Q62" s="34" t="s">
        <v>67</v>
      </c>
      <c r="R62" s="28" t="s">
        <v>68</v>
      </c>
      <c r="S62" s="28" t="s">
        <v>69</v>
      </c>
      <c r="T62" s="45" t="s">
        <v>76</v>
      </c>
      <c r="U62" s="47"/>
      <c r="V62" s="47"/>
      <c r="W62" s="40"/>
    </row>
    <row r="63">
      <c r="A63" s="28">
        <f t="shared" si="1"/>
        <v>61</v>
      </c>
      <c r="B63" s="20"/>
      <c r="C63" s="62" t="s">
        <v>72</v>
      </c>
      <c r="D63" s="103" t="s">
        <v>282</v>
      </c>
      <c r="E63" s="20"/>
      <c r="F63" s="62" t="s">
        <v>74</v>
      </c>
      <c r="G63" s="104" t="s">
        <v>256</v>
      </c>
      <c r="H63" s="59" t="str">
        <f>'参照_仕様'!C29</f>
        <v>Demon of My Dreams</v>
      </c>
      <c r="I63" s="109" t="s">
        <v>284</v>
      </c>
      <c r="J63" s="110">
        <v>6313.0</v>
      </c>
      <c r="K63" s="109">
        <v>2.0</v>
      </c>
      <c r="L63" s="111" t="str">
        <f t="shared" si="2"/>
        <v>Demon of My Dreams</v>
      </c>
      <c r="M63" s="34" t="s">
        <v>67</v>
      </c>
      <c r="N63" s="34" t="s">
        <v>68</v>
      </c>
      <c r="O63" s="34" t="s">
        <v>69</v>
      </c>
      <c r="P63" s="35">
        <v>46064.0</v>
      </c>
      <c r="Q63" s="112"/>
      <c r="R63" s="112"/>
      <c r="S63" s="112"/>
      <c r="T63" s="112"/>
      <c r="U63" s="113"/>
      <c r="V63" s="113" t="s">
        <v>287</v>
      </c>
      <c r="W63" s="114"/>
    </row>
    <row r="64">
      <c r="A64" s="28">
        <f t="shared" si="1"/>
        <v>62</v>
      </c>
      <c r="B64" s="20"/>
      <c r="C64" s="20"/>
      <c r="D64" s="103" t="s">
        <v>285</v>
      </c>
      <c r="E64" s="20"/>
      <c r="F64" s="20"/>
      <c r="G64" s="104" t="s">
        <v>286</v>
      </c>
      <c r="H64" s="20"/>
      <c r="I64" s="20"/>
      <c r="J64" s="20"/>
      <c r="K64" s="20"/>
      <c r="L64" s="20"/>
      <c r="M64" s="34" t="s">
        <v>67</v>
      </c>
      <c r="N64" s="34" t="s">
        <v>68</v>
      </c>
      <c r="O64" s="34" t="s">
        <v>69</v>
      </c>
      <c r="P64" s="35">
        <v>46064.0</v>
      </c>
      <c r="Q64" s="112"/>
      <c r="R64" s="112"/>
      <c r="S64" s="112"/>
      <c r="T64" s="115"/>
      <c r="U64" s="113"/>
      <c r="V64" s="113"/>
      <c r="W64" s="114"/>
    </row>
    <row r="65">
      <c r="A65" s="28">
        <f t="shared" si="1"/>
        <v>63</v>
      </c>
      <c r="B65" s="21"/>
      <c r="C65" s="21"/>
      <c r="D65" s="103" t="s">
        <v>268</v>
      </c>
      <c r="E65" s="21"/>
      <c r="F65" s="21"/>
      <c r="G65" s="104" t="s">
        <v>269</v>
      </c>
      <c r="H65" s="21"/>
      <c r="I65" s="21"/>
      <c r="J65" s="21"/>
      <c r="K65" s="21"/>
      <c r="L65" s="21"/>
      <c r="M65" s="34" t="s">
        <v>67</v>
      </c>
      <c r="N65" s="34" t="s">
        <v>68</v>
      </c>
      <c r="O65" s="34" t="s">
        <v>69</v>
      </c>
      <c r="P65" s="35">
        <v>46064.0</v>
      </c>
      <c r="Q65" s="112"/>
      <c r="R65" s="112"/>
      <c r="S65" s="112"/>
      <c r="T65" s="115"/>
      <c r="U65" s="113"/>
      <c r="V65" s="113"/>
      <c r="W65" s="114"/>
    </row>
    <row r="66">
      <c r="A66" s="28">
        <f t="shared" si="1"/>
        <v>64</v>
      </c>
      <c r="B66" s="29" t="str">
        <f>'参照_各種特典'!C78&amp;"
"&amp;'参照_各種特典'!D78</f>
        <v>本編・続編連動特典
Extra Bonus</v>
      </c>
      <c r="C66" s="91" t="s">
        <v>288</v>
      </c>
      <c r="D66" s="100" t="s">
        <v>255</v>
      </c>
      <c r="E66" s="29" t="str">
        <f>'参照_各種特典'!C78&amp;"
"&amp;'参照_各種特典'!D78</f>
        <v>本編・続編連動特典
Extra Bonus</v>
      </c>
      <c r="F66" s="91" t="s">
        <v>289</v>
      </c>
      <c r="G66" s="101" t="s">
        <v>256</v>
      </c>
      <c r="H66" s="31" t="str">
        <f>'参照_各種特典'!$F$78</f>
        <v>Nine-Tailed Fox Yoshimoto</v>
      </c>
      <c r="I66" s="34" t="s">
        <v>290</v>
      </c>
      <c r="J66" s="116">
        <v>171919.0</v>
      </c>
      <c r="K66" s="34">
        <v>4.0</v>
      </c>
      <c r="L66" s="94" t="str">
        <f t="shared" ref="L66:L70" si="3">IF(ISTEXT(I66:I137),
VLOOKUP(J66:J137,INDIRECT(I66:I137),K66:K137,0),
)</f>
        <v>Nine-Tailed Fox Yoshimoto</v>
      </c>
      <c r="M66" s="35" t="s">
        <v>67</v>
      </c>
      <c r="N66" s="35" t="s">
        <v>68</v>
      </c>
      <c r="O66" s="35" t="s">
        <v>69</v>
      </c>
      <c r="P66" s="35">
        <v>46062.0</v>
      </c>
      <c r="Q66" s="36"/>
      <c r="R66" s="36"/>
      <c r="S66" s="36"/>
      <c r="T66" s="36"/>
      <c r="U66" s="47"/>
      <c r="V66" s="47"/>
      <c r="W66" s="40"/>
    </row>
    <row r="67">
      <c r="A67" s="28">
        <f t="shared" si="1"/>
        <v>65</v>
      </c>
      <c r="B67" s="20"/>
      <c r="C67" s="21"/>
      <c r="D67" s="100" t="s">
        <v>291</v>
      </c>
      <c r="E67" s="20"/>
      <c r="F67" s="21"/>
      <c r="G67" s="101" t="s">
        <v>292</v>
      </c>
      <c r="H67" s="31">
        <f>'参照_各種特典'!$H$78</f>
        <v>1</v>
      </c>
      <c r="I67" s="34" t="s">
        <v>257</v>
      </c>
      <c r="J67" s="92" t="s">
        <v>293</v>
      </c>
      <c r="K67" s="34">
        <v>7.0</v>
      </c>
      <c r="L67" s="94">
        <f t="shared" si="3"/>
        <v>1</v>
      </c>
      <c r="M67" s="35" t="s">
        <v>67</v>
      </c>
      <c r="N67" s="35" t="s">
        <v>68</v>
      </c>
      <c r="O67" s="35" t="s">
        <v>69</v>
      </c>
      <c r="P67" s="35">
        <v>46062.0</v>
      </c>
      <c r="Q67" s="36"/>
      <c r="R67" s="36"/>
      <c r="S67" s="36"/>
      <c r="T67" s="36"/>
      <c r="U67" s="47"/>
      <c r="V67" s="47"/>
      <c r="W67" s="40"/>
    </row>
    <row r="68">
      <c r="A68" s="28">
        <f t="shared" si="1"/>
        <v>66</v>
      </c>
      <c r="B68" s="20"/>
      <c r="C68" s="91" t="s">
        <v>294</v>
      </c>
      <c r="D68" s="100" t="s">
        <v>295</v>
      </c>
      <c r="E68" s="20"/>
      <c r="F68" s="117" t="s">
        <v>296</v>
      </c>
      <c r="G68" s="101" t="s">
        <v>297</v>
      </c>
      <c r="H68" s="33">
        <f>'参照_各種特典'!$I$78</f>
        <v>46074.70833</v>
      </c>
      <c r="I68" s="34" t="s">
        <v>298</v>
      </c>
      <c r="J68" s="92">
        <v>249.0</v>
      </c>
      <c r="K68" s="34">
        <v>16.0</v>
      </c>
      <c r="L68" s="93">
        <f t="shared" si="3"/>
        <v>46074.70833</v>
      </c>
      <c r="M68" s="35" t="s">
        <v>67</v>
      </c>
      <c r="N68" s="35" t="s">
        <v>68</v>
      </c>
      <c r="O68" s="35" t="s">
        <v>69</v>
      </c>
      <c r="P68" s="35">
        <v>46064.0</v>
      </c>
      <c r="Q68" s="36"/>
      <c r="R68" s="36"/>
      <c r="S68" s="36"/>
      <c r="T68" s="36"/>
      <c r="U68" s="95"/>
      <c r="V68" s="95" t="s">
        <v>299</v>
      </c>
      <c r="W68" s="40"/>
    </row>
    <row r="69">
      <c r="A69" s="28">
        <f t="shared" si="1"/>
        <v>67</v>
      </c>
      <c r="B69" s="20"/>
      <c r="C69" s="20"/>
      <c r="D69" s="100" t="s">
        <v>300</v>
      </c>
      <c r="E69" s="20"/>
      <c r="F69" s="20"/>
      <c r="G69" s="101" t="s">
        <v>301</v>
      </c>
      <c r="H69" s="33">
        <f>'参照_各種特典'!$J$78</f>
        <v>46080.70833</v>
      </c>
      <c r="I69" s="34" t="s">
        <v>298</v>
      </c>
      <c r="J69" s="92">
        <v>249.0</v>
      </c>
      <c r="K69" s="34">
        <v>17.0</v>
      </c>
      <c r="L69" s="93">
        <f t="shared" si="3"/>
        <v>46080.70833</v>
      </c>
      <c r="M69" s="35" t="s">
        <v>67</v>
      </c>
      <c r="N69" s="35" t="s">
        <v>68</v>
      </c>
      <c r="O69" s="35" t="s">
        <v>69</v>
      </c>
      <c r="P69" s="35">
        <v>46064.0</v>
      </c>
      <c r="Q69" s="36"/>
      <c r="R69" s="36"/>
      <c r="S69" s="36"/>
      <c r="T69" s="36"/>
      <c r="U69" s="95"/>
      <c r="V69" s="95" t="s">
        <v>299</v>
      </c>
      <c r="W69" s="40"/>
    </row>
    <row r="70">
      <c r="A70" s="28">
        <f t="shared" si="1"/>
        <v>68</v>
      </c>
      <c r="B70" s="20"/>
      <c r="C70" s="20"/>
      <c r="D70" s="100" t="s">
        <v>302</v>
      </c>
      <c r="E70" s="20"/>
      <c r="F70" s="20"/>
      <c r="G70" s="101" t="s">
        <v>303</v>
      </c>
      <c r="H70" s="33" t="str">
        <f>'参照_各種特典'!$L$78</f>
        <v>Yoshimoto</v>
      </c>
      <c r="I70" s="34" t="s">
        <v>298</v>
      </c>
      <c r="J70" s="92">
        <v>249.0</v>
      </c>
      <c r="K70" s="34">
        <v>9.0</v>
      </c>
      <c r="L70" s="94" t="str">
        <f t="shared" si="3"/>
        <v>Yoshimoto</v>
      </c>
      <c r="M70" s="35" t="s">
        <v>67</v>
      </c>
      <c r="N70" s="35" t="s">
        <v>68</v>
      </c>
      <c r="O70" s="35" t="s">
        <v>69</v>
      </c>
      <c r="P70" s="35">
        <v>46062.0</v>
      </c>
      <c r="Q70" s="36"/>
      <c r="R70" s="36"/>
      <c r="S70" s="36"/>
      <c r="T70" s="36"/>
      <c r="U70" s="47"/>
      <c r="V70" s="47"/>
      <c r="W70" s="40"/>
    </row>
    <row r="71">
      <c r="A71" s="28">
        <f t="shared" si="1"/>
        <v>69</v>
      </c>
      <c r="B71" s="20"/>
      <c r="C71" s="20"/>
      <c r="D71" s="100" t="s">
        <v>304</v>
      </c>
      <c r="E71" s="20"/>
      <c r="F71" s="20"/>
      <c r="G71" s="101" t="s">
        <v>305</v>
      </c>
      <c r="H71" s="33" t="str">
        <f>'参照_各種特典'!$G$78</f>
        <v>Chapter 13 (10/10) Main Route</v>
      </c>
      <c r="I71" s="34" t="s">
        <v>298</v>
      </c>
      <c r="J71" s="92">
        <v>249.0</v>
      </c>
      <c r="K71" s="34">
        <v>4.0</v>
      </c>
      <c r="L71" s="94" t="str">
        <f t="array" ref="L71">IF(ISTEXT(I71),
"Chapter "&amp;
VLOOKUP(J71,INDIRECT(I71),K71,0)&amp;
" ("&amp;
VLOOKUP(J71,INDIRECT(I71),K71+1,0)&amp;
"/10) Main Route"
,)</f>
        <v>Chapter 13 (10/10) Main Route</v>
      </c>
      <c r="M71" s="35" t="s">
        <v>67</v>
      </c>
      <c r="N71" s="35" t="s">
        <v>68</v>
      </c>
      <c r="O71" s="35" t="s">
        <v>69</v>
      </c>
      <c r="P71" s="35">
        <v>46062.0</v>
      </c>
      <c r="Q71" s="36"/>
      <c r="R71" s="36"/>
      <c r="S71" s="36"/>
      <c r="T71" s="36"/>
      <c r="U71" s="47"/>
      <c r="V71" s="47"/>
      <c r="W71" s="40"/>
    </row>
    <row r="72">
      <c r="A72" s="28">
        <f t="shared" si="1"/>
        <v>70</v>
      </c>
      <c r="B72" s="20"/>
      <c r="C72" s="21"/>
      <c r="D72" s="100" t="s">
        <v>306</v>
      </c>
      <c r="E72" s="20"/>
      <c r="F72" s="21"/>
      <c r="G72" s="101" t="s">
        <v>307</v>
      </c>
      <c r="H72" s="118">
        <f>'参照_各種特典'!$K$78</f>
        <v>500</v>
      </c>
      <c r="I72" s="34" t="s">
        <v>298</v>
      </c>
      <c r="J72" s="92">
        <v>249.0</v>
      </c>
      <c r="K72" s="34">
        <v>7.0</v>
      </c>
      <c r="L72" s="94">
        <f t="shared" ref="L72:L73" si="4">IF(ISTEXT(I72:I137),
VLOOKUP(J72:J137,INDIRECT(I72:I137),K72:K137,0),
)</f>
        <v>500</v>
      </c>
      <c r="M72" s="35" t="s">
        <v>67</v>
      </c>
      <c r="N72" s="35" t="s">
        <v>68</v>
      </c>
      <c r="O72" s="35" t="s">
        <v>69</v>
      </c>
      <c r="P72" s="35">
        <v>46062.0</v>
      </c>
      <c r="Q72" s="36"/>
      <c r="R72" s="36"/>
      <c r="S72" s="36"/>
      <c r="T72" s="36"/>
      <c r="U72" s="47"/>
      <c r="V72" s="47"/>
      <c r="W72" s="40"/>
    </row>
    <row r="73">
      <c r="A73" s="28">
        <f t="shared" si="1"/>
        <v>71</v>
      </c>
      <c r="B73" s="20"/>
      <c r="C73" s="62" t="s">
        <v>72</v>
      </c>
      <c r="D73" s="100" t="s">
        <v>265</v>
      </c>
      <c r="E73" s="20"/>
      <c r="F73" s="62" t="s">
        <v>74</v>
      </c>
      <c r="G73" s="101" t="s">
        <v>266</v>
      </c>
      <c r="H73" s="31" t="str">
        <f>'参照_各種特典'!$M$78&amp;"
"&amp;'参照_各種特典'!$F$78</f>
        <v>Until 02/27 17:00(顯示的時間會因地區而異) 
・Finish reading Chapter 13 of Yoshimoto's Main Route
・Use 500 Hearts
Nine-Tailed Fox Yoshimoto</v>
      </c>
      <c r="I73" s="34"/>
      <c r="J73" s="92"/>
      <c r="K73" s="34"/>
      <c r="L73" s="94" t="str">
        <f t="shared" si="4"/>
        <v/>
      </c>
      <c r="M73" s="34" t="s">
        <v>67</v>
      </c>
      <c r="N73" s="34" t="s">
        <v>68</v>
      </c>
      <c r="O73" s="34" t="s">
        <v>69</v>
      </c>
      <c r="P73" s="35">
        <v>46064.0</v>
      </c>
      <c r="Q73" s="36"/>
      <c r="R73" s="36"/>
      <c r="S73" s="36"/>
      <c r="T73" s="36"/>
      <c r="U73" s="47"/>
      <c r="V73" s="47"/>
      <c r="W73" s="40"/>
    </row>
    <row r="74">
      <c r="A74" s="28">
        <f t="shared" si="1"/>
        <v>72</v>
      </c>
      <c r="B74" s="21"/>
      <c r="C74" s="21"/>
      <c r="D74" s="100" t="s">
        <v>268</v>
      </c>
      <c r="E74" s="21"/>
      <c r="F74" s="21"/>
      <c r="G74" s="101" t="s">
        <v>308</v>
      </c>
      <c r="H74" s="31"/>
      <c r="I74" s="34"/>
      <c r="J74" s="92"/>
      <c r="K74" s="34"/>
      <c r="L74" s="94"/>
      <c r="M74" s="34" t="s">
        <v>67</v>
      </c>
      <c r="N74" s="34" t="s">
        <v>68</v>
      </c>
      <c r="O74" s="34" t="s">
        <v>69</v>
      </c>
      <c r="P74" s="35">
        <v>46064.0</v>
      </c>
      <c r="Q74" s="34" t="s">
        <v>67</v>
      </c>
      <c r="R74" s="28" t="s">
        <v>68</v>
      </c>
      <c r="S74" s="28" t="s">
        <v>69</v>
      </c>
      <c r="T74" s="45" t="s">
        <v>76</v>
      </c>
      <c r="U74" s="47"/>
      <c r="V74" s="47"/>
      <c r="W74" s="40"/>
    </row>
    <row r="75">
      <c r="A75" s="28">
        <f t="shared" si="1"/>
        <v>73</v>
      </c>
      <c r="B75" s="59" t="str">
        <f>'参照_各種特典'!C79&amp;"
"&amp;'参照_各種特典'!D79</f>
        <v>本編・続編連動特典
Extra Bonus</v>
      </c>
      <c r="C75" s="91" t="s">
        <v>288</v>
      </c>
      <c r="D75" s="103" t="s">
        <v>255</v>
      </c>
      <c r="E75" s="59" t="str">
        <f>'参照_各種特典'!C79&amp;"
"&amp;'参照_各種特典'!D79</f>
        <v>本編・続編連動特典
Extra Bonus</v>
      </c>
      <c r="F75" s="91" t="s">
        <v>309</v>
      </c>
      <c r="G75" s="104" t="s">
        <v>256</v>
      </c>
      <c r="H75" s="37" t="str">
        <f>'参照_各種特典'!$F$79</f>
        <v>Nine-Tailed Fox Motonari</v>
      </c>
      <c r="I75" s="34" t="s">
        <v>290</v>
      </c>
      <c r="J75" s="116">
        <v>171920.0</v>
      </c>
      <c r="K75" s="34">
        <v>4.0</v>
      </c>
      <c r="L75" s="94" t="str">
        <f t="shared" ref="L75:L79" si="5">IF(ISTEXT(I75:I137),
VLOOKUP(J75:J137,INDIRECT(I75:I137),K75:K137,0),
)</f>
        <v>Nine-Tailed Fox Motonari</v>
      </c>
      <c r="M75" s="34" t="s">
        <v>67</v>
      </c>
      <c r="N75" s="34" t="s">
        <v>68</v>
      </c>
      <c r="O75" s="34" t="s">
        <v>69</v>
      </c>
      <c r="P75" s="35">
        <v>46062.0</v>
      </c>
      <c r="Q75" s="36"/>
      <c r="R75" s="36"/>
      <c r="S75" s="36"/>
      <c r="T75" s="36"/>
      <c r="U75" s="47"/>
      <c r="V75" s="47"/>
      <c r="W75" s="40"/>
    </row>
    <row r="76">
      <c r="A76" s="28">
        <f t="shared" si="1"/>
        <v>74</v>
      </c>
      <c r="B76" s="20"/>
      <c r="C76" s="21"/>
      <c r="D76" s="103" t="s">
        <v>291</v>
      </c>
      <c r="E76" s="20"/>
      <c r="F76" s="21"/>
      <c r="G76" s="104" t="s">
        <v>292</v>
      </c>
      <c r="H76" s="37">
        <f>'参照_各種特典'!$H$79</f>
        <v>1</v>
      </c>
      <c r="I76" s="34" t="s">
        <v>257</v>
      </c>
      <c r="J76" s="92" t="s">
        <v>293</v>
      </c>
      <c r="K76" s="34">
        <v>7.0</v>
      </c>
      <c r="L76" s="94">
        <f t="shared" si="5"/>
        <v>1</v>
      </c>
      <c r="M76" s="34" t="s">
        <v>67</v>
      </c>
      <c r="N76" s="34" t="s">
        <v>68</v>
      </c>
      <c r="O76" s="34" t="s">
        <v>69</v>
      </c>
      <c r="P76" s="35">
        <v>46062.0</v>
      </c>
      <c r="Q76" s="36"/>
      <c r="R76" s="36"/>
      <c r="S76" s="36"/>
      <c r="T76" s="36"/>
      <c r="U76" s="47"/>
      <c r="V76" s="47"/>
      <c r="W76" s="40"/>
    </row>
    <row r="77">
      <c r="A77" s="28">
        <f t="shared" si="1"/>
        <v>75</v>
      </c>
      <c r="B77" s="20"/>
      <c r="C77" s="91" t="s">
        <v>294</v>
      </c>
      <c r="D77" s="103" t="s">
        <v>295</v>
      </c>
      <c r="E77" s="20"/>
      <c r="F77" s="117" t="s">
        <v>296</v>
      </c>
      <c r="G77" s="104" t="s">
        <v>297</v>
      </c>
      <c r="H77" s="49">
        <f>'参照_各種特典'!$I$79</f>
        <v>46074.70833</v>
      </c>
      <c r="I77" s="34" t="s">
        <v>298</v>
      </c>
      <c r="J77" s="92">
        <v>250.0</v>
      </c>
      <c r="K77" s="34">
        <v>16.0</v>
      </c>
      <c r="L77" s="93">
        <f t="shared" si="5"/>
        <v>46074.70833</v>
      </c>
      <c r="M77" s="35" t="s">
        <v>67</v>
      </c>
      <c r="N77" s="35" t="s">
        <v>68</v>
      </c>
      <c r="O77" s="35" t="s">
        <v>69</v>
      </c>
      <c r="P77" s="35">
        <v>46064.0</v>
      </c>
      <c r="Q77" s="36"/>
      <c r="R77" s="36"/>
      <c r="S77" s="36"/>
      <c r="T77" s="36"/>
      <c r="U77" s="47"/>
      <c r="V77" s="95" t="s">
        <v>299</v>
      </c>
      <c r="W77" s="40"/>
    </row>
    <row r="78">
      <c r="A78" s="28">
        <f t="shared" si="1"/>
        <v>76</v>
      </c>
      <c r="B78" s="20"/>
      <c r="C78" s="20"/>
      <c r="D78" s="103" t="s">
        <v>300</v>
      </c>
      <c r="E78" s="20"/>
      <c r="F78" s="20"/>
      <c r="G78" s="104" t="s">
        <v>301</v>
      </c>
      <c r="H78" s="49">
        <f>'参照_各種特典'!$J$79</f>
        <v>46080.70833</v>
      </c>
      <c r="I78" s="34" t="s">
        <v>298</v>
      </c>
      <c r="J78" s="92">
        <v>250.0</v>
      </c>
      <c r="K78" s="34">
        <v>17.0</v>
      </c>
      <c r="L78" s="93">
        <f t="shared" si="5"/>
        <v>46080.70833</v>
      </c>
      <c r="M78" s="35" t="s">
        <v>67</v>
      </c>
      <c r="N78" s="35" t="s">
        <v>68</v>
      </c>
      <c r="O78" s="35" t="s">
        <v>69</v>
      </c>
      <c r="P78" s="35">
        <v>46064.0</v>
      </c>
      <c r="Q78" s="36"/>
      <c r="R78" s="36"/>
      <c r="S78" s="36"/>
      <c r="T78" s="36"/>
      <c r="U78" s="47"/>
      <c r="V78" s="95" t="s">
        <v>299</v>
      </c>
      <c r="W78" s="40"/>
    </row>
    <row r="79">
      <c r="A79" s="28">
        <f t="shared" si="1"/>
        <v>77</v>
      </c>
      <c r="B79" s="20"/>
      <c r="C79" s="20"/>
      <c r="D79" s="103" t="s">
        <v>302</v>
      </c>
      <c r="E79" s="20"/>
      <c r="F79" s="20"/>
      <c r="G79" s="104" t="s">
        <v>303</v>
      </c>
      <c r="H79" s="49" t="str">
        <f>'参照_各種特典'!$L$79</f>
        <v>Motonari</v>
      </c>
      <c r="I79" s="34" t="s">
        <v>298</v>
      </c>
      <c r="J79" s="92">
        <v>250.0</v>
      </c>
      <c r="K79" s="34">
        <v>9.0</v>
      </c>
      <c r="L79" s="94" t="str">
        <f t="shared" si="5"/>
        <v>Motonari</v>
      </c>
      <c r="M79" s="34" t="s">
        <v>67</v>
      </c>
      <c r="N79" s="34" t="s">
        <v>68</v>
      </c>
      <c r="O79" s="34" t="s">
        <v>69</v>
      </c>
      <c r="P79" s="35">
        <v>46065.0</v>
      </c>
      <c r="Q79" s="36"/>
      <c r="R79" s="36"/>
      <c r="S79" s="36"/>
      <c r="T79" s="36"/>
      <c r="U79" s="47"/>
      <c r="V79" s="47"/>
      <c r="W79" s="40"/>
    </row>
    <row r="80">
      <c r="A80" s="28">
        <f t="shared" si="1"/>
        <v>78</v>
      </c>
      <c r="B80" s="20"/>
      <c r="C80" s="20"/>
      <c r="D80" s="103" t="s">
        <v>304</v>
      </c>
      <c r="E80" s="20"/>
      <c r="F80" s="20"/>
      <c r="G80" s="104" t="s">
        <v>305</v>
      </c>
      <c r="H80" s="49" t="str">
        <f>'参照_各種特典'!$G$79</f>
        <v>Chapter 13 (10/10) Main Route</v>
      </c>
      <c r="I80" s="34" t="s">
        <v>298</v>
      </c>
      <c r="J80" s="92">
        <v>250.0</v>
      </c>
      <c r="K80" s="34">
        <v>4.0</v>
      </c>
      <c r="L80" s="94" t="str">
        <f t="array" ref="L80">IF(ISTEXT(I80),
"Chapter "&amp;
VLOOKUP(J80,INDIRECT(I80),K80,0)&amp;
" ("&amp;
VLOOKUP(J80,INDIRECT(I80),K80+1,0)&amp;
"/10) Main Route"
,)</f>
        <v>Chapter 13 (10/10) Main Route</v>
      </c>
      <c r="M80" s="34" t="s">
        <v>67</v>
      </c>
      <c r="N80" s="34" t="s">
        <v>68</v>
      </c>
      <c r="O80" s="34" t="s">
        <v>69</v>
      </c>
      <c r="P80" s="35">
        <v>46065.0</v>
      </c>
      <c r="Q80" s="36"/>
      <c r="R80" s="36"/>
      <c r="S80" s="36"/>
      <c r="T80" s="36"/>
      <c r="U80" s="47"/>
      <c r="V80" s="47"/>
      <c r="W80" s="40"/>
    </row>
    <row r="81">
      <c r="A81" s="28">
        <f t="shared" si="1"/>
        <v>79</v>
      </c>
      <c r="B81" s="20"/>
      <c r="C81" s="21"/>
      <c r="D81" s="103" t="s">
        <v>306</v>
      </c>
      <c r="E81" s="20"/>
      <c r="F81" s="21"/>
      <c r="G81" s="104" t="s">
        <v>307</v>
      </c>
      <c r="H81" s="119">
        <f>'参照_各種特典'!$K$79</f>
        <v>500</v>
      </c>
      <c r="I81" s="34" t="s">
        <v>298</v>
      </c>
      <c r="J81" s="92">
        <v>250.0</v>
      </c>
      <c r="K81" s="34">
        <v>7.0</v>
      </c>
      <c r="L81" s="94">
        <f t="array" ref="L81">IF(ISTEXT(I81:I137),
VLOOKUP(J81:J137,INDIRECT(I81:I137),K81:K137,0),
)</f>
        <v>500</v>
      </c>
      <c r="M81" s="34" t="s">
        <v>67</v>
      </c>
      <c r="N81" s="34" t="s">
        <v>68</v>
      </c>
      <c r="O81" s="34" t="s">
        <v>69</v>
      </c>
      <c r="P81" s="35">
        <v>46065.0</v>
      </c>
      <c r="Q81" s="36"/>
      <c r="R81" s="36"/>
      <c r="S81" s="36"/>
      <c r="T81" s="36"/>
      <c r="U81" s="47"/>
      <c r="V81" s="47"/>
      <c r="W81" s="40"/>
    </row>
    <row r="82">
      <c r="A82" s="28">
        <f t="shared" si="1"/>
        <v>80</v>
      </c>
      <c r="B82" s="20"/>
      <c r="C82" s="62" t="s">
        <v>72</v>
      </c>
      <c r="D82" s="103" t="s">
        <v>265</v>
      </c>
      <c r="E82" s="20"/>
      <c r="F82" s="62" t="s">
        <v>74</v>
      </c>
      <c r="G82" s="104" t="s">
        <v>266</v>
      </c>
      <c r="H82" s="37" t="str">
        <f>'参照_各種特典'!$M$79&amp;"
"&amp;'参照_各種特典'!$F$79</f>
        <v>Until 02/27 17:00(顯示的時間會因地區而異) 
・Finish reading Chapter 13 of Motonari's Main Route
・Use 500 Hearts
Nine-Tailed Fox Motonari</v>
      </c>
      <c r="I82" s="28"/>
      <c r="J82" s="105"/>
      <c r="K82" s="28"/>
      <c r="L82" s="94"/>
      <c r="M82" s="34" t="s">
        <v>67</v>
      </c>
      <c r="N82" s="34" t="s">
        <v>68</v>
      </c>
      <c r="O82" s="34" t="s">
        <v>69</v>
      </c>
      <c r="P82" s="35">
        <v>46064.0</v>
      </c>
      <c r="Q82" s="36"/>
      <c r="R82" s="36"/>
      <c r="S82" s="36"/>
      <c r="T82" s="36"/>
      <c r="U82" s="47"/>
      <c r="V82" s="47"/>
      <c r="W82" s="40"/>
    </row>
    <row r="83">
      <c r="A83" s="28">
        <f t="shared" si="1"/>
        <v>81</v>
      </c>
      <c r="B83" s="21"/>
      <c r="C83" s="21"/>
      <c r="D83" s="103" t="s">
        <v>268</v>
      </c>
      <c r="E83" s="21"/>
      <c r="F83" s="21"/>
      <c r="G83" s="104" t="s">
        <v>308</v>
      </c>
      <c r="H83" s="37"/>
      <c r="I83" s="28"/>
      <c r="J83" s="105"/>
      <c r="K83" s="28"/>
      <c r="L83" s="94"/>
      <c r="M83" s="34" t="s">
        <v>67</v>
      </c>
      <c r="N83" s="34" t="s">
        <v>68</v>
      </c>
      <c r="O83" s="34" t="s">
        <v>69</v>
      </c>
      <c r="P83" s="35">
        <v>46064.0</v>
      </c>
      <c r="Q83" s="34" t="s">
        <v>67</v>
      </c>
      <c r="R83" s="28" t="s">
        <v>68</v>
      </c>
      <c r="S83" s="28" t="s">
        <v>69</v>
      </c>
      <c r="T83" s="45" t="s">
        <v>76</v>
      </c>
      <c r="U83" s="46"/>
      <c r="V83" s="46"/>
      <c r="W83" s="47"/>
    </row>
    <row r="84">
      <c r="A84" s="28">
        <f t="shared" si="1"/>
        <v>82</v>
      </c>
      <c r="B84" s="37"/>
      <c r="C84" s="91" t="s">
        <v>288</v>
      </c>
      <c r="D84" s="100" t="s">
        <v>255</v>
      </c>
      <c r="E84" s="29" t="str">
        <f>'参照_各種特典'!C80&amp;"
"&amp;'参照_各種特典'!D80</f>
        <v>本編・続編連動特典
Extra Bonus</v>
      </c>
      <c r="F84" s="91" t="s">
        <v>310</v>
      </c>
      <c r="G84" s="101" t="s">
        <v>256</v>
      </c>
      <c r="H84" s="31" t="str">
        <f>'参照_各種特典'!$F$80</f>
        <v>Nine-Tailed Fox Kanetsugu</v>
      </c>
      <c r="I84" s="34" t="s">
        <v>290</v>
      </c>
      <c r="J84" s="116">
        <v>171921.0</v>
      </c>
      <c r="K84" s="34">
        <v>4.0</v>
      </c>
      <c r="L84" s="94" t="str">
        <f t="shared" ref="L84:L88" si="6">IF(ISTEXT(I84:I137),
VLOOKUP(J84:J137,INDIRECT(I84:I137),K84:K137,0),
)</f>
        <v>Nine-Tailed Fox Kanetsugu</v>
      </c>
      <c r="M84" s="34" t="s">
        <v>67</v>
      </c>
      <c r="N84" s="34" t="s">
        <v>68</v>
      </c>
      <c r="O84" s="34" t="s">
        <v>69</v>
      </c>
      <c r="P84" s="35">
        <v>46065.0</v>
      </c>
      <c r="Q84" s="36"/>
      <c r="R84" s="36"/>
      <c r="S84" s="36"/>
      <c r="T84" s="36"/>
      <c r="U84" s="46"/>
      <c r="V84" s="46"/>
      <c r="W84" s="47"/>
    </row>
    <row r="85">
      <c r="A85" s="28">
        <f t="shared" si="1"/>
        <v>83</v>
      </c>
      <c r="B85" s="37"/>
      <c r="C85" s="21"/>
      <c r="D85" s="100" t="s">
        <v>291</v>
      </c>
      <c r="E85" s="20"/>
      <c r="F85" s="21"/>
      <c r="G85" s="101" t="s">
        <v>292</v>
      </c>
      <c r="H85" s="31">
        <f>'参照_各種特典'!$H$80</f>
        <v>1</v>
      </c>
      <c r="I85" s="34" t="s">
        <v>257</v>
      </c>
      <c r="J85" s="92" t="s">
        <v>293</v>
      </c>
      <c r="K85" s="34">
        <v>7.0</v>
      </c>
      <c r="L85" s="94">
        <f t="shared" si="6"/>
        <v>1</v>
      </c>
      <c r="M85" s="34" t="s">
        <v>67</v>
      </c>
      <c r="N85" s="34" t="s">
        <v>68</v>
      </c>
      <c r="O85" s="34" t="s">
        <v>69</v>
      </c>
      <c r="P85" s="35">
        <v>46065.0</v>
      </c>
      <c r="Q85" s="36"/>
      <c r="R85" s="36"/>
      <c r="S85" s="36"/>
      <c r="T85" s="36"/>
      <c r="U85" s="46"/>
      <c r="V85" s="46"/>
      <c r="W85" s="47"/>
    </row>
    <row r="86">
      <c r="A86" s="28">
        <f t="shared" si="1"/>
        <v>84</v>
      </c>
      <c r="B86" s="37"/>
      <c r="C86" s="91" t="s">
        <v>294</v>
      </c>
      <c r="D86" s="100" t="s">
        <v>295</v>
      </c>
      <c r="E86" s="20"/>
      <c r="F86" s="117" t="s">
        <v>296</v>
      </c>
      <c r="G86" s="101" t="s">
        <v>297</v>
      </c>
      <c r="H86" s="33">
        <f>'参照_各種特典'!$I$80</f>
        <v>46074.70833</v>
      </c>
      <c r="I86" s="34" t="s">
        <v>298</v>
      </c>
      <c r="J86" s="92">
        <v>251.0</v>
      </c>
      <c r="K86" s="34">
        <v>16.0</v>
      </c>
      <c r="L86" s="93">
        <f t="shared" si="6"/>
        <v>46074.70833</v>
      </c>
      <c r="M86" s="34" t="s">
        <v>67</v>
      </c>
      <c r="N86" s="34" t="s">
        <v>68</v>
      </c>
      <c r="O86" s="34" t="s">
        <v>69</v>
      </c>
      <c r="P86" s="35">
        <v>46065.0</v>
      </c>
      <c r="Q86" s="36"/>
      <c r="R86" s="36"/>
      <c r="S86" s="36"/>
      <c r="T86" s="36"/>
      <c r="U86" s="46"/>
      <c r="V86" s="46"/>
      <c r="W86" s="47"/>
    </row>
    <row r="87">
      <c r="A87" s="28">
        <f t="shared" si="1"/>
        <v>85</v>
      </c>
      <c r="B87" s="37"/>
      <c r="C87" s="20"/>
      <c r="D87" s="100" t="s">
        <v>300</v>
      </c>
      <c r="E87" s="20"/>
      <c r="F87" s="20"/>
      <c r="G87" s="101" t="s">
        <v>301</v>
      </c>
      <c r="H87" s="33">
        <f>'参照_各種特典'!$J$80</f>
        <v>46080.70833</v>
      </c>
      <c r="I87" s="34" t="s">
        <v>298</v>
      </c>
      <c r="J87" s="92">
        <v>251.0</v>
      </c>
      <c r="K87" s="34">
        <v>17.0</v>
      </c>
      <c r="L87" s="93">
        <f t="shared" si="6"/>
        <v>46080.70833</v>
      </c>
      <c r="M87" s="34" t="s">
        <v>67</v>
      </c>
      <c r="N87" s="34" t="s">
        <v>68</v>
      </c>
      <c r="O87" s="34" t="s">
        <v>69</v>
      </c>
      <c r="P87" s="35">
        <v>46065.0</v>
      </c>
      <c r="Q87" s="36"/>
      <c r="R87" s="36"/>
      <c r="S87" s="36"/>
      <c r="T87" s="36"/>
      <c r="U87" s="46"/>
      <c r="V87" s="46"/>
      <c r="W87" s="47"/>
    </row>
    <row r="88">
      <c r="A88" s="28">
        <f t="shared" si="1"/>
        <v>86</v>
      </c>
      <c r="B88" s="37"/>
      <c r="C88" s="20"/>
      <c r="D88" s="100" t="s">
        <v>302</v>
      </c>
      <c r="E88" s="20"/>
      <c r="F88" s="20"/>
      <c r="G88" s="101" t="s">
        <v>303</v>
      </c>
      <c r="H88" s="33" t="str">
        <f>'参照_各種特典'!$L$80</f>
        <v>Kanetsugu</v>
      </c>
      <c r="I88" s="34" t="s">
        <v>298</v>
      </c>
      <c r="J88" s="92">
        <v>251.0</v>
      </c>
      <c r="K88" s="34">
        <v>9.0</v>
      </c>
      <c r="L88" s="94" t="str">
        <f t="shared" si="6"/>
        <v>Kanetsugu</v>
      </c>
      <c r="M88" s="34" t="s">
        <v>67</v>
      </c>
      <c r="N88" s="34" t="s">
        <v>68</v>
      </c>
      <c r="O88" s="34" t="s">
        <v>69</v>
      </c>
      <c r="P88" s="35">
        <v>46065.0</v>
      </c>
      <c r="Q88" s="36"/>
      <c r="R88" s="36"/>
      <c r="S88" s="36"/>
      <c r="T88" s="36"/>
      <c r="U88" s="46"/>
      <c r="V88" s="46"/>
      <c r="W88" s="47"/>
    </row>
    <row r="89">
      <c r="A89" s="28">
        <f t="shared" si="1"/>
        <v>87</v>
      </c>
      <c r="B89" s="37"/>
      <c r="C89" s="20"/>
      <c r="D89" s="100" t="s">
        <v>304</v>
      </c>
      <c r="E89" s="20"/>
      <c r="F89" s="20"/>
      <c r="G89" s="101" t="s">
        <v>305</v>
      </c>
      <c r="H89" s="33" t="str">
        <f>'参照_各種特典'!$G$80</f>
        <v>Chapter 13 (10/10) Main Route</v>
      </c>
      <c r="I89" s="34" t="s">
        <v>298</v>
      </c>
      <c r="J89" s="92">
        <v>251.0</v>
      </c>
      <c r="K89" s="34">
        <v>4.0</v>
      </c>
      <c r="L89" s="94" t="str">
        <f t="array" ref="L89">IF(ISTEXT(I89),
"Chapter "&amp;
VLOOKUP(J89,INDIRECT(I89),K89,0)&amp;
" ("&amp;
VLOOKUP(J89,INDIRECT(I89),K89+1,0)&amp;
"/10) Main Route"
,)</f>
        <v>Chapter 13 (10/10) Main Route</v>
      </c>
      <c r="M89" s="34" t="s">
        <v>67</v>
      </c>
      <c r="N89" s="34" t="s">
        <v>68</v>
      </c>
      <c r="O89" s="34" t="s">
        <v>69</v>
      </c>
      <c r="P89" s="35">
        <v>46065.0</v>
      </c>
      <c r="Q89" s="36"/>
      <c r="R89" s="36"/>
      <c r="S89" s="36"/>
      <c r="T89" s="36"/>
      <c r="U89" s="46"/>
      <c r="V89" s="46"/>
      <c r="W89" s="47"/>
    </row>
    <row r="90">
      <c r="A90" s="28">
        <f t="shared" si="1"/>
        <v>88</v>
      </c>
      <c r="B90" s="37"/>
      <c r="C90" s="21"/>
      <c r="D90" s="100" t="s">
        <v>306</v>
      </c>
      <c r="E90" s="20"/>
      <c r="F90" s="21"/>
      <c r="G90" s="101" t="s">
        <v>307</v>
      </c>
      <c r="H90" s="118">
        <f>'参照_各種特典'!$K$80</f>
        <v>500</v>
      </c>
      <c r="I90" s="34" t="s">
        <v>298</v>
      </c>
      <c r="J90" s="92">
        <v>251.0</v>
      </c>
      <c r="K90" s="34">
        <v>7.0</v>
      </c>
      <c r="L90" s="94">
        <f t="array" ref="L90">IF(ISTEXT(I90:I137),
VLOOKUP(J90:J137,INDIRECT(I90:I137),K90:K137,0),
)</f>
        <v>500</v>
      </c>
      <c r="M90" s="34" t="s">
        <v>67</v>
      </c>
      <c r="N90" s="34" t="s">
        <v>68</v>
      </c>
      <c r="O90" s="34" t="s">
        <v>69</v>
      </c>
      <c r="P90" s="35">
        <v>46065.0</v>
      </c>
      <c r="Q90" s="36"/>
      <c r="R90" s="36"/>
      <c r="S90" s="36"/>
      <c r="T90" s="36"/>
      <c r="U90" s="46"/>
      <c r="V90" s="46"/>
      <c r="W90" s="47"/>
    </row>
    <row r="91">
      <c r="A91" s="28">
        <f t="shared" si="1"/>
        <v>89</v>
      </c>
      <c r="B91" s="37"/>
      <c r="C91" s="62" t="s">
        <v>72</v>
      </c>
      <c r="D91" s="100" t="s">
        <v>265</v>
      </c>
      <c r="E91" s="20"/>
      <c r="F91" s="62" t="s">
        <v>74</v>
      </c>
      <c r="G91" s="101" t="s">
        <v>266</v>
      </c>
      <c r="H91" s="31" t="str">
        <f>'参照_各種特典'!$M$80&amp;"
"&amp;'参照_各種特典'!$F$80</f>
        <v>Until 02/27 17:00(顯示的時間會因地區而異) 
・Finish reading Chapter 13 of Kanetsugu's Main Route
・Use 500 Hearts
Nine-Tailed Fox Kanetsugu</v>
      </c>
      <c r="I91" s="34"/>
      <c r="J91" s="92"/>
      <c r="K91" s="34"/>
      <c r="L91" s="94"/>
      <c r="M91" s="34" t="s">
        <v>67</v>
      </c>
      <c r="N91" s="34" t="s">
        <v>68</v>
      </c>
      <c r="O91" s="34" t="s">
        <v>69</v>
      </c>
      <c r="P91" s="35">
        <v>46065.0</v>
      </c>
      <c r="Q91" s="36"/>
      <c r="R91" s="36"/>
      <c r="S91" s="36"/>
      <c r="T91" s="36"/>
      <c r="U91" s="46"/>
      <c r="V91" s="46"/>
      <c r="W91" s="47"/>
    </row>
    <row r="92">
      <c r="A92" s="28">
        <f t="shared" si="1"/>
        <v>90</v>
      </c>
      <c r="B92" s="37"/>
      <c r="C92" s="21"/>
      <c r="D92" s="100" t="s">
        <v>268</v>
      </c>
      <c r="E92" s="21"/>
      <c r="F92" s="21"/>
      <c r="G92" s="101" t="s">
        <v>308</v>
      </c>
      <c r="H92" s="31"/>
      <c r="I92" s="34"/>
      <c r="J92" s="92"/>
      <c r="K92" s="34"/>
      <c r="L92" s="94"/>
      <c r="M92" s="34" t="s">
        <v>67</v>
      </c>
      <c r="N92" s="34" t="s">
        <v>68</v>
      </c>
      <c r="O92" s="34" t="s">
        <v>69</v>
      </c>
      <c r="P92" s="35">
        <v>46065.0</v>
      </c>
      <c r="Q92" s="34" t="s">
        <v>67</v>
      </c>
      <c r="R92" s="28" t="s">
        <v>68</v>
      </c>
      <c r="S92" s="28" t="s">
        <v>69</v>
      </c>
      <c r="T92" s="45" t="s">
        <v>76</v>
      </c>
      <c r="U92" s="46"/>
      <c r="V92" s="46"/>
      <c r="W92" s="47"/>
    </row>
    <row r="93">
      <c r="A93" s="28">
        <f t="shared" si="1"/>
        <v>91</v>
      </c>
      <c r="B93" s="37"/>
      <c r="C93" s="91" t="s">
        <v>288</v>
      </c>
      <c r="D93" s="103" t="s">
        <v>255</v>
      </c>
      <c r="E93" s="59" t="str">
        <f>'参照_各種特典'!C81&amp;"
"&amp;'参照_各種特典'!D81</f>
        <v>本編・続編連動特典
Extra Bonus</v>
      </c>
      <c r="F93" s="91" t="s">
        <v>311</v>
      </c>
      <c r="G93" s="104" t="s">
        <v>256</v>
      </c>
      <c r="H93" s="37" t="str">
        <f>'参照_各種特典'!$F$81</f>
        <v>Nine-Tailed Fox Kicho</v>
      </c>
      <c r="I93" s="34" t="s">
        <v>290</v>
      </c>
      <c r="J93" s="116">
        <v>171922.0</v>
      </c>
      <c r="K93" s="34">
        <v>4.0</v>
      </c>
      <c r="L93" s="94" t="str">
        <f t="shared" ref="L93:L97" si="7">IF(ISTEXT(I93:I137),
VLOOKUP(J93:J137,INDIRECT(I93:I137),K93:K137,0),
)</f>
        <v>Nine-Tailed Fox Kicho</v>
      </c>
      <c r="M93" s="34" t="s">
        <v>67</v>
      </c>
      <c r="N93" s="34" t="s">
        <v>68</v>
      </c>
      <c r="O93" s="34" t="s">
        <v>69</v>
      </c>
      <c r="P93" s="35">
        <v>46065.0</v>
      </c>
      <c r="Q93" s="36"/>
      <c r="R93" s="36"/>
      <c r="S93" s="36"/>
      <c r="T93" s="36"/>
      <c r="U93" s="46"/>
      <c r="V93" s="46"/>
      <c r="W93" s="47"/>
    </row>
    <row r="94">
      <c r="A94" s="28">
        <f t="shared" si="1"/>
        <v>92</v>
      </c>
      <c r="B94" s="37"/>
      <c r="C94" s="21"/>
      <c r="D94" s="103" t="s">
        <v>291</v>
      </c>
      <c r="E94" s="20"/>
      <c r="F94" s="21"/>
      <c r="G94" s="104" t="s">
        <v>292</v>
      </c>
      <c r="H94" s="37">
        <f>'参照_各種特典'!$H$81</f>
        <v>1</v>
      </c>
      <c r="I94" s="34" t="s">
        <v>257</v>
      </c>
      <c r="J94" s="92" t="s">
        <v>293</v>
      </c>
      <c r="K94" s="34">
        <v>7.0</v>
      </c>
      <c r="L94" s="94">
        <f t="shared" si="7"/>
        <v>1</v>
      </c>
      <c r="M94" s="34" t="s">
        <v>67</v>
      </c>
      <c r="N94" s="34" t="s">
        <v>68</v>
      </c>
      <c r="O94" s="34" t="s">
        <v>69</v>
      </c>
      <c r="P94" s="35">
        <v>46065.0</v>
      </c>
      <c r="Q94" s="36"/>
      <c r="R94" s="36"/>
      <c r="S94" s="36"/>
      <c r="T94" s="36"/>
      <c r="U94" s="46"/>
      <c r="V94" s="46"/>
      <c r="W94" s="47"/>
    </row>
    <row r="95">
      <c r="A95" s="28">
        <f t="shared" si="1"/>
        <v>93</v>
      </c>
      <c r="B95" s="37"/>
      <c r="C95" s="91" t="s">
        <v>294</v>
      </c>
      <c r="D95" s="103" t="s">
        <v>295</v>
      </c>
      <c r="E95" s="20"/>
      <c r="F95" s="117" t="s">
        <v>296</v>
      </c>
      <c r="G95" s="104" t="s">
        <v>297</v>
      </c>
      <c r="H95" s="49">
        <f>'参照_各種特典'!$I$81</f>
        <v>46074.70833</v>
      </c>
      <c r="I95" s="34" t="s">
        <v>298</v>
      </c>
      <c r="J95" s="92">
        <v>252.0</v>
      </c>
      <c r="K95" s="34">
        <v>16.0</v>
      </c>
      <c r="L95" s="93">
        <f t="shared" si="7"/>
        <v>46074.70833</v>
      </c>
      <c r="M95" s="34" t="s">
        <v>67</v>
      </c>
      <c r="N95" s="34" t="s">
        <v>68</v>
      </c>
      <c r="O95" s="34" t="s">
        <v>69</v>
      </c>
      <c r="P95" s="35">
        <v>46065.0</v>
      </c>
      <c r="Q95" s="36"/>
      <c r="R95" s="36"/>
      <c r="S95" s="36"/>
      <c r="T95" s="36"/>
      <c r="U95" s="46"/>
      <c r="V95" s="46"/>
      <c r="W95" s="47"/>
    </row>
    <row r="96">
      <c r="A96" s="28">
        <f t="shared" si="1"/>
        <v>94</v>
      </c>
      <c r="B96" s="37"/>
      <c r="C96" s="20"/>
      <c r="D96" s="103" t="s">
        <v>300</v>
      </c>
      <c r="E96" s="20"/>
      <c r="F96" s="20"/>
      <c r="G96" s="104" t="s">
        <v>301</v>
      </c>
      <c r="H96" s="49">
        <f>'参照_各種特典'!$J$81</f>
        <v>46080.70833</v>
      </c>
      <c r="I96" s="34" t="s">
        <v>298</v>
      </c>
      <c r="J96" s="92">
        <v>252.0</v>
      </c>
      <c r="K96" s="34">
        <v>17.0</v>
      </c>
      <c r="L96" s="93">
        <f t="shared" si="7"/>
        <v>46080.70833</v>
      </c>
      <c r="M96" s="34" t="s">
        <v>67</v>
      </c>
      <c r="N96" s="34" t="s">
        <v>68</v>
      </c>
      <c r="O96" s="34" t="s">
        <v>69</v>
      </c>
      <c r="P96" s="35">
        <v>46065.0</v>
      </c>
      <c r="Q96" s="36"/>
      <c r="R96" s="36"/>
      <c r="S96" s="36"/>
      <c r="T96" s="36"/>
      <c r="U96" s="46"/>
      <c r="V96" s="46"/>
      <c r="W96" s="47"/>
    </row>
    <row r="97">
      <c r="A97" s="28">
        <f t="shared" si="1"/>
        <v>95</v>
      </c>
      <c r="B97" s="37"/>
      <c r="C97" s="20"/>
      <c r="D97" s="103" t="s">
        <v>302</v>
      </c>
      <c r="E97" s="20"/>
      <c r="F97" s="20"/>
      <c r="G97" s="104" t="s">
        <v>303</v>
      </c>
      <c r="H97" s="49" t="str">
        <f>'参照_各種特典'!$L$81</f>
        <v>Kicho</v>
      </c>
      <c r="I97" s="34" t="s">
        <v>298</v>
      </c>
      <c r="J97" s="92">
        <v>252.0</v>
      </c>
      <c r="K97" s="34">
        <v>9.0</v>
      </c>
      <c r="L97" s="94" t="str">
        <f t="shared" si="7"/>
        <v>Kicho</v>
      </c>
      <c r="M97" s="34" t="s">
        <v>67</v>
      </c>
      <c r="N97" s="34" t="s">
        <v>68</v>
      </c>
      <c r="O97" s="34" t="s">
        <v>69</v>
      </c>
      <c r="P97" s="35">
        <v>46065.0</v>
      </c>
      <c r="Q97" s="36"/>
      <c r="R97" s="36"/>
      <c r="S97" s="36"/>
      <c r="T97" s="36"/>
      <c r="U97" s="46"/>
      <c r="V97" s="46"/>
      <c r="W97" s="47"/>
    </row>
    <row r="98">
      <c r="A98" s="28">
        <f t="shared" si="1"/>
        <v>96</v>
      </c>
      <c r="B98" s="37"/>
      <c r="C98" s="20"/>
      <c r="D98" s="103" t="s">
        <v>304</v>
      </c>
      <c r="E98" s="20"/>
      <c r="F98" s="20"/>
      <c r="G98" s="104" t="s">
        <v>305</v>
      </c>
      <c r="H98" s="49" t="str">
        <f>'参照_各種特典'!$G$81</f>
        <v>Chapter 13 (10/10) Main Route</v>
      </c>
      <c r="I98" s="34" t="s">
        <v>298</v>
      </c>
      <c r="J98" s="92">
        <v>252.0</v>
      </c>
      <c r="K98" s="34">
        <v>4.0</v>
      </c>
      <c r="L98" s="94" t="str">
        <f t="array" ref="L98">IF(ISTEXT(I98),
"Chapter "&amp;
VLOOKUP(J98,INDIRECT(I98),K98,0)&amp;
" ("&amp;
VLOOKUP(J98,INDIRECT(I98),K98+1,0)&amp;
"/10) Main Route"
,)</f>
        <v>Chapter 13 (10/10) Main Route</v>
      </c>
      <c r="M98" s="34" t="s">
        <v>67</v>
      </c>
      <c r="N98" s="34" t="s">
        <v>68</v>
      </c>
      <c r="O98" s="34" t="s">
        <v>69</v>
      </c>
      <c r="P98" s="35">
        <v>46065.0</v>
      </c>
      <c r="Q98" s="36"/>
      <c r="R98" s="36"/>
      <c r="S98" s="36"/>
      <c r="T98" s="36"/>
      <c r="U98" s="46"/>
      <c r="V98" s="46"/>
      <c r="W98" s="47"/>
    </row>
    <row r="99">
      <c r="A99" s="28">
        <f t="shared" si="1"/>
        <v>97</v>
      </c>
      <c r="B99" s="37"/>
      <c r="C99" s="21"/>
      <c r="D99" s="103" t="s">
        <v>306</v>
      </c>
      <c r="E99" s="20"/>
      <c r="F99" s="21"/>
      <c r="G99" s="104" t="s">
        <v>307</v>
      </c>
      <c r="H99" s="119">
        <f>'参照_各種特典'!$K$81</f>
        <v>500</v>
      </c>
      <c r="I99" s="34" t="s">
        <v>298</v>
      </c>
      <c r="J99" s="92">
        <v>252.0</v>
      </c>
      <c r="K99" s="34">
        <v>7.0</v>
      </c>
      <c r="L99" s="94">
        <f t="array" ref="L99">IF(ISTEXT(I99:I137),
VLOOKUP(J99:J137,INDIRECT(I99:I137),K99:K137,0),
)</f>
        <v>500</v>
      </c>
      <c r="M99" s="34" t="s">
        <v>67</v>
      </c>
      <c r="N99" s="34" t="s">
        <v>68</v>
      </c>
      <c r="O99" s="34" t="s">
        <v>69</v>
      </c>
      <c r="P99" s="35">
        <v>46065.0</v>
      </c>
      <c r="Q99" s="36"/>
      <c r="R99" s="36"/>
      <c r="S99" s="36"/>
      <c r="T99" s="36"/>
      <c r="U99" s="46"/>
      <c r="V99" s="46"/>
      <c r="W99" s="47"/>
    </row>
    <row r="100">
      <c r="A100" s="28">
        <f t="shared" si="1"/>
        <v>98</v>
      </c>
      <c r="B100" s="37"/>
      <c r="C100" s="62" t="s">
        <v>72</v>
      </c>
      <c r="D100" s="103" t="s">
        <v>265</v>
      </c>
      <c r="E100" s="20"/>
      <c r="F100" s="62" t="s">
        <v>74</v>
      </c>
      <c r="G100" s="104" t="s">
        <v>266</v>
      </c>
      <c r="H100" s="37" t="str">
        <f>'参照_各種特典'!$M$81&amp;"
"&amp;'参照_各種特典'!$F$81</f>
        <v>Until 02/27 17:00(顯示的時間會因地區而異) 
・Finish reading Chapter 13 of Kicho's Main Route
・Use 500 Hearts
Nine-Tailed Fox Kicho</v>
      </c>
      <c r="I100" s="28"/>
      <c r="J100" s="105"/>
      <c r="K100" s="28"/>
      <c r="L100" s="94"/>
      <c r="M100" s="34" t="s">
        <v>67</v>
      </c>
      <c r="N100" s="34" t="s">
        <v>68</v>
      </c>
      <c r="O100" s="34" t="s">
        <v>69</v>
      </c>
      <c r="P100" s="35">
        <v>46065.0</v>
      </c>
      <c r="Q100" s="36"/>
      <c r="R100" s="36"/>
      <c r="S100" s="36"/>
      <c r="T100" s="36"/>
      <c r="U100" s="46"/>
      <c r="V100" s="46"/>
      <c r="W100" s="47"/>
    </row>
    <row r="101">
      <c r="A101" s="28">
        <f t="shared" si="1"/>
        <v>99</v>
      </c>
      <c r="B101" s="37"/>
      <c r="C101" s="21"/>
      <c r="D101" s="103" t="s">
        <v>268</v>
      </c>
      <c r="E101" s="21"/>
      <c r="F101" s="21"/>
      <c r="G101" s="104" t="s">
        <v>308</v>
      </c>
      <c r="H101" s="37"/>
      <c r="I101" s="28"/>
      <c r="J101" s="105"/>
      <c r="K101" s="28"/>
      <c r="L101" s="94"/>
      <c r="M101" s="34" t="s">
        <v>67</v>
      </c>
      <c r="N101" s="34" t="s">
        <v>68</v>
      </c>
      <c r="O101" s="34" t="s">
        <v>69</v>
      </c>
      <c r="P101" s="35">
        <v>46065.0</v>
      </c>
      <c r="Q101" s="34" t="s">
        <v>67</v>
      </c>
      <c r="R101" s="28" t="s">
        <v>68</v>
      </c>
      <c r="S101" s="28" t="s">
        <v>69</v>
      </c>
      <c r="T101" s="45" t="s">
        <v>76</v>
      </c>
      <c r="U101" s="46"/>
      <c r="V101" s="46"/>
      <c r="W101" s="47"/>
    </row>
    <row r="102">
      <c r="A102" s="28">
        <f t="shared" si="1"/>
        <v>100</v>
      </c>
      <c r="B102" s="29" t="s">
        <v>312</v>
      </c>
      <c r="C102" s="91" t="s">
        <v>313</v>
      </c>
      <c r="D102" s="100" t="s">
        <v>314</v>
      </c>
      <c r="E102" s="29" t="s">
        <v>312</v>
      </c>
      <c r="F102" s="91" t="s">
        <v>315</v>
      </c>
      <c r="G102" s="101" t="s">
        <v>316</v>
      </c>
      <c r="H102" s="31">
        <f>'参照_各種特典'!$C$113</f>
        <v>1</v>
      </c>
      <c r="I102" s="34" t="s">
        <v>317</v>
      </c>
      <c r="J102" s="116">
        <v>5779.0</v>
      </c>
      <c r="K102" s="34">
        <v>10.0</v>
      </c>
      <c r="L102" s="94">
        <f t="shared" ref="L102:L119" si="8">IF(ISTEXT(I102:I137),
VLOOKUP(J102:J137,INDIRECT(I102:I137),K102:K137,0),
)</f>
        <v>1</v>
      </c>
      <c r="M102" s="34" t="s">
        <v>67</v>
      </c>
      <c r="N102" s="34" t="s">
        <v>68</v>
      </c>
      <c r="O102" s="34" t="s">
        <v>69</v>
      </c>
      <c r="P102" s="35">
        <v>46062.0</v>
      </c>
      <c r="Q102" s="36"/>
      <c r="R102" s="36"/>
      <c r="S102" s="36"/>
      <c r="T102" s="36"/>
      <c r="U102" s="47"/>
      <c r="V102" s="47"/>
      <c r="W102" s="40"/>
    </row>
    <row r="103">
      <c r="A103" s="28">
        <f t="shared" si="1"/>
        <v>101</v>
      </c>
      <c r="B103" s="20"/>
      <c r="C103" s="21"/>
      <c r="D103" s="100" t="s">
        <v>318</v>
      </c>
      <c r="E103" s="20"/>
      <c r="F103" s="21"/>
      <c r="G103" s="101" t="s">
        <v>319</v>
      </c>
      <c r="H103" s="31">
        <f>'参照_各種特典'!$D$113</f>
        <v>100</v>
      </c>
      <c r="I103" s="34" t="s">
        <v>317</v>
      </c>
      <c r="J103" s="116">
        <v>5779.0</v>
      </c>
      <c r="K103" s="120">
        <v>11.0</v>
      </c>
      <c r="L103" s="94">
        <f t="shared" si="8"/>
        <v>100</v>
      </c>
      <c r="M103" s="34" t="s">
        <v>67</v>
      </c>
      <c r="N103" s="34" t="s">
        <v>68</v>
      </c>
      <c r="O103" s="34" t="s">
        <v>69</v>
      </c>
      <c r="P103" s="35">
        <v>46062.0</v>
      </c>
      <c r="Q103" s="36"/>
      <c r="R103" s="36"/>
      <c r="S103" s="36"/>
      <c r="T103" s="36"/>
      <c r="U103" s="47"/>
      <c r="V103" s="47"/>
      <c r="W103" s="40"/>
    </row>
    <row r="104">
      <c r="A104" s="28">
        <f t="shared" si="1"/>
        <v>102</v>
      </c>
      <c r="B104" s="20"/>
      <c r="C104" s="91" t="s">
        <v>288</v>
      </c>
      <c r="D104" s="100" t="s">
        <v>255</v>
      </c>
      <c r="E104" s="20"/>
      <c r="F104" s="91" t="s">
        <v>320</v>
      </c>
      <c r="G104" s="101" t="s">
        <v>256</v>
      </c>
      <c r="H104" s="31" t="str">
        <f>'参照_各種特典'!$D$103</f>
        <v>Mystic Matrimony Top Ranker Placard</v>
      </c>
      <c r="I104" s="34" t="s">
        <v>317</v>
      </c>
      <c r="J104" s="116">
        <v>5779.0</v>
      </c>
      <c r="K104" s="120">
        <v>6.0</v>
      </c>
      <c r="L104" s="94" t="str">
        <f t="shared" si="8"/>
        <v>Mystic Matrimony Top Ranker Placard</v>
      </c>
      <c r="M104" s="34" t="s">
        <v>67</v>
      </c>
      <c r="N104" s="34" t="s">
        <v>68</v>
      </c>
      <c r="O104" s="34" t="s">
        <v>69</v>
      </c>
      <c r="P104" s="35">
        <v>46062.0</v>
      </c>
      <c r="Q104" s="36"/>
      <c r="R104" s="36"/>
      <c r="S104" s="36"/>
      <c r="T104" s="36"/>
      <c r="U104" s="47"/>
      <c r="V104" s="47"/>
      <c r="W104" s="40"/>
    </row>
    <row r="105">
      <c r="A105" s="28">
        <f t="shared" si="1"/>
        <v>103</v>
      </c>
      <c r="B105" s="20"/>
      <c r="C105" s="21"/>
      <c r="D105" s="100" t="s">
        <v>291</v>
      </c>
      <c r="E105" s="20"/>
      <c r="F105" s="21"/>
      <c r="G105" s="101" t="s">
        <v>292</v>
      </c>
      <c r="H105" s="31">
        <f>'参照_各種特典'!$E$103</f>
        <v>1</v>
      </c>
      <c r="I105" s="34" t="s">
        <v>317</v>
      </c>
      <c r="J105" s="116">
        <v>5779.0</v>
      </c>
      <c r="K105" s="34">
        <v>7.0</v>
      </c>
      <c r="L105" s="94">
        <f t="shared" si="8"/>
        <v>1</v>
      </c>
      <c r="M105" s="34" t="s">
        <v>67</v>
      </c>
      <c r="N105" s="34" t="s">
        <v>68</v>
      </c>
      <c r="O105" s="34" t="s">
        <v>69</v>
      </c>
      <c r="P105" s="35">
        <v>46062.0</v>
      </c>
      <c r="Q105" s="36"/>
      <c r="R105" s="36"/>
      <c r="S105" s="36"/>
      <c r="T105" s="36"/>
      <c r="U105" s="47"/>
      <c r="V105" s="47"/>
      <c r="W105" s="40"/>
    </row>
    <row r="106">
      <c r="A106" s="28">
        <f t="shared" si="1"/>
        <v>104</v>
      </c>
      <c r="B106" s="20"/>
      <c r="C106" s="73" t="s">
        <v>72</v>
      </c>
      <c r="D106" s="100" t="s">
        <v>268</v>
      </c>
      <c r="E106" s="20"/>
      <c r="F106" s="73" t="s">
        <v>74</v>
      </c>
      <c r="G106" s="101" t="s">
        <v>269</v>
      </c>
      <c r="H106" s="31"/>
      <c r="I106" s="28"/>
      <c r="J106" s="105"/>
      <c r="K106" s="28"/>
      <c r="L106" s="94" t="str">
        <f t="shared" si="8"/>
        <v/>
      </c>
      <c r="M106" s="34" t="s">
        <v>67</v>
      </c>
      <c r="N106" s="34" t="s">
        <v>68</v>
      </c>
      <c r="O106" s="34" t="s">
        <v>69</v>
      </c>
      <c r="P106" s="35">
        <v>46064.0</v>
      </c>
      <c r="Q106" s="34" t="s">
        <v>67</v>
      </c>
      <c r="R106" s="28" t="s">
        <v>68</v>
      </c>
      <c r="S106" s="28" t="s">
        <v>69</v>
      </c>
      <c r="T106" s="45" t="s">
        <v>76</v>
      </c>
      <c r="U106" s="47"/>
      <c r="V106" s="47"/>
      <c r="W106" s="40"/>
    </row>
    <row r="107">
      <c r="A107" s="28">
        <f t="shared" si="1"/>
        <v>105</v>
      </c>
      <c r="B107" s="20"/>
      <c r="C107" s="91" t="s">
        <v>313</v>
      </c>
      <c r="D107" s="103" t="s">
        <v>314</v>
      </c>
      <c r="E107" s="20"/>
      <c r="F107" s="91" t="s">
        <v>315</v>
      </c>
      <c r="G107" s="104" t="s">
        <v>316</v>
      </c>
      <c r="H107" s="37">
        <f>'参照_各種特典'!$C$114</f>
        <v>101</v>
      </c>
      <c r="I107" s="34" t="s">
        <v>317</v>
      </c>
      <c r="J107" s="116">
        <v>5788.0</v>
      </c>
      <c r="K107" s="120">
        <v>10.0</v>
      </c>
      <c r="L107" s="94">
        <f t="shared" si="8"/>
        <v>101</v>
      </c>
      <c r="M107" s="34" t="s">
        <v>67</v>
      </c>
      <c r="N107" s="34" t="s">
        <v>68</v>
      </c>
      <c r="O107" s="34" t="s">
        <v>69</v>
      </c>
      <c r="P107" s="35">
        <v>46062.0</v>
      </c>
      <c r="Q107" s="36"/>
      <c r="R107" s="36"/>
      <c r="S107" s="36"/>
      <c r="T107" s="36"/>
      <c r="U107" s="47"/>
      <c r="V107" s="47"/>
      <c r="W107" s="40"/>
    </row>
    <row r="108">
      <c r="A108" s="28">
        <f t="shared" si="1"/>
        <v>106</v>
      </c>
      <c r="B108" s="20"/>
      <c r="C108" s="21"/>
      <c r="D108" s="103" t="s">
        <v>318</v>
      </c>
      <c r="E108" s="20"/>
      <c r="F108" s="21"/>
      <c r="G108" s="104" t="s">
        <v>319</v>
      </c>
      <c r="H108" s="37">
        <f>'参照_各種特典'!$D$114</f>
        <v>150</v>
      </c>
      <c r="I108" s="34" t="s">
        <v>317</v>
      </c>
      <c r="J108" s="116">
        <v>5788.0</v>
      </c>
      <c r="K108" s="120">
        <v>11.0</v>
      </c>
      <c r="L108" s="94">
        <f t="shared" si="8"/>
        <v>150</v>
      </c>
      <c r="M108" s="34" t="s">
        <v>67</v>
      </c>
      <c r="N108" s="34" t="s">
        <v>68</v>
      </c>
      <c r="O108" s="34" t="s">
        <v>69</v>
      </c>
      <c r="P108" s="121">
        <v>46064.0</v>
      </c>
      <c r="Q108" s="36"/>
      <c r="R108" s="36"/>
      <c r="S108" s="36"/>
      <c r="T108" s="36"/>
      <c r="U108" s="47"/>
      <c r="V108" s="95" t="s">
        <v>259</v>
      </c>
      <c r="W108" s="40"/>
    </row>
    <row r="109">
      <c r="A109" s="28">
        <f t="shared" si="1"/>
        <v>107</v>
      </c>
      <c r="B109" s="20"/>
      <c r="C109" s="91" t="s">
        <v>288</v>
      </c>
      <c r="D109" s="103" t="s">
        <v>255</v>
      </c>
      <c r="E109" s="20"/>
      <c r="F109" s="91" t="s">
        <v>321</v>
      </c>
      <c r="G109" s="104" t="s">
        <v>256</v>
      </c>
      <c r="H109" s="37" t="str">
        <f>'参照_各種特典'!$D$104</f>
        <v>Enchanted Cobalt Green Kimono</v>
      </c>
      <c r="I109" s="34" t="s">
        <v>317</v>
      </c>
      <c r="J109" s="116">
        <v>5788.0</v>
      </c>
      <c r="K109" s="120">
        <v>6.0</v>
      </c>
      <c r="L109" s="94" t="str">
        <f t="shared" si="8"/>
        <v>Enchanted Cobalt Green Kimono</v>
      </c>
      <c r="M109" s="34" t="s">
        <v>67</v>
      </c>
      <c r="N109" s="34" t="s">
        <v>68</v>
      </c>
      <c r="O109" s="34" t="s">
        <v>69</v>
      </c>
      <c r="P109" s="35">
        <v>46062.0</v>
      </c>
      <c r="Q109" s="36"/>
      <c r="R109" s="36"/>
      <c r="S109" s="36"/>
      <c r="T109" s="36"/>
      <c r="U109" s="47"/>
      <c r="V109" s="47"/>
      <c r="W109" s="40"/>
    </row>
    <row r="110">
      <c r="A110" s="28">
        <f t="shared" si="1"/>
        <v>108</v>
      </c>
      <c r="B110" s="20"/>
      <c r="C110" s="21"/>
      <c r="D110" s="103" t="s">
        <v>291</v>
      </c>
      <c r="E110" s="20"/>
      <c r="F110" s="21"/>
      <c r="G110" s="104" t="s">
        <v>292</v>
      </c>
      <c r="H110" s="37">
        <f>'参照_各種特典'!$E$104</f>
        <v>1</v>
      </c>
      <c r="I110" s="34" t="s">
        <v>317</v>
      </c>
      <c r="J110" s="116">
        <v>5788.0</v>
      </c>
      <c r="K110" s="34">
        <v>7.0</v>
      </c>
      <c r="L110" s="94">
        <f t="shared" si="8"/>
        <v>1</v>
      </c>
      <c r="M110" s="34" t="s">
        <v>67</v>
      </c>
      <c r="N110" s="34" t="s">
        <v>68</v>
      </c>
      <c r="O110" s="34" t="s">
        <v>69</v>
      </c>
      <c r="P110" s="35">
        <v>46062.0</v>
      </c>
      <c r="Q110" s="36"/>
      <c r="R110" s="36"/>
      <c r="S110" s="36"/>
      <c r="T110" s="36"/>
      <c r="U110" s="47"/>
      <c r="V110" s="47"/>
      <c r="W110" s="40"/>
    </row>
    <row r="111">
      <c r="A111" s="28">
        <f t="shared" si="1"/>
        <v>109</v>
      </c>
      <c r="B111" s="20"/>
      <c r="C111" s="73" t="s">
        <v>72</v>
      </c>
      <c r="D111" s="103" t="s">
        <v>268</v>
      </c>
      <c r="E111" s="20"/>
      <c r="F111" s="73" t="s">
        <v>74</v>
      </c>
      <c r="G111" s="104" t="s">
        <v>269</v>
      </c>
      <c r="H111" s="37"/>
      <c r="I111" s="28"/>
      <c r="J111" s="105"/>
      <c r="K111" s="28"/>
      <c r="L111" s="94" t="str">
        <f t="shared" si="8"/>
        <v/>
      </c>
      <c r="M111" s="34" t="s">
        <v>67</v>
      </c>
      <c r="N111" s="34" t="s">
        <v>68</v>
      </c>
      <c r="O111" s="34" t="s">
        <v>69</v>
      </c>
      <c r="P111" s="35">
        <v>46064.0</v>
      </c>
      <c r="Q111" s="34" t="s">
        <v>67</v>
      </c>
      <c r="R111" s="28" t="s">
        <v>68</v>
      </c>
      <c r="S111" s="28" t="s">
        <v>69</v>
      </c>
      <c r="T111" s="45" t="s">
        <v>76</v>
      </c>
      <c r="U111" s="47"/>
      <c r="V111" s="47"/>
      <c r="W111" s="40"/>
    </row>
    <row r="112">
      <c r="A112" s="28">
        <f t="shared" si="1"/>
        <v>110</v>
      </c>
      <c r="B112" s="20"/>
      <c r="C112" s="91" t="s">
        <v>313</v>
      </c>
      <c r="D112" s="100" t="s">
        <v>314</v>
      </c>
      <c r="E112" s="20"/>
      <c r="F112" s="91" t="s">
        <v>315</v>
      </c>
      <c r="G112" s="101" t="s">
        <v>316</v>
      </c>
      <c r="H112" s="31">
        <f>'参照_各種特典'!$C$115</f>
        <v>151</v>
      </c>
      <c r="I112" s="34" t="s">
        <v>317</v>
      </c>
      <c r="J112" s="116">
        <v>5796.0</v>
      </c>
      <c r="K112" s="120">
        <v>10.0</v>
      </c>
      <c r="L112" s="94">
        <f t="shared" si="8"/>
        <v>151</v>
      </c>
      <c r="M112" s="34" t="s">
        <v>67</v>
      </c>
      <c r="N112" s="34" t="s">
        <v>68</v>
      </c>
      <c r="O112" s="34" t="s">
        <v>69</v>
      </c>
      <c r="P112" s="121">
        <v>46064.0</v>
      </c>
      <c r="Q112" s="36"/>
      <c r="R112" s="36"/>
      <c r="S112" s="36"/>
      <c r="T112" s="36"/>
      <c r="U112" s="47"/>
      <c r="V112" s="95" t="s">
        <v>259</v>
      </c>
      <c r="W112" s="40"/>
    </row>
    <row r="113">
      <c r="A113" s="28">
        <f t="shared" si="1"/>
        <v>111</v>
      </c>
      <c r="B113" s="20"/>
      <c r="C113" s="21"/>
      <c r="D113" s="100" t="s">
        <v>318</v>
      </c>
      <c r="E113" s="20"/>
      <c r="F113" s="21"/>
      <c r="G113" s="101" t="s">
        <v>319</v>
      </c>
      <c r="H113" s="31">
        <f>'参照_各種特典'!$D$115</f>
        <v>300</v>
      </c>
      <c r="I113" s="34" t="s">
        <v>317</v>
      </c>
      <c r="J113" s="116">
        <v>5796.0</v>
      </c>
      <c r="K113" s="120">
        <v>11.0</v>
      </c>
      <c r="L113" s="94">
        <f t="shared" si="8"/>
        <v>300</v>
      </c>
      <c r="M113" s="34" t="s">
        <v>67</v>
      </c>
      <c r="N113" s="34" t="s">
        <v>68</v>
      </c>
      <c r="O113" s="34" t="s">
        <v>69</v>
      </c>
      <c r="P113" s="121">
        <v>46064.0</v>
      </c>
      <c r="Q113" s="36"/>
      <c r="R113" s="36"/>
      <c r="S113" s="36"/>
      <c r="T113" s="36"/>
      <c r="U113" s="47"/>
      <c r="V113" s="95" t="s">
        <v>259</v>
      </c>
      <c r="W113" s="40"/>
    </row>
    <row r="114">
      <c r="A114" s="28">
        <f t="shared" si="1"/>
        <v>112</v>
      </c>
      <c r="B114" s="20"/>
      <c r="C114" s="91" t="s">
        <v>288</v>
      </c>
      <c r="D114" s="100" t="s">
        <v>255</v>
      </c>
      <c r="E114" s="20"/>
      <c r="F114" s="91" t="s">
        <v>322</v>
      </c>
      <c r="G114" s="101" t="s">
        <v>256</v>
      </c>
      <c r="H114" s="31" t="str">
        <f>'参照_各種特典'!$D$105</f>
        <v>His Ogre Ensemble</v>
      </c>
      <c r="I114" s="34" t="s">
        <v>317</v>
      </c>
      <c r="J114" s="116">
        <v>5796.0</v>
      </c>
      <c r="K114" s="120">
        <v>6.0</v>
      </c>
      <c r="L114" s="94" t="str">
        <f t="shared" si="8"/>
        <v>His Ogre Ensemble</v>
      </c>
      <c r="M114" s="34" t="s">
        <v>67</v>
      </c>
      <c r="N114" s="34" t="s">
        <v>68</v>
      </c>
      <c r="O114" s="34" t="s">
        <v>69</v>
      </c>
      <c r="P114" s="35">
        <v>46062.0</v>
      </c>
      <c r="Q114" s="36"/>
      <c r="R114" s="36"/>
      <c r="S114" s="36"/>
      <c r="T114" s="36"/>
      <c r="U114" s="47"/>
      <c r="V114" s="47"/>
      <c r="W114" s="40"/>
    </row>
    <row r="115">
      <c r="A115" s="28">
        <f t="shared" si="1"/>
        <v>113</v>
      </c>
      <c r="B115" s="20"/>
      <c r="C115" s="20"/>
      <c r="D115" s="100" t="s">
        <v>291</v>
      </c>
      <c r="E115" s="20"/>
      <c r="F115" s="20"/>
      <c r="G115" s="101" t="s">
        <v>292</v>
      </c>
      <c r="H115" s="31">
        <f>'参照_各種特典'!$E$105</f>
        <v>1</v>
      </c>
      <c r="I115" s="34" t="s">
        <v>317</v>
      </c>
      <c r="J115" s="116">
        <v>5796.0</v>
      </c>
      <c r="K115" s="34">
        <v>7.0</v>
      </c>
      <c r="L115" s="94">
        <f t="shared" si="8"/>
        <v>1</v>
      </c>
      <c r="M115" s="34" t="s">
        <v>67</v>
      </c>
      <c r="N115" s="34" t="s">
        <v>68</v>
      </c>
      <c r="O115" s="34" t="s">
        <v>69</v>
      </c>
      <c r="P115" s="35">
        <v>46062.0</v>
      </c>
      <c r="Q115" s="36"/>
      <c r="R115" s="36"/>
      <c r="S115" s="36"/>
      <c r="T115" s="36"/>
      <c r="U115" s="47"/>
      <c r="V115" s="47"/>
      <c r="W115" s="40"/>
    </row>
    <row r="116">
      <c r="A116" s="28">
        <f t="shared" si="1"/>
        <v>114</v>
      </c>
      <c r="B116" s="20"/>
      <c r="C116" s="20"/>
      <c r="D116" s="100" t="s">
        <v>255</v>
      </c>
      <c r="E116" s="20"/>
      <c r="F116" s="20"/>
      <c r="G116" s="101" t="s">
        <v>256</v>
      </c>
      <c r="H116" s="31" t="str">
        <f>'参照_各種特典'!$D$106</f>
        <v>His Draconic Dressrobes</v>
      </c>
      <c r="I116" s="34" t="s">
        <v>317</v>
      </c>
      <c r="J116" s="116">
        <v>5797.0</v>
      </c>
      <c r="K116" s="120">
        <v>6.0</v>
      </c>
      <c r="L116" s="94" t="str">
        <f t="shared" si="8"/>
        <v>His Draconic Dressrobes</v>
      </c>
      <c r="M116" s="34" t="s">
        <v>67</v>
      </c>
      <c r="N116" s="34" t="s">
        <v>68</v>
      </c>
      <c r="O116" s="34" t="s">
        <v>69</v>
      </c>
      <c r="P116" s="35">
        <v>46065.0</v>
      </c>
      <c r="Q116" s="36"/>
      <c r="R116" s="36"/>
      <c r="S116" s="36"/>
      <c r="T116" s="36"/>
      <c r="U116" s="47"/>
      <c r="V116" s="47"/>
      <c r="W116" s="40"/>
    </row>
    <row r="117">
      <c r="A117" s="28">
        <f t="shared" si="1"/>
        <v>115</v>
      </c>
      <c r="B117" s="20"/>
      <c r="C117" s="20"/>
      <c r="D117" s="100" t="s">
        <v>291</v>
      </c>
      <c r="E117" s="20"/>
      <c r="F117" s="20"/>
      <c r="G117" s="101" t="s">
        <v>292</v>
      </c>
      <c r="H117" s="31">
        <f>'参照_各種特典'!$E$106</f>
        <v>1</v>
      </c>
      <c r="I117" s="34" t="s">
        <v>317</v>
      </c>
      <c r="J117" s="116">
        <v>5797.0</v>
      </c>
      <c r="K117" s="34">
        <v>7.0</v>
      </c>
      <c r="L117" s="94">
        <f t="shared" si="8"/>
        <v>1</v>
      </c>
      <c r="M117" s="34" t="s">
        <v>67</v>
      </c>
      <c r="N117" s="34" t="s">
        <v>68</v>
      </c>
      <c r="O117" s="34" t="s">
        <v>69</v>
      </c>
      <c r="P117" s="35">
        <v>46065.0</v>
      </c>
      <c r="Q117" s="36"/>
      <c r="R117" s="36"/>
      <c r="S117" s="36"/>
      <c r="T117" s="36"/>
      <c r="U117" s="47"/>
      <c r="V117" s="47"/>
      <c r="W117" s="40"/>
    </row>
    <row r="118">
      <c r="A118" s="28">
        <f t="shared" si="1"/>
        <v>116</v>
      </c>
      <c r="B118" s="20"/>
      <c r="C118" s="20"/>
      <c r="D118" s="100" t="s">
        <v>255</v>
      </c>
      <c r="E118" s="20"/>
      <c r="F118" s="20"/>
      <c r="G118" s="101" t="s">
        <v>256</v>
      </c>
      <c r="H118" s="31" t="str">
        <f>'参照_各種特典'!$D$107</f>
        <v>His Vampiric Vestments</v>
      </c>
      <c r="I118" s="34" t="s">
        <v>317</v>
      </c>
      <c r="J118" s="116">
        <v>5798.0</v>
      </c>
      <c r="K118" s="120">
        <v>6.0</v>
      </c>
      <c r="L118" s="94" t="str">
        <f t="shared" si="8"/>
        <v>His Vampiric Vestments</v>
      </c>
      <c r="M118" s="34" t="s">
        <v>67</v>
      </c>
      <c r="N118" s="34" t="s">
        <v>68</v>
      </c>
      <c r="O118" s="34" t="s">
        <v>69</v>
      </c>
      <c r="P118" s="35">
        <v>46065.0</v>
      </c>
      <c r="Q118" s="36"/>
      <c r="R118" s="36"/>
      <c r="S118" s="36"/>
      <c r="T118" s="36"/>
      <c r="U118" s="47"/>
      <c r="V118" s="47"/>
      <c r="W118" s="40"/>
    </row>
    <row r="119">
      <c r="A119" s="28">
        <f t="shared" si="1"/>
        <v>117</v>
      </c>
      <c r="B119" s="20"/>
      <c r="C119" s="21"/>
      <c r="D119" s="100" t="s">
        <v>291</v>
      </c>
      <c r="E119" s="20"/>
      <c r="F119" s="21"/>
      <c r="G119" s="101" t="s">
        <v>292</v>
      </c>
      <c r="H119" s="31">
        <f>'参照_各種特典'!$E$107</f>
        <v>1</v>
      </c>
      <c r="I119" s="34" t="s">
        <v>317</v>
      </c>
      <c r="J119" s="116">
        <v>5798.0</v>
      </c>
      <c r="K119" s="34">
        <v>7.0</v>
      </c>
      <c r="L119" s="94">
        <f t="shared" si="8"/>
        <v>1</v>
      </c>
      <c r="M119" s="34" t="s">
        <v>67</v>
      </c>
      <c r="N119" s="34" t="s">
        <v>68</v>
      </c>
      <c r="O119" s="34" t="s">
        <v>69</v>
      </c>
      <c r="P119" s="35">
        <v>46065.0</v>
      </c>
      <c r="Q119" s="36"/>
      <c r="R119" s="36"/>
      <c r="S119" s="36"/>
      <c r="T119" s="36"/>
      <c r="U119" s="47"/>
      <c r="V119" s="47"/>
      <c r="W119" s="40"/>
    </row>
    <row r="120">
      <c r="A120" s="28">
        <f t="shared" si="1"/>
        <v>118</v>
      </c>
      <c r="B120" s="20"/>
      <c r="C120" s="73" t="s">
        <v>72</v>
      </c>
      <c r="D120" s="100" t="s">
        <v>268</v>
      </c>
      <c r="E120" s="20"/>
      <c r="F120" s="73" t="s">
        <v>74</v>
      </c>
      <c r="G120" s="101" t="s">
        <v>269</v>
      </c>
      <c r="H120" s="31"/>
      <c r="I120" s="28"/>
      <c r="J120" s="105"/>
      <c r="K120" s="28"/>
      <c r="L120" s="94"/>
      <c r="M120" s="34" t="s">
        <v>67</v>
      </c>
      <c r="N120" s="34" t="s">
        <v>68</v>
      </c>
      <c r="O120" s="34" t="s">
        <v>69</v>
      </c>
      <c r="P120" s="35">
        <v>46064.0</v>
      </c>
      <c r="Q120" s="34" t="s">
        <v>67</v>
      </c>
      <c r="R120" s="28" t="s">
        <v>68</v>
      </c>
      <c r="S120" s="28" t="s">
        <v>69</v>
      </c>
      <c r="T120" s="45" t="s">
        <v>76</v>
      </c>
      <c r="U120" s="47"/>
      <c r="V120" s="47"/>
      <c r="W120" s="40"/>
    </row>
    <row r="121">
      <c r="A121" s="28">
        <f t="shared" si="1"/>
        <v>119</v>
      </c>
      <c r="B121" s="20"/>
      <c r="C121" s="91" t="s">
        <v>313</v>
      </c>
      <c r="D121" s="103" t="s">
        <v>314</v>
      </c>
      <c r="E121" s="20"/>
      <c r="F121" s="91" t="s">
        <v>315</v>
      </c>
      <c r="G121" s="104" t="s">
        <v>316</v>
      </c>
      <c r="H121" s="37">
        <f>'参照_各種特典'!$C$116</f>
        <v>301</v>
      </c>
      <c r="I121" s="34" t="s">
        <v>317</v>
      </c>
      <c r="J121" s="116">
        <v>5803.0</v>
      </c>
      <c r="K121" s="120">
        <v>10.0</v>
      </c>
      <c r="L121" s="94">
        <f t="shared" ref="L121:L137" si="9">IF(ISTEXT(I121:I137),
VLOOKUP(J121:J137,INDIRECT(I121:I137),K121:K137,0),
)</f>
        <v>301</v>
      </c>
      <c r="M121" s="34" t="s">
        <v>67</v>
      </c>
      <c r="N121" s="34" t="s">
        <v>68</v>
      </c>
      <c r="O121" s="34" t="s">
        <v>69</v>
      </c>
      <c r="P121" s="121">
        <v>46064.0</v>
      </c>
      <c r="Q121" s="36"/>
      <c r="R121" s="36"/>
      <c r="S121" s="36"/>
      <c r="T121" s="36"/>
      <c r="U121" s="47"/>
      <c r="V121" s="95" t="s">
        <v>259</v>
      </c>
      <c r="W121" s="40"/>
    </row>
    <row r="122">
      <c r="A122" s="28">
        <f t="shared" si="1"/>
        <v>120</v>
      </c>
      <c r="B122" s="20"/>
      <c r="C122" s="21"/>
      <c r="D122" s="103" t="s">
        <v>318</v>
      </c>
      <c r="E122" s="20"/>
      <c r="F122" s="21"/>
      <c r="G122" s="104" t="s">
        <v>319</v>
      </c>
      <c r="H122" s="37">
        <f>'参照_各種特典'!$D$116</f>
        <v>500</v>
      </c>
      <c r="I122" s="34" t="s">
        <v>317</v>
      </c>
      <c r="J122" s="116">
        <v>5803.0</v>
      </c>
      <c r="K122" s="120">
        <v>11.0</v>
      </c>
      <c r="L122" s="94">
        <f t="shared" si="9"/>
        <v>500</v>
      </c>
      <c r="M122" s="34" t="s">
        <v>67</v>
      </c>
      <c r="N122" s="34" t="s">
        <v>68</v>
      </c>
      <c r="O122" s="34" t="s">
        <v>69</v>
      </c>
      <c r="P122" s="121">
        <v>46064.0</v>
      </c>
      <c r="Q122" s="36"/>
      <c r="R122" s="36"/>
      <c r="S122" s="36"/>
      <c r="T122" s="36"/>
      <c r="U122" s="47"/>
      <c r="V122" s="95" t="s">
        <v>259</v>
      </c>
      <c r="W122" s="40"/>
    </row>
    <row r="123">
      <c r="A123" s="28">
        <f t="shared" si="1"/>
        <v>121</v>
      </c>
      <c r="B123" s="20"/>
      <c r="C123" s="91" t="s">
        <v>288</v>
      </c>
      <c r="D123" s="103" t="s">
        <v>255</v>
      </c>
      <c r="E123" s="20"/>
      <c r="F123" s="91" t="s">
        <v>323</v>
      </c>
      <c r="G123" s="104" t="s">
        <v>256</v>
      </c>
      <c r="H123" s="37" t="str">
        <f>'参照_各種特典'!$D$108</f>
        <v>Nine-Tailed Fox Warlords 1</v>
      </c>
      <c r="I123" s="34" t="s">
        <v>317</v>
      </c>
      <c r="J123" s="116">
        <v>5803.0</v>
      </c>
      <c r="K123" s="120">
        <v>6.0</v>
      </c>
      <c r="L123" s="94" t="str">
        <f t="shared" si="9"/>
        <v>Nine-Tailed Fox Warlords 1</v>
      </c>
      <c r="M123" s="34" t="s">
        <v>67</v>
      </c>
      <c r="N123" s="34" t="s">
        <v>68</v>
      </c>
      <c r="O123" s="34" t="s">
        <v>69</v>
      </c>
      <c r="P123" s="121">
        <v>46065.0</v>
      </c>
      <c r="Q123" s="36"/>
      <c r="R123" s="36"/>
      <c r="S123" s="36"/>
      <c r="T123" s="36"/>
      <c r="U123" s="47"/>
      <c r="V123" s="95" t="s">
        <v>259</v>
      </c>
      <c r="W123" s="40"/>
    </row>
    <row r="124">
      <c r="A124" s="28">
        <f t="shared" si="1"/>
        <v>122</v>
      </c>
      <c r="B124" s="20"/>
      <c r="C124" s="20"/>
      <c r="D124" s="103" t="s">
        <v>291</v>
      </c>
      <c r="E124" s="20"/>
      <c r="F124" s="20"/>
      <c r="G124" s="104" t="s">
        <v>292</v>
      </c>
      <c r="H124" s="37">
        <f>'参照_各種特典'!$E$108</f>
        <v>1</v>
      </c>
      <c r="I124" s="34" t="s">
        <v>317</v>
      </c>
      <c r="J124" s="116">
        <v>5803.0</v>
      </c>
      <c r="K124" s="34">
        <v>7.0</v>
      </c>
      <c r="L124" s="94">
        <f t="shared" si="9"/>
        <v>1</v>
      </c>
      <c r="M124" s="34" t="s">
        <v>67</v>
      </c>
      <c r="N124" s="34" t="s">
        <v>68</v>
      </c>
      <c r="O124" s="34" t="s">
        <v>69</v>
      </c>
      <c r="P124" s="121">
        <v>46062.0</v>
      </c>
      <c r="Q124" s="36"/>
      <c r="R124" s="36"/>
      <c r="S124" s="36"/>
      <c r="T124" s="36"/>
      <c r="U124" s="47"/>
      <c r="V124" s="47"/>
      <c r="W124" s="40"/>
    </row>
    <row r="125">
      <c r="A125" s="28">
        <f t="shared" si="1"/>
        <v>123</v>
      </c>
      <c r="B125" s="20"/>
      <c r="C125" s="20"/>
      <c r="D125" s="103" t="s">
        <v>255</v>
      </c>
      <c r="E125" s="20"/>
      <c r="F125" s="20"/>
      <c r="G125" s="104" t="s">
        <v>256</v>
      </c>
      <c r="H125" s="37" t="str">
        <f>'参照_各種特典'!$D$109</f>
        <v>Nine-Tailed Fox Warlords 2</v>
      </c>
      <c r="I125" s="34" t="s">
        <v>317</v>
      </c>
      <c r="J125" s="116">
        <v>5804.0</v>
      </c>
      <c r="K125" s="120">
        <v>6.0</v>
      </c>
      <c r="L125" s="94" t="str">
        <f t="shared" si="9"/>
        <v>Nine-Tailed Fox Warlords 2</v>
      </c>
      <c r="M125" s="34" t="s">
        <v>67</v>
      </c>
      <c r="N125" s="34" t="s">
        <v>68</v>
      </c>
      <c r="O125" s="34" t="s">
        <v>69</v>
      </c>
      <c r="P125" s="35">
        <v>46065.0</v>
      </c>
      <c r="Q125" s="36"/>
      <c r="R125" s="36"/>
      <c r="S125" s="36"/>
      <c r="T125" s="36"/>
      <c r="U125" s="47"/>
      <c r="V125" s="47"/>
      <c r="W125" s="40"/>
    </row>
    <row r="126">
      <c r="A126" s="28">
        <f t="shared" si="1"/>
        <v>124</v>
      </c>
      <c r="B126" s="20"/>
      <c r="C126" s="21"/>
      <c r="D126" s="103" t="s">
        <v>291</v>
      </c>
      <c r="E126" s="20"/>
      <c r="F126" s="21"/>
      <c r="G126" s="104" t="s">
        <v>292</v>
      </c>
      <c r="H126" s="37">
        <f>'参照_各種特典'!$E$109</f>
        <v>1</v>
      </c>
      <c r="I126" s="34" t="s">
        <v>317</v>
      </c>
      <c r="J126" s="116">
        <v>5805.0</v>
      </c>
      <c r="K126" s="34">
        <v>7.0</v>
      </c>
      <c r="L126" s="94">
        <f t="shared" si="9"/>
        <v>1</v>
      </c>
      <c r="M126" s="34" t="s">
        <v>67</v>
      </c>
      <c r="N126" s="34" t="s">
        <v>68</v>
      </c>
      <c r="O126" s="34" t="s">
        <v>69</v>
      </c>
      <c r="P126" s="35">
        <v>46065.0</v>
      </c>
      <c r="Q126" s="36"/>
      <c r="R126" s="36"/>
      <c r="S126" s="36"/>
      <c r="T126" s="36"/>
      <c r="U126" s="47"/>
      <c r="V126" s="47"/>
      <c r="W126" s="40"/>
    </row>
    <row r="127">
      <c r="A127" s="28">
        <f t="shared" si="1"/>
        <v>125</v>
      </c>
      <c r="B127" s="20"/>
      <c r="C127" s="73" t="s">
        <v>72</v>
      </c>
      <c r="D127" s="103" t="s">
        <v>268</v>
      </c>
      <c r="E127" s="20"/>
      <c r="F127" s="73" t="s">
        <v>74</v>
      </c>
      <c r="G127" s="122" t="s">
        <v>269</v>
      </c>
      <c r="H127" s="37"/>
      <c r="I127" s="28"/>
      <c r="J127" s="105"/>
      <c r="K127" s="28"/>
      <c r="L127" s="94" t="str">
        <f t="shared" si="9"/>
        <v/>
      </c>
      <c r="M127" s="34" t="s">
        <v>67</v>
      </c>
      <c r="N127" s="34" t="s">
        <v>68</v>
      </c>
      <c r="O127" s="34" t="s">
        <v>69</v>
      </c>
      <c r="P127" s="121">
        <v>46064.0</v>
      </c>
      <c r="Q127" s="34" t="s">
        <v>67</v>
      </c>
      <c r="R127" s="28" t="s">
        <v>68</v>
      </c>
      <c r="S127" s="28" t="s">
        <v>69</v>
      </c>
      <c r="T127" s="45" t="s">
        <v>76</v>
      </c>
      <c r="U127" s="47"/>
      <c r="V127" s="47"/>
      <c r="W127" s="40"/>
    </row>
    <row r="128">
      <c r="A128" s="28">
        <f t="shared" si="1"/>
        <v>126</v>
      </c>
      <c r="B128" s="20"/>
      <c r="C128" s="91" t="s">
        <v>313</v>
      </c>
      <c r="D128" s="100" t="s">
        <v>314</v>
      </c>
      <c r="E128" s="20"/>
      <c r="F128" s="91" t="s">
        <v>315</v>
      </c>
      <c r="G128" s="101" t="s">
        <v>316</v>
      </c>
      <c r="H128" s="31">
        <f>'参照_各種特典'!$C$117</f>
        <v>501</v>
      </c>
      <c r="I128" s="34" t="s">
        <v>317</v>
      </c>
      <c r="J128" s="116">
        <v>5807.0</v>
      </c>
      <c r="K128" s="120">
        <v>10.0</v>
      </c>
      <c r="L128" s="94">
        <f t="shared" si="9"/>
        <v>501</v>
      </c>
      <c r="M128" s="34" t="s">
        <v>67</v>
      </c>
      <c r="N128" s="34" t="s">
        <v>68</v>
      </c>
      <c r="O128" s="34" t="s">
        <v>69</v>
      </c>
      <c r="P128" s="121">
        <v>46064.0</v>
      </c>
      <c r="Q128" s="36"/>
      <c r="R128" s="36"/>
      <c r="S128" s="36"/>
      <c r="T128" s="36"/>
      <c r="U128" s="47"/>
      <c r="V128" s="95" t="s">
        <v>259</v>
      </c>
      <c r="W128" s="40"/>
    </row>
    <row r="129">
      <c r="A129" s="28">
        <f t="shared" si="1"/>
        <v>127</v>
      </c>
      <c r="B129" s="20"/>
      <c r="C129" s="21"/>
      <c r="D129" s="100" t="s">
        <v>318</v>
      </c>
      <c r="E129" s="20"/>
      <c r="F129" s="21"/>
      <c r="G129" s="101" t="s">
        <v>319</v>
      </c>
      <c r="H129" s="31">
        <f>'参照_各種特典'!$D$117</f>
        <v>1000</v>
      </c>
      <c r="I129" s="34" t="s">
        <v>317</v>
      </c>
      <c r="J129" s="116">
        <v>5807.0</v>
      </c>
      <c r="K129" s="120">
        <v>11.0</v>
      </c>
      <c r="L129" s="94">
        <f t="shared" si="9"/>
        <v>1000</v>
      </c>
      <c r="M129" s="34" t="s">
        <v>67</v>
      </c>
      <c r="N129" s="34" t="s">
        <v>68</v>
      </c>
      <c r="O129" s="34" t="s">
        <v>69</v>
      </c>
      <c r="P129" s="121">
        <v>46064.0</v>
      </c>
      <c r="Q129" s="36"/>
      <c r="R129" s="36"/>
      <c r="S129" s="36"/>
      <c r="T129" s="36"/>
      <c r="U129" s="47"/>
      <c r="V129" s="95" t="s">
        <v>259</v>
      </c>
      <c r="W129" s="40"/>
    </row>
    <row r="130">
      <c r="A130" s="28">
        <f t="shared" si="1"/>
        <v>128</v>
      </c>
      <c r="B130" s="20"/>
      <c r="C130" s="91" t="s">
        <v>288</v>
      </c>
      <c r="D130" s="100" t="s">
        <v>255</v>
      </c>
      <c r="E130" s="20"/>
      <c r="F130" s="91" t="s">
        <v>324</v>
      </c>
      <c r="G130" s="101" t="s">
        <v>256</v>
      </c>
      <c r="H130" s="31" t="str">
        <f>'参照_各種特典'!$D$110</f>
        <v>Chapter Ticket</v>
      </c>
      <c r="I130" s="34" t="s">
        <v>317</v>
      </c>
      <c r="J130" s="116">
        <v>5807.0</v>
      </c>
      <c r="K130" s="120">
        <v>6.0</v>
      </c>
      <c r="L130" s="94" t="str">
        <f t="shared" si="9"/>
        <v>Chapter Ticket</v>
      </c>
      <c r="M130" s="34" t="s">
        <v>67</v>
      </c>
      <c r="N130" s="34" t="s">
        <v>68</v>
      </c>
      <c r="O130" s="34" t="s">
        <v>69</v>
      </c>
      <c r="P130" s="121">
        <v>46065.0</v>
      </c>
      <c r="Q130" s="36"/>
      <c r="R130" s="36"/>
      <c r="S130" s="36"/>
      <c r="T130" s="36"/>
      <c r="U130" s="47"/>
      <c r="V130" s="95" t="s">
        <v>259</v>
      </c>
      <c r="W130" s="40"/>
    </row>
    <row r="131">
      <c r="A131" s="28">
        <f t="shared" si="1"/>
        <v>129</v>
      </c>
      <c r="B131" s="20"/>
      <c r="C131" s="21"/>
      <c r="D131" s="100" t="s">
        <v>291</v>
      </c>
      <c r="E131" s="20"/>
      <c r="F131" s="21"/>
      <c r="G131" s="101" t="s">
        <v>292</v>
      </c>
      <c r="H131" s="31">
        <f>'参照_各種特典'!$E$107</f>
        <v>1</v>
      </c>
      <c r="I131" s="34" t="s">
        <v>317</v>
      </c>
      <c r="J131" s="116">
        <v>5807.0</v>
      </c>
      <c r="K131" s="34">
        <v>7.0</v>
      </c>
      <c r="L131" s="94">
        <f t="shared" si="9"/>
        <v>1</v>
      </c>
      <c r="M131" s="34" t="s">
        <v>67</v>
      </c>
      <c r="N131" s="34" t="s">
        <v>68</v>
      </c>
      <c r="O131" s="34" t="s">
        <v>69</v>
      </c>
      <c r="P131" s="121">
        <v>46062.0</v>
      </c>
      <c r="Q131" s="36"/>
      <c r="R131" s="36"/>
      <c r="S131" s="36"/>
      <c r="T131" s="36"/>
      <c r="U131" s="47"/>
      <c r="V131" s="47"/>
      <c r="W131" s="40"/>
    </row>
    <row r="132">
      <c r="A132" s="28">
        <f t="shared" si="1"/>
        <v>130</v>
      </c>
      <c r="B132" s="20"/>
      <c r="C132" s="73" t="s">
        <v>72</v>
      </c>
      <c r="D132" s="100" t="s">
        <v>268</v>
      </c>
      <c r="E132" s="20"/>
      <c r="F132" s="73" t="s">
        <v>74</v>
      </c>
      <c r="G132" s="101" t="s">
        <v>269</v>
      </c>
      <c r="H132" s="31"/>
      <c r="I132" s="28"/>
      <c r="J132" s="105"/>
      <c r="K132" s="28"/>
      <c r="L132" s="94" t="str">
        <f t="shared" si="9"/>
        <v/>
      </c>
      <c r="M132" s="34" t="s">
        <v>67</v>
      </c>
      <c r="N132" s="34" t="s">
        <v>68</v>
      </c>
      <c r="O132" s="34" t="s">
        <v>69</v>
      </c>
      <c r="P132" s="121">
        <v>46064.0</v>
      </c>
      <c r="Q132" s="34" t="s">
        <v>67</v>
      </c>
      <c r="R132" s="28" t="s">
        <v>68</v>
      </c>
      <c r="S132" s="28" t="s">
        <v>69</v>
      </c>
      <c r="T132" s="45" t="s">
        <v>76</v>
      </c>
      <c r="U132" s="47"/>
      <c r="V132" s="47"/>
      <c r="W132" s="40"/>
    </row>
    <row r="133">
      <c r="A133" s="28">
        <f t="shared" si="1"/>
        <v>131</v>
      </c>
      <c r="B133" s="20"/>
      <c r="C133" s="91" t="s">
        <v>313</v>
      </c>
      <c r="D133" s="103" t="s">
        <v>314</v>
      </c>
      <c r="E133" s="20"/>
      <c r="F133" s="91" t="s">
        <v>315</v>
      </c>
      <c r="G133" s="104" t="s">
        <v>316</v>
      </c>
      <c r="H133" s="37">
        <f>'参照_各種特典'!$C$118</f>
        <v>1001</v>
      </c>
      <c r="I133" s="34" t="s">
        <v>317</v>
      </c>
      <c r="J133" s="116">
        <v>5809.0</v>
      </c>
      <c r="K133" s="120">
        <v>10.0</v>
      </c>
      <c r="L133" s="94">
        <f t="shared" si="9"/>
        <v>1001</v>
      </c>
      <c r="M133" s="34" t="s">
        <v>67</v>
      </c>
      <c r="N133" s="34" t="s">
        <v>68</v>
      </c>
      <c r="O133" s="34" t="s">
        <v>69</v>
      </c>
      <c r="P133" s="121">
        <v>46064.0</v>
      </c>
      <c r="Q133" s="36"/>
      <c r="R133" s="36"/>
      <c r="S133" s="36"/>
      <c r="T133" s="36"/>
      <c r="U133" s="47"/>
      <c r="V133" s="95" t="s">
        <v>259</v>
      </c>
      <c r="W133" s="40"/>
    </row>
    <row r="134">
      <c r="A134" s="28">
        <f t="shared" si="1"/>
        <v>132</v>
      </c>
      <c r="B134" s="20"/>
      <c r="C134" s="21"/>
      <c r="D134" s="103" t="s">
        <v>318</v>
      </c>
      <c r="E134" s="20"/>
      <c r="F134" s="21"/>
      <c r="G134" s="104" t="s">
        <v>319</v>
      </c>
      <c r="H134" s="37">
        <f>'参照_各種特典'!$D$118</f>
        <v>1500</v>
      </c>
      <c r="I134" s="34" t="s">
        <v>317</v>
      </c>
      <c r="J134" s="116">
        <v>5809.0</v>
      </c>
      <c r="K134" s="120">
        <v>11.0</v>
      </c>
      <c r="L134" s="94">
        <f t="shared" si="9"/>
        <v>1500</v>
      </c>
      <c r="M134" s="34" t="s">
        <v>67</v>
      </c>
      <c r="N134" s="34" t="s">
        <v>68</v>
      </c>
      <c r="O134" s="34" t="s">
        <v>69</v>
      </c>
      <c r="P134" s="121">
        <v>46064.0</v>
      </c>
      <c r="Q134" s="36"/>
      <c r="R134" s="36"/>
      <c r="S134" s="36"/>
      <c r="T134" s="36"/>
      <c r="U134" s="47"/>
      <c r="V134" s="95" t="s">
        <v>259</v>
      </c>
      <c r="W134" s="40"/>
    </row>
    <row r="135">
      <c r="A135" s="28">
        <f t="shared" si="1"/>
        <v>133</v>
      </c>
      <c r="B135" s="20"/>
      <c r="C135" s="91" t="s">
        <v>288</v>
      </c>
      <c r="D135" s="103" t="s">
        <v>255</v>
      </c>
      <c r="E135" s="20"/>
      <c r="F135" s="91" t="s">
        <v>325</v>
      </c>
      <c r="G135" s="104" t="s">
        <v>256</v>
      </c>
      <c r="H135" s="37" t="str">
        <f>'参照_各種特典'!$D$111</f>
        <v>1500 Gold</v>
      </c>
      <c r="I135" s="34" t="s">
        <v>317</v>
      </c>
      <c r="J135" s="116">
        <v>5809.0</v>
      </c>
      <c r="K135" s="120">
        <v>6.0</v>
      </c>
      <c r="L135" s="94" t="str">
        <f t="shared" si="9"/>
        <v>1500 Gold</v>
      </c>
      <c r="M135" s="34" t="s">
        <v>67</v>
      </c>
      <c r="N135" s="34" t="s">
        <v>68</v>
      </c>
      <c r="O135" s="34" t="s">
        <v>69</v>
      </c>
      <c r="P135" s="121">
        <v>46065.0</v>
      </c>
      <c r="Q135" s="36"/>
      <c r="R135" s="36"/>
      <c r="S135" s="36"/>
      <c r="T135" s="36"/>
      <c r="U135" s="47"/>
      <c r="V135" s="95" t="s">
        <v>259</v>
      </c>
      <c r="W135" s="40"/>
    </row>
    <row r="136">
      <c r="A136" s="28">
        <f t="shared" si="1"/>
        <v>134</v>
      </c>
      <c r="B136" s="20"/>
      <c r="C136" s="21"/>
      <c r="D136" s="103" t="s">
        <v>291</v>
      </c>
      <c r="E136" s="20"/>
      <c r="F136" s="21"/>
      <c r="G136" s="104" t="s">
        <v>292</v>
      </c>
      <c r="H136" s="37">
        <f>'参照_各種特典'!$E$111</f>
        <v>1</v>
      </c>
      <c r="I136" s="34" t="s">
        <v>317</v>
      </c>
      <c r="J136" s="116">
        <v>5809.0</v>
      </c>
      <c r="K136" s="34">
        <v>7.0</v>
      </c>
      <c r="L136" s="94">
        <f t="shared" si="9"/>
        <v>1</v>
      </c>
      <c r="M136" s="34" t="s">
        <v>67</v>
      </c>
      <c r="N136" s="34" t="s">
        <v>68</v>
      </c>
      <c r="O136" s="34" t="s">
        <v>69</v>
      </c>
      <c r="P136" s="121">
        <v>46062.0</v>
      </c>
      <c r="Q136" s="36"/>
      <c r="R136" s="36"/>
      <c r="S136" s="36"/>
      <c r="T136" s="36"/>
      <c r="U136" s="47"/>
      <c r="V136" s="47"/>
      <c r="W136" s="40"/>
    </row>
    <row r="137">
      <c r="A137" s="28">
        <f t="shared" si="1"/>
        <v>135</v>
      </c>
      <c r="B137" s="21"/>
      <c r="C137" s="73" t="s">
        <v>72</v>
      </c>
      <c r="D137" s="103" t="s">
        <v>268</v>
      </c>
      <c r="E137" s="21"/>
      <c r="F137" s="73" t="s">
        <v>74</v>
      </c>
      <c r="G137" s="122" t="s">
        <v>269</v>
      </c>
      <c r="H137" s="37"/>
      <c r="I137" s="28"/>
      <c r="J137" s="105"/>
      <c r="K137" s="28"/>
      <c r="L137" s="94" t="str">
        <f t="shared" si="9"/>
        <v/>
      </c>
      <c r="M137" s="34" t="s">
        <v>67</v>
      </c>
      <c r="N137" s="34" t="s">
        <v>68</v>
      </c>
      <c r="O137" s="34" t="s">
        <v>69</v>
      </c>
      <c r="P137" s="121">
        <v>46064.0</v>
      </c>
      <c r="Q137" s="34" t="s">
        <v>67</v>
      </c>
      <c r="R137" s="28" t="s">
        <v>68</v>
      </c>
      <c r="S137" s="28" t="s">
        <v>69</v>
      </c>
      <c r="T137" s="45" t="s">
        <v>76</v>
      </c>
      <c r="U137" s="47"/>
      <c r="V137" s="47"/>
      <c r="W137" s="40"/>
    </row>
  </sheetData>
  <customSheetViews>
    <customSheetView guid="{9FA1396E-99B0-44B1-8361-490FB13240C7}" filter="1" showAutoFilter="1">
      <autoFilter ref="$A$1:$W$137"/>
    </customSheetView>
  </customSheetViews>
  <mergeCells count="138">
    <mergeCell ref="H63:H65"/>
    <mergeCell ref="I63:I65"/>
    <mergeCell ref="J63:J65"/>
    <mergeCell ref="K63:K65"/>
    <mergeCell ref="L63:L65"/>
    <mergeCell ref="H42:H44"/>
    <mergeCell ref="H45:H47"/>
    <mergeCell ref="H48:H50"/>
    <mergeCell ref="H51:H53"/>
    <mergeCell ref="H54:H56"/>
    <mergeCell ref="H57:H59"/>
    <mergeCell ref="H60:H62"/>
    <mergeCell ref="H1:H2"/>
    <mergeCell ref="M1:P1"/>
    <mergeCell ref="Q1:T1"/>
    <mergeCell ref="U1:U2"/>
    <mergeCell ref="V1:V2"/>
    <mergeCell ref="W1:W2"/>
    <mergeCell ref="C7:C8"/>
    <mergeCell ref="F7:F8"/>
    <mergeCell ref="A1:A2"/>
    <mergeCell ref="B1:B2"/>
    <mergeCell ref="D1:D2"/>
    <mergeCell ref="E1:E2"/>
    <mergeCell ref="G1:G2"/>
    <mergeCell ref="B3:B8"/>
    <mergeCell ref="E3:E8"/>
    <mergeCell ref="B15:B20"/>
    <mergeCell ref="B21:B26"/>
    <mergeCell ref="C21:C23"/>
    <mergeCell ref="C25:C26"/>
    <mergeCell ref="C1:C2"/>
    <mergeCell ref="C3:C5"/>
    <mergeCell ref="B9:B14"/>
    <mergeCell ref="C9:C11"/>
    <mergeCell ref="C13:C14"/>
    <mergeCell ref="C15:C17"/>
    <mergeCell ref="C19:C20"/>
    <mergeCell ref="F21:F23"/>
    <mergeCell ref="F25:F26"/>
    <mergeCell ref="H27:H29"/>
    <mergeCell ref="H30:H32"/>
    <mergeCell ref="H33:H35"/>
    <mergeCell ref="H36:H38"/>
    <mergeCell ref="H39:H41"/>
    <mergeCell ref="F86:F90"/>
    <mergeCell ref="F91:F92"/>
    <mergeCell ref="F68:F72"/>
    <mergeCell ref="F73:F74"/>
    <mergeCell ref="F75:F76"/>
    <mergeCell ref="F77:F81"/>
    <mergeCell ref="F82:F83"/>
    <mergeCell ref="E84:E92"/>
    <mergeCell ref="F84:F85"/>
    <mergeCell ref="E93:E101"/>
    <mergeCell ref="F93:F94"/>
    <mergeCell ref="F95:F99"/>
    <mergeCell ref="F100:F101"/>
    <mergeCell ref="F102:F103"/>
    <mergeCell ref="F104:F105"/>
    <mergeCell ref="F107:F108"/>
    <mergeCell ref="F133:F134"/>
    <mergeCell ref="F135:F136"/>
    <mergeCell ref="F109:F110"/>
    <mergeCell ref="F112:F113"/>
    <mergeCell ref="F114:F119"/>
    <mergeCell ref="F121:F122"/>
    <mergeCell ref="F123:F126"/>
    <mergeCell ref="F128:F129"/>
    <mergeCell ref="F130:F131"/>
    <mergeCell ref="F1:F2"/>
    <mergeCell ref="F3:F5"/>
    <mergeCell ref="E9:E14"/>
    <mergeCell ref="F9:F11"/>
    <mergeCell ref="F13:F14"/>
    <mergeCell ref="F15:F17"/>
    <mergeCell ref="F19:F20"/>
    <mergeCell ref="C36:C38"/>
    <mergeCell ref="C39:C41"/>
    <mergeCell ref="C42:C44"/>
    <mergeCell ref="C45:C47"/>
    <mergeCell ref="C48:C50"/>
    <mergeCell ref="C51:C53"/>
    <mergeCell ref="F27:F29"/>
    <mergeCell ref="F30:F32"/>
    <mergeCell ref="F33:F35"/>
    <mergeCell ref="F36:F38"/>
    <mergeCell ref="F39:F41"/>
    <mergeCell ref="F42:F44"/>
    <mergeCell ref="F45:F47"/>
    <mergeCell ref="C54:C56"/>
    <mergeCell ref="C57:C59"/>
    <mergeCell ref="C84:C85"/>
    <mergeCell ref="C86:C90"/>
    <mergeCell ref="C91:C92"/>
    <mergeCell ref="C93:C94"/>
    <mergeCell ref="C95:C99"/>
    <mergeCell ref="C100:C101"/>
    <mergeCell ref="F48:F50"/>
    <mergeCell ref="F51:F53"/>
    <mergeCell ref="F54:F56"/>
    <mergeCell ref="F57:F59"/>
    <mergeCell ref="F60:F62"/>
    <mergeCell ref="F63:F65"/>
    <mergeCell ref="F66:F67"/>
    <mergeCell ref="C60:C62"/>
    <mergeCell ref="C63:C65"/>
    <mergeCell ref="B66:B74"/>
    <mergeCell ref="C66:C67"/>
    <mergeCell ref="E66:E74"/>
    <mergeCell ref="C68:C72"/>
    <mergeCell ref="E75:E83"/>
    <mergeCell ref="B75:B83"/>
    <mergeCell ref="C77:C81"/>
    <mergeCell ref="C82:C83"/>
    <mergeCell ref="B102:B137"/>
    <mergeCell ref="C102:C103"/>
    <mergeCell ref="E102:E137"/>
    <mergeCell ref="C104:C105"/>
    <mergeCell ref="E15:E20"/>
    <mergeCell ref="E21:E26"/>
    <mergeCell ref="B27:B65"/>
    <mergeCell ref="C27:C29"/>
    <mergeCell ref="E27:E65"/>
    <mergeCell ref="C30:C32"/>
    <mergeCell ref="C33:C35"/>
    <mergeCell ref="C73:C74"/>
    <mergeCell ref="C75:C76"/>
    <mergeCell ref="C107:C108"/>
    <mergeCell ref="C109:C110"/>
    <mergeCell ref="C112:C113"/>
    <mergeCell ref="C114:C119"/>
    <mergeCell ref="C121:C122"/>
    <mergeCell ref="C123:C126"/>
    <mergeCell ref="C128:C129"/>
    <mergeCell ref="C130:C131"/>
    <mergeCell ref="C133:C134"/>
    <mergeCell ref="C135:C136"/>
  </mergeCells>
  <conditionalFormatting sqref="L3:L137">
    <cfRule type="cellIs" dxfId="3" priority="1" operator="notEqual">
      <formula>H3</formula>
    </cfRule>
  </conditionalFormatting>
  <conditionalFormatting sqref="L3:L137">
    <cfRule type="expression" dxfId="3" priority="2">
      <formula>ISNA(L3)</formula>
    </cfRule>
  </conditionalFormatting>
  <conditionalFormatting sqref="L3:L137">
    <cfRule type="expression" dxfId="3" priority="3">
      <formula>ISERR(L3)</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outlineLevelCol="1"/>
  <cols>
    <col hidden="1" min="1" max="1" width="14.43" outlineLevel="1"/>
    <col collapsed="1" customWidth="1" min="2" max="2" width="29.14"/>
    <col customWidth="1" hidden="1" min="3" max="3" width="17.57" outlineLevel="1"/>
    <col customWidth="1" hidden="1" min="4" max="4" width="21.29" outlineLevel="1"/>
    <col collapsed="1" customWidth="1" min="5" max="5" width="39.0"/>
    <col customWidth="1" min="6" max="6" width="54.0"/>
    <col customWidth="1" min="7" max="8" width="24.29"/>
    <col hidden="1" min="11" max="13" width="14.43" outlineLevel="1"/>
    <col collapsed="1" min="14" max="14" width="14.43"/>
  </cols>
  <sheetData>
    <row r="1">
      <c r="A1" s="123"/>
      <c r="B1" s="124" t="s">
        <v>326</v>
      </c>
      <c r="C1" s="125"/>
      <c r="D1" s="125"/>
      <c r="E1" s="125"/>
      <c r="F1" s="125"/>
      <c r="G1" s="125"/>
      <c r="H1" s="125"/>
      <c r="I1" s="125"/>
      <c r="J1" s="125"/>
      <c r="K1" s="123"/>
      <c r="L1" s="123"/>
      <c r="M1" s="123"/>
      <c r="N1" s="123"/>
    </row>
    <row r="2">
      <c r="A2" s="126"/>
      <c r="B2" s="126"/>
      <c r="C2" s="126"/>
      <c r="D2" s="126"/>
      <c r="E2" s="126"/>
      <c r="F2" s="126"/>
      <c r="G2" s="126"/>
      <c r="H2" s="126"/>
      <c r="I2" s="126"/>
      <c r="J2" s="126"/>
      <c r="K2" s="126"/>
      <c r="L2" s="126"/>
      <c r="M2" s="126"/>
      <c r="N2" s="126"/>
    </row>
    <row r="3">
      <c r="A3" s="127"/>
      <c r="B3" s="127">
        <f t="array" ref="B3:M3">SEQUENCE(1,COLUMNS(B:M))</f>
        <v>1</v>
      </c>
      <c r="C3" s="127">
        <v>2.0</v>
      </c>
      <c r="D3" s="127">
        <v>3.0</v>
      </c>
      <c r="E3" s="127">
        <v>4.0</v>
      </c>
      <c r="F3" s="127">
        <v>5.0</v>
      </c>
      <c r="G3" s="127">
        <v>6.0</v>
      </c>
      <c r="H3" s="127">
        <v>7.0</v>
      </c>
      <c r="I3" s="127">
        <v>8.0</v>
      </c>
      <c r="J3" s="127">
        <v>9.0</v>
      </c>
      <c r="K3" s="127">
        <v>10.0</v>
      </c>
      <c r="L3" s="127">
        <v>11.0</v>
      </c>
      <c r="M3" s="127">
        <v>12.0</v>
      </c>
      <c r="N3" s="127"/>
    </row>
    <row r="4">
      <c r="A4" s="128" t="s">
        <v>25</v>
      </c>
      <c r="B4" s="128" t="s">
        <v>327</v>
      </c>
      <c r="C4" s="128" t="s">
        <v>328</v>
      </c>
      <c r="D4" s="128" t="s">
        <v>329</v>
      </c>
      <c r="E4" s="128" t="s">
        <v>330</v>
      </c>
      <c r="F4" s="128" t="s">
        <v>331</v>
      </c>
      <c r="G4" s="128" t="s">
        <v>332</v>
      </c>
      <c r="H4" s="128" t="s">
        <v>333</v>
      </c>
      <c r="I4" s="128" t="s">
        <v>334</v>
      </c>
      <c r="J4" s="128" t="s">
        <v>335</v>
      </c>
      <c r="K4" s="128" t="s">
        <v>336</v>
      </c>
      <c r="L4" s="128" t="s">
        <v>337</v>
      </c>
      <c r="M4" s="128" t="s">
        <v>338</v>
      </c>
      <c r="N4" s="129"/>
    </row>
    <row r="5">
      <c r="A5" s="130">
        <v>5404.0</v>
      </c>
      <c r="B5" s="130" t="s">
        <v>252</v>
      </c>
      <c r="C5" s="130" t="s">
        <v>339</v>
      </c>
      <c r="D5" s="130" t="s">
        <v>340</v>
      </c>
      <c r="E5" s="130" t="s">
        <v>341</v>
      </c>
      <c r="F5" s="131" t="s">
        <v>342</v>
      </c>
      <c r="G5" s="132">
        <v>46074.708333333336</v>
      </c>
      <c r="H5" s="132">
        <v>46075.958333333336</v>
      </c>
      <c r="I5" s="133"/>
      <c r="J5" s="130">
        <v>140.0</v>
      </c>
      <c r="K5" s="130">
        <v>1.0</v>
      </c>
      <c r="L5" s="132">
        <v>46058.26684027778</v>
      </c>
      <c r="M5" s="132">
        <v>46058.26684027778</v>
      </c>
      <c r="N5" s="134"/>
    </row>
    <row r="6">
      <c r="A6" s="130">
        <v>5405.0</v>
      </c>
      <c r="B6" s="130" t="s">
        <v>272</v>
      </c>
      <c r="C6" s="130" t="s">
        <v>339</v>
      </c>
      <c r="D6" s="130" t="s">
        <v>343</v>
      </c>
      <c r="E6" s="130" t="s">
        <v>344</v>
      </c>
      <c r="F6" s="131" t="s">
        <v>345</v>
      </c>
      <c r="G6" s="132">
        <v>46074.708333333336</v>
      </c>
      <c r="H6" s="132">
        <v>46076.958333333336</v>
      </c>
      <c r="I6" s="133"/>
      <c r="J6" s="130">
        <v>240.0</v>
      </c>
      <c r="K6" s="130">
        <v>2.0</v>
      </c>
      <c r="L6" s="132">
        <v>46058.26684027778</v>
      </c>
      <c r="M6" s="132">
        <v>46058.26684027778</v>
      </c>
      <c r="N6" s="134"/>
    </row>
    <row r="7">
      <c r="A7" s="130">
        <v>5406.0</v>
      </c>
      <c r="B7" s="130" t="s">
        <v>275</v>
      </c>
      <c r="C7" s="130" t="s">
        <v>339</v>
      </c>
      <c r="D7" s="130" t="s">
        <v>346</v>
      </c>
      <c r="E7" s="130" t="s">
        <v>347</v>
      </c>
      <c r="F7" s="131" t="s">
        <v>348</v>
      </c>
      <c r="G7" s="132">
        <v>46074.708333333336</v>
      </c>
      <c r="H7" s="132">
        <v>46077.958333333336</v>
      </c>
      <c r="I7" s="133"/>
      <c r="J7" s="130">
        <v>400.0</v>
      </c>
      <c r="K7" s="130">
        <v>3.0</v>
      </c>
      <c r="L7" s="132">
        <v>46058.26684027778</v>
      </c>
      <c r="M7" s="132">
        <v>46058.26684027778</v>
      </c>
      <c r="N7" s="134"/>
    </row>
    <row r="8">
      <c r="A8" s="130">
        <v>5407.0</v>
      </c>
      <c r="B8" s="130" t="s">
        <v>278</v>
      </c>
      <c r="C8" s="130" t="s">
        <v>339</v>
      </c>
      <c r="D8" s="130" t="s">
        <v>349</v>
      </c>
      <c r="E8" s="130" t="s">
        <v>350</v>
      </c>
      <c r="F8" s="131" t="s">
        <v>351</v>
      </c>
      <c r="G8" s="132">
        <v>46074.708333333336</v>
      </c>
      <c r="H8" s="132">
        <v>46078.958333333336</v>
      </c>
      <c r="I8" s="133"/>
      <c r="J8" s="130">
        <v>560.0</v>
      </c>
      <c r="K8" s="130">
        <v>4.0</v>
      </c>
      <c r="L8" s="132">
        <v>46058.26684027778</v>
      </c>
      <c r="M8" s="132">
        <v>46058.26684027778</v>
      </c>
      <c r="N8" s="134"/>
    </row>
    <row r="9">
      <c r="A9" s="130">
        <v>5408.0</v>
      </c>
      <c r="B9" s="130" t="s">
        <v>352</v>
      </c>
      <c r="C9" s="130" t="s">
        <v>339</v>
      </c>
      <c r="D9" s="130" t="s">
        <v>353</v>
      </c>
      <c r="E9" s="130" t="s">
        <v>281</v>
      </c>
      <c r="F9" s="131" t="s">
        <v>354</v>
      </c>
      <c r="G9" s="130">
        <v>0.0</v>
      </c>
      <c r="H9" s="130">
        <v>0.0</v>
      </c>
      <c r="I9" s="133"/>
      <c r="J9" s="130">
        <v>0.0</v>
      </c>
      <c r="K9" s="130">
        <v>5.0</v>
      </c>
      <c r="L9" s="132">
        <v>46058.26684027778</v>
      </c>
      <c r="M9" s="132">
        <v>46058.26684027778</v>
      </c>
      <c r="N9" s="134"/>
    </row>
    <row r="10">
      <c r="A10" s="130">
        <v>5409.0</v>
      </c>
      <c r="B10" s="130" t="s">
        <v>355</v>
      </c>
      <c r="C10" s="130" t="s">
        <v>339</v>
      </c>
      <c r="D10" s="130" t="s">
        <v>356</v>
      </c>
      <c r="E10" s="130" t="s">
        <v>357</v>
      </c>
      <c r="F10" s="131" t="s">
        <v>358</v>
      </c>
      <c r="G10" s="130">
        <v>0.0</v>
      </c>
      <c r="H10" s="130">
        <v>0.0</v>
      </c>
      <c r="I10" s="133"/>
      <c r="J10" s="130">
        <v>0.0</v>
      </c>
      <c r="K10" s="130">
        <v>7.0</v>
      </c>
      <c r="L10" s="132">
        <v>46058.26684027778</v>
      </c>
      <c r="M10" s="132">
        <v>46058.26684027778</v>
      </c>
      <c r="N10" s="134"/>
    </row>
    <row r="11">
      <c r="A11" s="130">
        <v>5411.0</v>
      </c>
      <c r="B11" s="130" t="s">
        <v>359</v>
      </c>
      <c r="C11" s="130" t="s">
        <v>339</v>
      </c>
      <c r="D11" s="130" t="s">
        <v>360</v>
      </c>
      <c r="E11" s="130" t="s">
        <v>361</v>
      </c>
      <c r="F11" s="131" t="s">
        <v>362</v>
      </c>
      <c r="G11" s="130">
        <v>0.0</v>
      </c>
      <c r="H11" s="130">
        <v>0.0</v>
      </c>
      <c r="I11" s="133"/>
      <c r="J11" s="130">
        <v>600.0</v>
      </c>
      <c r="K11" s="130">
        <v>9.0</v>
      </c>
      <c r="L11" s="132">
        <v>46058.26684027778</v>
      </c>
      <c r="M11" s="132">
        <v>46058.26684027778</v>
      </c>
      <c r="N11" s="134"/>
    </row>
    <row r="12">
      <c r="A12" s="130">
        <v>5413.0</v>
      </c>
      <c r="B12" s="130" t="s">
        <v>363</v>
      </c>
      <c r="C12" s="130" t="s">
        <v>339</v>
      </c>
      <c r="D12" s="130" t="s">
        <v>360</v>
      </c>
      <c r="E12" s="130" t="s">
        <v>361</v>
      </c>
      <c r="F12" s="131" t="s">
        <v>362</v>
      </c>
      <c r="G12" s="130">
        <v>0.0</v>
      </c>
      <c r="H12" s="130">
        <v>0.0</v>
      </c>
      <c r="I12" s="133"/>
      <c r="J12" s="130">
        <v>650.0</v>
      </c>
      <c r="K12" s="130">
        <v>12.0</v>
      </c>
      <c r="L12" s="132">
        <v>46058.26684027778</v>
      </c>
      <c r="M12" s="132">
        <v>46058.26684027778</v>
      </c>
      <c r="N12" s="134"/>
    </row>
    <row r="13">
      <c r="A13" s="130">
        <v>5415.0</v>
      </c>
      <c r="B13" s="130" t="s">
        <v>364</v>
      </c>
      <c r="C13" s="130" t="s">
        <v>339</v>
      </c>
      <c r="D13" s="130" t="s">
        <v>360</v>
      </c>
      <c r="E13" s="130" t="s">
        <v>361</v>
      </c>
      <c r="F13" s="131" t="s">
        <v>362</v>
      </c>
      <c r="G13" s="130">
        <v>0.0</v>
      </c>
      <c r="H13" s="130">
        <v>0.0</v>
      </c>
      <c r="I13" s="133"/>
      <c r="J13" s="130">
        <v>700.0</v>
      </c>
      <c r="K13" s="130">
        <v>14.0</v>
      </c>
      <c r="L13" s="132">
        <v>46058.26684027778</v>
      </c>
      <c r="M13" s="132">
        <v>46058.26684027778</v>
      </c>
      <c r="N13" s="134"/>
    </row>
    <row r="14">
      <c r="A14" s="130">
        <v>5417.0</v>
      </c>
      <c r="B14" s="130" t="s">
        <v>365</v>
      </c>
      <c r="C14" s="130" t="s">
        <v>339</v>
      </c>
      <c r="D14" s="130" t="s">
        <v>360</v>
      </c>
      <c r="E14" s="130" t="s">
        <v>361</v>
      </c>
      <c r="F14" s="131" t="s">
        <v>362</v>
      </c>
      <c r="G14" s="130">
        <v>0.0</v>
      </c>
      <c r="H14" s="130">
        <v>0.0</v>
      </c>
      <c r="I14" s="133"/>
      <c r="J14" s="130">
        <v>750.0</v>
      </c>
      <c r="K14" s="130">
        <v>17.0</v>
      </c>
      <c r="L14" s="132">
        <v>46058.26684027778</v>
      </c>
      <c r="M14" s="132">
        <v>46058.26684027778</v>
      </c>
      <c r="N14" s="134"/>
    </row>
    <row r="15">
      <c r="A15" s="130">
        <v>5419.0</v>
      </c>
      <c r="B15" s="130" t="s">
        <v>366</v>
      </c>
      <c r="C15" s="130" t="s">
        <v>339</v>
      </c>
      <c r="D15" s="130" t="s">
        <v>360</v>
      </c>
      <c r="E15" s="130" t="s">
        <v>361</v>
      </c>
      <c r="F15" s="131" t="s">
        <v>362</v>
      </c>
      <c r="G15" s="130">
        <v>0.0</v>
      </c>
      <c r="H15" s="130">
        <v>0.0</v>
      </c>
      <c r="I15" s="133"/>
      <c r="J15" s="130">
        <v>800.0</v>
      </c>
      <c r="K15" s="130">
        <v>19.0</v>
      </c>
      <c r="L15" s="132">
        <v>46058.26684027778</v>
      </c>
      <c r="M15" s="132">
        <v>46058.26684027778</v>
      </c>
      <c r="N15" s="134"/>
    </row>
    <row r="16">
      <c r="A16" s="130">
        <v>5421.0</v>
      </c>
      <c r="B16" s="130" t="s">
        <v>367</v>
      </c>
      <c r="C16" s="130" t="s">
        <v>339</v>
      </c>
      <c r="D16" s="130" t="s">
        <v>360</v>
      </c>
      <c r="E16" s="130" t="s">
        <v>361</v>
      </c>
      <c r="F16" s="131" t="s">
        <v>362</v>
      </c>
      <c r="G16" s="130">
        <v>0.0</v>
      </c>
      <c r="H16" s="130">
        <v>0.0</v>
      </c>
      <c r="I16" s="133"/>
      <c r="J16" s="130">
        <v>850.0</v>
      </c>
      <c r="K16" s="130">
        <v>23.0</v>
      </c>
      <c r="L16" s="132">
        <v>46058.26684027778</v>
      </c>
      <c r="M16" s="132">
        <v>46058.26684027778</v>
      </c>
      <c r="N16" s="134"/>
    </row>
    <row r="17">
      <c r="A17" s="130">
        <v>5423.0</v>
      </c>
      <c r="B17" s="130" t="s">
        <v>368</v>
      </c>
      <c r="C17" s="130" t="s">
        <v>339</v>
      </c>
      <c r="D17" s="130" t="s">
        <v>360</v>
      </c>
      <c r="E17" s="130" t="s">
        <v>361</v>
      </c>
      <c r="F17" s="131" t="s">
        <v>362</v>
      </c>
      <c r="G17" s="130">
        <v>0.0</v>
      </c>
      <c r="H17" s="130">
        <v>0.0</v>
      </c>
      <c r="I17" s="133"/>
      <c r="J17" s="130">
        <v>900.0</v>
      </c>
      <c r="K17" s="130">
        <v>27.0</v>
      </c>
      <c r="L17" s="132">
        <v>46058.26684027778</v>
      </c>
      <c r="M17" s="132">
        <v>46058.26684027778</v>
      </c>
      <c r="N17" s="134"/>
    </row>
    <row r="18">
      <c r="A18" s="130">
        <v>5425.0</v>
      </c>
      <c r="B18" s="130" t="s">
        <v>369</v>
      </c>
      <c r="C18" s="130" t="s">
        <v>339</v>
      </c>
      <c r="D18" s="130" t="s">
        <v>360</v>
      </c>
      <c r="E18" s="130" t="s">
        <v>361</v>
      </c>
      <c r="F18" s="131" t="s">
        <v>362</v>
      </c>
      <c r="G18" s="130">
        <v>0.0</v>
      </c>
      <c r="H18" s="130">
        <v>0.0</v>
      </c>
      <c r="I18" s="133"/>
      <c r="J18" s="130">
        <v>950.0</v>
      </c>
      <c r="K18" s="130">
        <v>31.0</v>
      </c>
      <c r="L18" s="132">
        <v>46058.26684027778</v>
      </c>
      <c r="M18" s="132">
        <v>46058.26684027778</v>
      </c>
      <c r="N18" s="134"/>
    </row>
    <row r="19">
      <c r="A19" s="130">
        <v>5426.0</v>
      </c>
      <c r="B19" s="130" t="s">
        <v>370</v>
      </c>
      <c r="C19" s="130" t="s">
        <v>339</v>
      </c>
      <c r="D19" s="130" t="s">
        <v>371</v>
      </c>
      <c r="E19" s="130" t="s">
        <v>372</v>
      </c>
      <c r="F19" s="131" t="s">
        <v>373</v>
      </c>
      <c r="G19" s="130">
        <v>0.0</v>
      </c>
      <c r="H19" s="130">
        <v>0.0</v>
      </c>
      <c r="I19" s="133"/>
      <c r="J19" s="130">
        <v>0.0</v>
      </c>
      <c r="K19" s="130">
        <v>34.0</v>
      </c>
      <c r="L19" s="132">
        <v>46058.26684027778</v>
      </c>
      <c r="M19" s="132">
        <v>46058.26684027778</v>
      </c>
      <c r="N19" s="134"/>
    </row>
    <row r="20">
      <c r="A20" s="130">
        <v>5427.0</v>
      </c>
      <c r="B20" s="130" t="s">
        <v>293</v>
      </c>
      <c r="C20" s="130" t="s">
        <v>339</v>
      </c>
      <c r="D20" s="130" t="s">
        <v>374</v>
      </c>
      <c r="E20" s="130" t="s">
        <v>375</v>
      </c>
      <c r="F20" s="135"/>
      <c r="G20" s="130">
        <v>0.0</v>
      </c>
      <c r="H20" s="130">
        <v>0.0</v>
      </c>
      <c r="I20" s="133"/>
      <c r="J20" s="130">
        <v>500.0</v>
      </c>
      <c r="K20" s="130">
        <v>35.0</v>
      </c>
      <c r="L20" s="132">
        <v>46058.26684027778</v>
      </c>
      <c r="M20" s="132">
        <v>46058.26684027778</v>
      </c>
      <c r="N20" s="134"/>
    </row>
    <row r="21">
      <c r="A21" s="134"/>
      <c r="B21" s="134"/>
      <c r="C21" s="134"/>
      <c r="D21" s="134"/>
      <c r="E21" s="134"/>
      <c r="F21" s="134"/>
      <c r="G21" s="134"/>
      <c r="H21" s="134"/>
      <c r="I21" s="134"/>
      <c r="J21" s="134"/>
      <c r="K21" s="134"/>
      <c r="L21" s="134"/>
      <c r="M21" s="134"/>
      <c r="N21" s="134"/>
    </row>
  </sheetData>
  <hyperlinks>
    <hyperlink r:id="rId1" location="Bonus%20Group" ref="B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outlineLevelCol="2"/>
  <cols>
    <col collapsed="1" customWidth="1" min="1" max="1" width="42.14"/>
    <col collapsed="1" customWidth="1" hidden="1" min="2" max="2" width="42.14" outlineLevel="1"/>
    <col customWidth="1" hidden="1" min="3" max="3" width="12.29" outlineLevel="2"/>
    <col customWidth="1" hidden="1" min="4" max="4" width="59.0" outlineLevel="2"/>
    <col customWidth="1" hidden="1" min="5" max="5" width="44.57" outlineLevel="2"/>
    <col customWidth="1" hidden="1" min="6" max="6" width="40.43" outlineLevel="2"/>
    <col customWidth="1" hidden="1" min="7" max="7" width="21.14" outlineLevel="2"/>
    <col customWidth="1" hidden="1" min="8" max="8" width="58.29" outlineLevel="2"/>
    <col collapsed="1" customWidth="1" hidden="1" min="9" max="9" width="56.57" outlineLevel="1"/>
    <col hidden="1" min="10" max="10" width="14.43" outlineLevel="2"/>
    <col customWidth="1" hidden="1" min="11" max="11" width="49.43" outlineLevel="2"/>
    <col hidden="1" min="12" max="12" width="14.43" outlineLevel="1"/>
    <col collapsed="1" hidden="1" min="13" max="13" width="14.43" outlineLevel="1"/>
    <col hidden="1" min="14" max="15" width="14.43" outlineLevel="2"/>
    <col customWidth="1" hidden="1" min="16" max="16" width="15.14" outlineLevel="2"/>
    <col customWidth="1" hidden="1" min="17" max="17" width="23.0" outlineLevel="2"/>
    <col customWidth="1" hidden="1" min="18" max="18" width="109.0" outlineLevel="1"/>
    <col customWidth="1" min="19" max="19" width="20.86"/>
    <col collapsed="1" customWidth="1" min="20" max="20" width="59.0"/>
    <col customWidth="1" hidden="1" min="21" max="21" width="44.57" outlineLevel="1"/>
    <col customWidth="1" min="22" max="22" width="40.43"/>
  </cols>
  <sheetData>
    <row r="1">
      <c r="A1" s="136" t="s">
        <v>376</v>
      </c>
      <c r="B1" s="126"/>
      <c r="C1" s="126"/>
      <c r="D1" s="126"/>
      <c r="E1" s="126"/>
      <c r="F1" s="126"/>
      <c r="G1" s="126"/>
      <c r="H1" s="126"/>
      <c r="I1" s="126"/>
      <c r="J1" s="126"/>
      <c r="K1" s="126"/>
      <c r="L1" s="126"/>
      <c r="M1" s="126"/>
      <c r="N1" s="126"/>
      <c r="O1" s="126"/>
      <c r="P1" s="126"/>
      <c r="Q1" s="126"/>
      <c r="R1" s="126"/>
      <c r="S1" s="137"/>
      <c r="T1" s="126"/>
      <c r="U1" s="126"/>
      <c r="V1" s="126"/>
    </row>
    <row r="2">
      <c r="A2" s="126"/>
      <c r="B2" s="126"/>
      <c r="C2" s="126"/>
      <c r="D2" s="126"/>
      <c r="E2" s="126"/>
      <c r="F2" s="126"/>
      <c r="G2" s="126"/>
      <c r="H2" s="126"/>
      <c r="I2" s="126"/>
      <c r="J2" s="126">
        <f t="array" ref="J2:M2">SEQUENCE(1,COLUMNS(J:M))</f>
        <v>1</v>
      </c>
      <c r="K2" s="126">
        <v>2.0</v>
      </c>
      <c r="L2" s="126">
        <v>3.0</v>
      </c>
      <c r="M2" s="126">
        <v>4.0</v>
      </c>
      <c r="N2" s="126"/>
      <c r="O2" s="126"/>
      <c r="P2" s="126"/>
      <c r="Q2" s="126"/>
      <c r="R2" s="126"/>
      <c r="S2" s="138">
        <f t="array" ref="S2:V2">SEQUENCE(1,COLUMNS(S:V))</f>
        <v>1</v>
      </c>
      <c r="T2" s="126">
        <v>2.0</v>
      </c>
      <c r="U2" s="126">
        <v>3.0</v>
      </c>
      <c r="V2" s="126">
        <v>4.0</v>
      </c>
    </row>
    <row r="3">
      <c r="A3" s="139">
        <f t="array" ref="A3:V3">SEQUENCE(1,COLUMNS(A:V))</f>
        <v>1</v>
      </c>
      <c r="B3" s="139">
        <v>2.0</v>
      </c>
      <c r="C3" s="139">
        <v>3.0</v>
      </c>
      <c r="D3" s="139">
        <v>4.0</v>
      </c>
      <c r="E3" s="139">
        <v>5.0</v>
      </c>
      <c r="F3" s="139">
        <v>6.0</v>
      </c>
      <c r="G3" s="139">
        <v>7.0</v>
      </c>
      <c r="H3" s="139">
        <v>8.0</v>
      </c>
      <c r="I3" s="139">
        <v>9.0</v>
      </c>
      <c r="J3" s="139">
        <v>10.0</v>
      </c>
      <c r="K3" s="139">
        <v>11.0</v>
      </c>
      <c r="L3" s="139">
        <v>12.0</v>
      </c>
      <c r="M3" s="139">
        <v>13.0</v>
      </c>
      <c r="N3" s="139">
        <v>14.0</v>
      </c>
      <c r="O3" s="139">
        <v>15.0</v>
      </c>
      <c r="P3" s="139">
        <v>16.0</v>
      </c>
      <c r="Q3" s="139">
        <v>17.0</v>
      </c>
      <c r="R3" s="140">
        <v>18.0</v>
      </c>
      <c r="S3" s="140">
        <v>19.0</v>
      </c>
      <c r="T3" s="141">
        <v>20.0</v>
      </c>
      <c r="U3" s="141">
        <v>21.0</v>
      </c>
      <c r="V3" s="141">
        <v>22.0</v>
      </c>
    </row>
    <row r="4">
      <c r="A4" s="129" t="s">
        <v>327</v>
      </c>
      <c r="B4" s="129" t="s">
        <v>377</v>
      </c>
      <c r="C4" s="142" t="s">
        <v>378</v>
      </c>
      <c r="D4" s="142" t="s">
        <v>379</v>
      </c>
      <c r="E4" s="142" t="s">
        <v>380</v>
      </c>
      <c r="F4" s="142" t="s">
        <v>381</v>
      </c>
      <c r="G4" s="129" t="s">
        <v>382</v>
      </c>
      <c r="H4" s="129" t="s">
        <v>383</v>
      </c>
      <c r="I4" s="129" t="s">
        <v>384</v>
      </c>
      <c r="J4" s="142" t="s">
        <v>385</v>
      </c>
      <c r="K4" s="142" t="s">
        <v>386</v>
      </c>
      <c r="L4" s="129" t="s">
        <v>387</v>
      </c>
      <c r="M4" s="129" t="s">
        <v>388</v>
      </c>
      <c r="N4" s="129" t="s">
        <v>336</v>
      </c>
      <c r="O4" s="129" t="s">
        <v>389</v>
      </c>
      <c r="P4" s="129" t="s">
        <v>390</v>
      </c>
      <c r="Q4" s="129" t="s">
        <v>337</v>
      </c>
      <c r="R4" s="143" t="s">
        <v>391</v>
      </c>
      <c r="S4" s="143"/>
      <c r="T4" s="143"/>
      <c r="U4" s="143"/>
      <c r="V4" s="143"/>
    </row>
    <row r="5">
      <c r="A5" s="134" t="s">
        <v>252</v>
      </c>
      <c r="B5" s="144" t="s">
        <v>392</v>
      </c>
      <c r="C5" s="134">
        <f>IFERROR(__xludf.DUMMYFUNCTION("ARRAYFORMULA(IF(ISTEXT(B5:B47),SPLIT(B5:B47,""▸〈〉""),))"),171901.0)</f>
        <v>171901</v>
      </c>
      <c r="D5" s="134" t="str">
        <f>IFERROR(__xludf.DUMMYFUNCTION("""COMPUTED_VALUE"""),"Mystic Matrimony Early Clear Bonus Gold ")</f>
        <v>Mystic Matrimony Early Clear Bonus Gold </v>
      </c>
      <c r="E5" s="134" t="str">
        <f>IFERROR(__xludf.DUMMYFUNCTION("""COMPUTED_VALUE"""),"Blue Anemone Hair Clip x 1")</f>
        <v>Blue Anemone Hair Clip x 1</v>
      </c>
      <c r="F5" s="134" t="str">
        <f t="array" ref="F5:F47">if(ISTEXT(E5:E47),
LEFT(E5:E47,LEN(E5:E47)-4),
)</f>
        <v>Blue Anemone Hair Clip</v>
      </c>
      <c r="G5" s="134">
        <v>1.0</v>
      </c>
      <c r="H5" s="145" t="s">
        <v>393</v>
      </c>
      <c r="I5" s="146"/>
      <c r="J5" s="146" t="str">
        <f>IFERROR(__xludf.DUMMYFUNCTION("ARRAYFORMULA(IF(ISTEXT(I5:I47),SPLIT(I5:I47,""▸""),))"),"")</f>
        <v/>
      </c>
      <c r="K5" s="146"/>
      <c r="L5" s="146"/>
      <c r="M5" s="146"/>
      <c r="N5" s="134">
        <v>1.0</v>
      </c>
      <c r="O5" s="147"/>
      <c r="P5" s="147"/>
      <c r="Q5" s="148">
        <v>46058.27233796296</v>
      </c>
      <c r="R5" s="149" t="str">
        <f t="array" ref="R5:R47">LET(
_present, B5:B47,
_special_story, I5:I47,
_voice, L5:L47,
_still, M5:M47,
IFS(
LEN(_present),_present,
LEN(_special_story),_special_story,
LEN(_voice),_voice,
LEN(_still),_still)
)</f>
        <v>171901▸Mystic Matrimony Early Clear Bonus Gold 〈Blue Anemone Hair Clip x 1〉</v>
      </c>
      <c r="S5" s="150">
        <f>IFERROR(__xludf.DUMMYFUNCTION("ARRAYFORMULA(IF(ISTEXT(R5:R47),SPLIT(R5:R47,""▸〈〉""),))"),171901.0)</f>
        <v>171901</v>
      </c>
      <c r="T5" s="148" t="str">
        <f>IFERROR(__xludf.DUMMYFUNCTION("""COMPUTED_VALUE"""),"Mystic Matrimony Early Clear Bonus Gold ")</f>
        <v>Mystic Matrimony Early Clear Bonus Gold </v>
      </c>
      <c r="U5" s="148" t="str">
        <f>IFERROR(__xludf.DUMMYFUNCTION("""COMPUTED_VALUE"""),"Blue Anemone Hair Clip x 1")</f>
        <v>Blue Anemone Hair Clip x 1</v>
      </c>
      <c r="V5" s="134" t="str">
        <f t="array" ref="V5:V47">if(ISTEXT(U5:U47),
LEFT(U5:U47,LEN(U5:U47)-4),
)</f>
        <v>Blue Anemone Hair Clip</v>
      </c>
    </row>
    <row r="6">
      <c r="A6" s="134" t="s">
        <v>272</v>
      </c>
      <c r="B6" s="144" t="s">
        <v>394</v>
      </c>
      <c r="C6" s="134">
        <f>IFERROR(__xludf.DUMMYFUNCTION("""COMPUTED_VALUE"""),171902.0)</f>
        <v>171902</v>
      </c>
      <c r="D6" s="134" t="str">
        <f>IFERROR(__xludf.DUMMYFUNCTION("""COMPUTED_VALUE"""),"Mystic Matrimony Early Clear Bonus Silver ")</f>
        <v>Mystic Matrimony Early Clear Bonus Silver </v>
      </c>
      <c r="E6" s="134" t="str">
        <f>IFERROR(__xludf.DUMMYFUNCTION("""COMPUTED_VALUE"""),"Shining Silver Ash Hair x 1")</f>
        <v>Shining Silver Ash Hair x 1</v>
      </c>
      <c r="F6" s="134" t="s">
        <v>395</v>
      </c>
      <c r="G6" s="134">
        <v>1.0</v>
      </c>
      <c r="H6" s="145" t="s">
        <v>396</v>
      </c>
      <c r="I6" s="146"/>
      <c r="J6" s="146"/>
      <c r="K6" s="146"/>
      <c r="L6" s="146"/>
      <c r="M6" s="146"/>
      <c r="N6" s="134">
        <v>1.0</v>
      </c>
      <c r="O6" s="147"/>
      <c r="P6" s="147"/>
      <c r="Q6" s="148">
        <v>46058.27233796296</v>
      </c>
      <c r="R6" s="149" t="s">
        <v>397</v>
      </c>
      <c r="S6" s="150">
        <f>IFERROR(__xludf.DUMMYFUNCTION("""COMPUTED_VALUE"""),171902.0)</f>
        <v>171902</v>
      </c>
      <c r="T6" s="148" t="str">
        <f>IFERROR(__xludf.DUMMYFUNCTION("""COMPUTED_VALUE"""),"Mystic Matrimony Early Clear Bonus Silver ")</f>
        <v>Mystic Matrimony Early Clear Bonus Silver </v>
      </c>
      <c r="U6" s="148" t="str">
        <f>IFERROR(__xludf.DUMMYFUNCTION("""COMPUTED_VALUE"""),"Shining Silver Ash Hair x 1")</f>
        <v>Shining Silver Ash Hair x 1</v>
      </c>
      <c r="V6" s="148" t="s">
        <v>395</v>
      </c>
    </row>
    <row r="7">
      <c r="A7" s="134" t="s">
        <v>275</v>
      </c>
      <c r="B7" s="144" t="s">
        <v>398</v>
      </c>
      <c r="C7" s="134">
        <f>IFERROR(__xludf.DUMMYFUNCTION("""COMPUTED_VALUE"""),171903.0)</f>
        <v>171903</v>
      </c>
      <c r="D7" s="134" t="str">
        <f>IFERROR(__xludf.DUMMYFUNCTION("""COMPUTED_VALUE"""),"Mystic Matrimony Early Clear Bonus Mystic Matrimony ")</f>
        <v>Mystic Matrimony Early Clear Bonus Mystic Matrimony </v>
      </c>
      <c r="E7" s="134" t="str">
        <f>IFERROR(__xludf.DUMMYFUNCTION("""COMPUTED_VALUE"""),"Effect: Shiny White Spider Lily x 1")</f>
        <v>Effect: Shiny White Spider Lily x 1</v>
      </c>
      <c r="F7" s="134" t="s">
        <v>399</v>
      </c>
      <c r="G7" s="134">
        <v>1.0</v>
      </c>
      <c r="H7" s="145" t="s">
        <v>400</v>
      </c>
      <c r="I7" s="146"/>
      <c r="J7" s="146"/>
      <c r="K7" s="146"/>
      <c r="L7" s="146"/>
      <c r="M7" s="146"/>
      <c r="N7" s="134">
        <v>1.0</v>
      </c>
      <c r="O7" s="147"/>
      <c r="P7" s="147"/>
      <c r="Q7" s="148">
        <v>46058.27233796296</v>
      </c>
      <c r="R7" s="149" t="s">
        <v>401</v>
      </c>
      <c r="S7" s="150">
        <f>IFERROR(__xludf.DUMMYFUNCTION("""COMPUTED_VALUE"""),171903.0)</f>
        <v>171903</v>
      </c>
      <c r="T7" s="148" t="str">
        <f>IFERROR(__xludf.DUMMYFUNCTION("""COMPUTED_VALUE"""),"Mystic Matrimony Early Clear Bonus Mystic Matrimony ")</f>
        <v>Mystic Matrimony Early Clear Bonus Mystic Matrimony </v>
      </c>
      <c r="U7" s="148" t="str">
        <f>IFERROR(__xludf.DUMMYFUNCTION("""COMPUTED_VALUE"""),"Effect: Shiny White Spider Lily x 1")</f>
        <v>Effect: Shiny White Spider Lily x 1</v>
      </c>
      <c r="V7" s="148" t="s">
        <v>399</v>
      </c>
    </row>
    <row r="8">
      <c r="A8" s="134" t="s">
        <v>278</v>
      </c>
      <c r="B8" s="144" t="s">
        <v>402</v>
      </c>
      <c r="C8" s="134">
        <f>IFERROR(__xludf.DUMMYFUNCTION("""COMPUTED_VALUE"""),171904.0)</f>
        <v>171904</v>
      </c>
      <c r="D8" s="134" t="str">
        <f>IFERROR(__xludf.DUMMYFUNCTION("""COMPUTED_VALUE"""),"Mystic Matrimony Early Clear Bonus Platinum ")</f>
        <v>Mystic Matrimony Early Clear Bonus Platinum </v>
      </c>
      <c r="E8" s="134" t="str">
        <f>IFERROR(__xludf.DUMMYFUNCTION("""COMPUTED_VALUE"""),"The Forest Where Spirits Dwell x 1")</f>
        <v>The Forest Where Spirits Dwell x 1</v>
      </c>
      <c r="F8" s="134" t="s">
        <v>403</v>
      </c>
      <c r="G8" s="134">
        <v>1.0</v>
      </c>
      <c r="H8" s="145" t="s">
        <v>404</v>
      </c>
      <c r="I8" s="146"/>
      <c r="J8" s="146"/>
      <c r="K8" s="146"/>
      <c r="L8" s="146"/>
      <c r="M8" s="146"/>
      <c r="N8" s="134">
        <v>1.0</v>
      </c>
      <c r="O8" s="147"/>
      <c r="P8" s="147"/>
      <c r="Q8" s="148">
        <v>46058.27233796296</v>
      </c>
      <c r="R8" s="149" t="s">
        <v>405</v>
      </c>
      <c r="S8" s="150">
        <f>IFERROR(__xludf.DUMMYFUNCTION("""COMPUTED_VALUE"""),171904.0)</f>
        <v>171904</v>
      </c>
      <c r="T8" s="148" t="str">
        <f>IFERROR(__xludf.DUMMYFUNCTION("""COMPUTED_VALUE"""),"Mystic Matrimony Early Clear Bonus Platinum ")</f>
        <v>Mystic Matrimony Early Clear Bonus Platinum </v>
      </c>
      <c r="U8" s="148" t="str">
        <f>IFERROR(__xludf.DUMMYFUNCTION("""COMPUTED_VALUE"""),"The Forest Where Spirits Dwell x 1")</f>
        <v>The Forest Where Spirits Dwell x 1</v>
      </c>
      <c r="V8" s="148" t="s">
        <v>403</v>
      </c>
    </row>
    <row r="9">
      <c r="A9" s="134" t="s">
        <v>352</v>
      </c>
      <c r="B9" s="146"/>
      <c r="C9" s="147"/>
      <c r="D9" s="147"/>
      <c r="E9" s="147"/>
      <c r="F9" s="147"/>
      <c r="G9" s="147"/>
      <c r="H9" s="146"/>
      <c r="I9" s="151" t="s">
        <v>406</v>
      </c>
      <c r="J9" s="146">
        <f>IFERROR(__xludf.DUMMYFUNCTION("""COMPUTED_VALUE"""),6313.0)</f>
        <v>6313</v>
      </c>
      <c r="K9" s="146" t="str">
        <f>IFERROR(__xludf.DUMMYFUNCTION("""COMPUTED_VALUE"""),"Demon of My Dreams")</f>
        <v>Demon of My Dreams</v>
      </c>
      <c r="L9" s="146"/>
      <c r="M9" s="146"/>
      <c r="N9" s="134">
        <v>1.0</v>
      </c>
      <c r="O9" s="147"/>
      <c r="P9" s="147"/>
      <c r="Q9" s="148">
        <v>46058.27233796296</v>
      </c>
      <c r="R9" s="149" t="s">
        <v>406</v>
      </c>
      <c r="S9" s="150">
        <f>IFERROR(__xludf.DUMMYFUNCTION("""COMPUTED_VALUE"""),6313.0)</f>
        <v>6313</v>
      </c>
      <c r="T9" s="148" t="str">
        <f>IFERROR(__xludf.DUMMYFUNCTION("""COMPUTED_VALUE"""),"Demon of My Dreams")</f>
        <v>Demon of My Dreams</v>
      </c>
      <c r="U9" s="148"/>
      <c r="V9" s="148"/>
    </row>
    <row r="10">
      <c r="A10" s="134" t="s">
        <v>352</v>
      </c>
      <c r="B10" s="146"/>
      <c r="C10" s="147"/>
      <c r="D10" s="147"/>
      <c r="E10" s="147"/>
      <c r="F10" s="147"/>
      <c r="G10" s="147"/>
      <c r="H10" s="146"/>
      <c r="I10" s="144" t="s">
        <v>407</v>
      </c>
      <c r="J10" s="146">
        <f>IFERROR(__xludf.DUMMYFUNCTION("""COMPUTED_VALUE"""),6314.0)</f>
        <v>6314</v>
      </c>
      <c r="K10" s="146" t="str">
        <f>IFERROR(__xludf.DUMMYFUNCTION("""COMPUTED_VALUE"""),"Mystic Matrimony Bonus Story ～Masamune～")</f>
        <v>Mystic Matrimony Bonus Story ～Masamune～</v>
      </c>
      <c r="L10" s="146"/>
      <c r="M10" s="146"/>
      <c r="N10" s="134">
        <v>1.0</v>
      </c>
      <c r="O10" s="147"/>
      <c r="P10" s="147"/>
      <c r="Q10" s="148">
        <v>46058.27233796296</v>
      </c>
      <c r="R10" s="149" t="s">
        <v>408</v>
      </c>
      <c r="S10" s="150">
        <f>IFERROR(__xludf.DUMMYFUNCTION("""COMPUTED_VALUE"""),6314.0)</f>
        <v>6314</v>
      </c>
      <c r="T10" s="148" t="str">
        <f>IFERROR(__xludf.DUMMYFUNCTION("""COMPUTED_VALUE"""),"Mystic Matrimony Bonus Story ～Masamune～")</f>
        <v>Mystic Matrimony Bonus Story ～Masamune～</v>
      </c>
      <c r="U10" s="148"/>
      <c r="V10" s="148"/>
    </row>
    <row r="11">
      <c r="A11" s="134" t="s">
        <v>352</v>
      </c>
      <c r="B11" s="146"/>
      <c r="C11" s="147"/>
      <c r="D11" s="147"/>
      <c r="E11" s="147"/>
      <c r="F11" s="147"/>
      <c r="G11" s="147"/>
      <c r="H11" s="146"/>
      <c r="I11" s="144" t="s">
        <v>409</v>
      </c>
      <c r="J11" s="146">
        <f>IFERROR(__xludf.DUMMYFUNCTION("""COMPUTED_VALUE"""),6315.0)</f>
        <v>6315</v>
      </c>
      <c r="K11" s="146" t="str">
        <f>IFERROR(__xludf.DUMMYFUNCTION("""COMPUTED_VALUE"""),"Mystic Matrimony Bonus Story ～Nobunaga～")</f>
        <v>Mystic Matrimony Bonus Story ～Nobunaga～</v>
      </c>
      <c r="L11" s="146"/>
      <c r="M11" s="146"/>
      <c r="N11" s="134">
        <v>1.0</v>
      </c>
      <c r="O11" s="147"/>
      <c r="P11" s="147"/>
      <c r="Q11" s="148">
        <v>46058.27233796296</v>
      </c>
      <c r="R11" s="149" t="s">
        <v>410</v>
      </c>
      <c r="S11" s="150">
        <f>IFERROR(__xludf.DUMMYFUNCTION("""COMPUTED_VALUE"""),6315.0)</f>
        <v>6315</v>
      </c>
      <c r="T11" s="148" t="str">
        <f>IFERROR(__xludf.DUMMYFUNCTION("""COMPUTED_VALUE"""),"Mystic Matrimony Bonus Story ～Nobunaga～")</f>
        <v>Mystic Matrimony Bonus Story ～Nobunaga～</v>
      </c>
      <c r="U11" s="148"/>
      <c r="V11" s="148"/>
    </row>
    <row r="12">
      <c r="A12" s="134" t="s">
        <v>352</v>
      </c>
      <c r="B12" s="146"/>
      <c r="C12" s="147"/>
      <c r="D12" s="147"/>
      <c r="E12" s="147"/>
      <c r="F12" s="147"/>
      <c r="G12" s="147"/>
      <c r="H12" s="146"/>
      <c r="I12" s="144" t="s">
        <v>411</v>
      </c>
      <c r="J12" s="146">
        <f>IFERROR(__xludf.DUMMYFUNCTION("""COMPUTED_VALUE"""),6316.0)</f>
        <v>6316</v>
      </c>
      <c r="K12" s="146" t="str">
        <f>IFERROR(__xludf.DUMMYFUNCTION("""COMPUTED_VALUE"""),"Mystic Matrimony Bonus Story ～Kanetsugu～")</f>
        <v>Mystic Matrimony Bonus Story ～Kanetsugu～</v>
      </c>
      <c r="L12" s="146"/>
      <c r="M12" s="146"/>
      <c r="N12" s="134">
        <v>1.0</v>
      </c>
      <c r="O12" s="147"/>
      <c r="P12" s="147"/>
      <c r="Q12" s="148">
        <v>46058.27233796296</v>
      </c>
      <c r="R12" s="149" t="s">
        <v>412</v>
      </c>
      <c r="S12" s="150">
        <f>IFERROR(__xludf.DUMMYFUNCTION("""COMPUTED_VALUE"""),6316.0)</f>
        <v>6316</v>
      </c>
      <c r="T12" s="148" t="str">
        <f>IFERROR(__xludf.DUMMYFUNCTION("""COMPUTED_VALUE"""),"Mystic Matrimony Bonus Story ～Kanetsugu～")</f>
        <v>Mystic Matrimony Bonus Story ～Kanetsugu～</v>
      </c>
      <c r="U12" s="148"/>
      <c r="V12" s="148"/>
    </row>
    <row r="13">
      <c r="A13" s="134" t="s">
        <v>352</v>
      </c>
      <c r="B13" s="146"/>
      <c r="C13" s="147"/>
      <c r="D13" s="147"/>
      <c r="E13" s="147"/>
      <c r="F13" s="147"/>
      <c r="G13" s="147"/>
      <c r="H13" s="146"/>
      <c r="I13" s="144" t="s">
        <v>413</v>
      </c>
      <c r="J13" s="146">
        <f>IFERROR(__xludf.DUMMYFUNCTION("""COMPUTED_VALUE"""),6317.0)</f>
        <v>6317</v>
      </c>
      <c r="K13" s="146" t="str">
        <f>IFERROR(__xludf.DUMMYFUNCTION("""COMPUTED_VALUE"""),"Mystic Matrimony Bonus Story ～Kicho～")</f>
        <v>Mystic Matrimony Bonus Story ～Kicho～</v>
      </c>
      <c r="L13" s="146"/>
      <c r="M13" s="146"/>
      <c r="N13" s="134">
        <v>1.0</v>
      </c>
      <c r="O13" s="147"/>
      <c r="P13" s="147"/>
      <c r="Q13" s="148">
        <v>46058.27233796296</v>
      </c>
      <c r="R13" s="149" t="s">
        <v>414</v>
      </c>
      <c r="S13" s="150">
        <f>IFERROR(__xludf.DUMMYFUNCTION("""COMPUTED_VALUE"""),6317.0)</f>
        <v>6317</v>
      </c>
      <c r="T13" s="148" t="str">
        <f>IFERROR(__xludf.DUMMYFUNCTION("""COMPUTED_VALUE"""),"Mystic Matrimony Bonus Story ～Kicho～")</f>
        <v>Mystic Matrimony Bonus Story ～Kicho～</v>
      </c>
      <c r="U13" s="148"/>
      <c r="V13" s="148"/>
    </row>
    <row r="14">
      <c r="A14" s="134" t="s">
        <v>352</v>
      </c>
      <c r="B14" s="146"/>
      <c r="C14" s="147"/>
      <c r="D14" s="147"/>
      <c r="E14" s="147"/>
      <c r="F14" s="147"/>
      <c r="G14" s="147"/>
      <c r="H14" s="146"/>
      <c r="I14" s="144" t="s">
        <v>415</v>
      </c>
      <c r="J14" s="146">
        <f>IFERROR(__xludf.DUMMYFUNCTION("""COMPUTED_VALUE"""),6318.0)</f>
        <v>6318</v>
      </c>
      <c r="K14" s="146" t="str">
        <f>IFERROR(__xludf.DUMMYFUNCTION("""COMPUTED_VALUE"""),"Mystic Matrimony Bonus Story ～Motonari～")</f>
        <v>Mystic Matrimony Bonus Story ～Motonari～</v>
      </c>
      <c r="L14" s="146"/>
      <c r="M14" s="146"/>
      <c r="N14" s="134">
        <v>1.0</v>
      </c>
      <c r="O14" s="147"/>
      <c r="P14" s="147"/>
      <c r="Q14" s="148">
        <v>46058.27233796296</v>
      </c>
      <c r="R14" s="149" t="s">
        <v>416</v>
      </c>
      <c r="S14" s="150">
        <f>IFERROR(__xludf.DUMMYFUNCTION("""COMPUTED_VALUE"""),6318.0)</f>
        <v>6318</v>
      </c>
      <c r="T14" s="148" t="str">
        <f>IFERROR(__xludf.DUMMYFUNCTION("""COMPUTED_VALUE"""),"Mystic Matrimony Bonus Story ～Motonari～")</f>
        <v>Mystic Matrimony Bonus Story ～Motonari～</v>
      </c>
      <c r="U14" s="148"/>
      <c r="V14" s="148"/>
    </row>
    <row r="15">
      <c r="A15" s="134" t="s">
        <v>352</v>
      </c>
      <c r="B15" s="146"/>
      <c r="C15" s="147"/>
      <c r="D15" s="147"/>
      <c r="E15" s="147"/>
      <c r="F15" s="147"/>
      <c r="G15" s="147"/>
      <c r="H15" s="146"/>
      <c r="I15" s="144" t="s">
        <v>417</v>
      </c>
      <c r="J15" s="146">
        <f>IFERROR(__xludf.DUMMYFUNCTION("""COMPUTED_VALUE"""),6319.0)</f>
        <v>6319</v>
      </c>
      <c r="K15" s="146" t="str">
        <f>IFERROR(__xludf.DUMMYFUNCTION("""COMPUTED_VALUE"""),"Mystic Matrimony Bonus Story ～Yoshimoto～")</f>
        <v>Mystic Matrimony Bonus Story ～Yoshimoto～</v>
      </c>
      <c r="L15" s="146"/>
      <c r="M15" s="146"/>
      <c r="N15" s="134">
        <v>1.0</v>
      </c>
      <c r="O15" s="147"/>
      <c r="P15" s="147"/>
      <c r="Q15" s="148">
        <v>46058.27233796296</v>
      </c>
      <c r="R15" s="149" t="s">
        <v>418</v>
      </c>
      <c r="S15" s="150">
        <f>IFERROR(__xludf.DUMMYFUNCTION("""COMPUTED_VALUE"""),6319.0)</f>
        <v>6319</v>
      </c>
      <c r="T15" s="148" t="str">
        <f>IFERROR(__xludf.DUMMYFUNCTION("""COMPUTED_VALUE"""),"Mystic Matrimony Bonus Story ～Yoshimoto～")</f>
        <v>Mystic Matrimony Bonus Story ～Yoshimoto～</v>
      </c>
      <c r="U15" s="148"/>
      <c r="V15" s="148"/>
    </row>
    <row r="16">
      <c r="A16" s="134" t="s">
        <v>355</v>
      </c>
      <c r="B16" s="146"/>
      <c r="C16" s="147"/>
      <c r="D16" s="147"/>
      <c r="E16" s="147"/>
      <c r="F16" s="147"/>
      <c r="G16" s="147"/>
      <c r="H16" s="146"/>
      <c r="I16" s="146"/>
      <c r="J16" s="146"/>
      <c r="K16" s="146"/>
      <c r="M16" s="146" t="s">
        <v>419</v>
      </c>
      <c r="N16" s="134">
        <v>1.0</v>
      </c>
      <c r="O16" s="147"/>
      <c r="P16" s="147"/>
      <c r="Q16" s="148">
        <v>46058.27233796296</v>
      </c>
      <c r="R16" s="152" t="s">
        <v>419</v>
      </c>
      <c r="S16" s="150">
        <f>IFERROR(__xludf.DUMMYFUNCTION("""COMPUTED_VALUE"""),3780.0)</f>
        <v>3780</v>
      </c>
      <c r="T16" s="148" t="str">
        <f>IFERROR(__xludf.DUMMYFUNCTION("""COMPUTED_VALUE"""),"Mystic Matrimony ~Yoshimoto~")</f>
        <v>Mystic Matrimony ~Yoshimoto~</v>
      </c>
      <c r="U16" s="148"/>
      <c r="V16" s="148"/>
    </row>
    <row r="17">
      <c r="A17" s="134" t="s">
        <v>359</v>
      </c>
      <c r="B17" s="143"/>
      <c r="C17" s="134"/>
      <c r="D17" s="134"/>
      <c r="E17" s="134"/>
      <c r="F17" s="134"/>
      <c r="G17" s="134"/>
      <c r="H17" s="145"/>
      <c r="I17" s="146"/>
      <c r="J17" s="146"/>
      <c r="K17" s="146"/>
      <c r="M17" s="146" t="s">
        <v>420</v>
      </c>
      <c r="N17" s="134">
        <v>1.0</v>
      </c>
      <c r="O17" s="147"/>
      <c r="P17" s="147"/>
      <c r="Q17" s="148">
        <v>46058.27233796296</v>
      </c>
      <c r="R17" s="152" t="s">
        <v>420</v>
      </c>
      <c r="S17" s="150">
        <f>IFERROR(__xludf.DUMMYFUNCTION("""COMPUTED_VALUE"""),3779.0)</f>
        <v>3779</v>
      </c>
      <c r="T17" s="148" t="str">
        <f>IFERROR(__xludf.DUMMYFUNCTION("""COMPUTED_VALUE"""),"Mystic Matrimony ~Motonari~")</f>
        <v>Mystic Matrimony ~Motonari~</v>
      </c>
      <c r="U17" s="148"/>
      <c r="V17" s="148"/>
    </row>
    <row r="18">
      <c r="A18" s="134" t="s">
        <v>359</v>
      </c>
      <c r="B18" s="144" t="s">
        <v>421</v>
      </c>
      <c r="C18" s="134">
        <f>IFERROR(__xludf.DUMMYFUNCTION("""COMPUTED_VALUE"""),171906.0)</f>
        <v>171906</v>
      </c>
      <c r="D18" s="134" t="str">
        <f>IFERROR(__xludf.DUMMYFUNCTION("""COMPUTED_VALUE"""),"Mystic Matrimony Special Collection Bonus ")</f>
        <v>Mystic Matrimony Special Collection Bonus </v>
      </c>
      <c r="E18" s="134" t="str">
        <f>IFERROR(__xludf.DUMMYFUNCTION("""COMPUTED_VALUE"""),"Mystic Matrimony Yoshimoto x 1")</f>
        <v>Mystic Matrimony Yoshimoto x 1</v>
      </c>
      <c r="F18" s="134" t="s">
        <v>422</v>
      </c>
      <c r="G18" s="134">
        <v>1.0</v>
      </c>
      <c r="H18" s="145" t="s">
        <v>423</v>
      </c>
      <c r="I18" s="146"/>
      <c r="J18" s="146"/>
      <c r="K18" s="146"/>
      <c r="L18" s="146"/>
      <c r="M18" s="146"/>
      <c r="N18" s="134">
        <v>1.0</v>
      </c>
      <c r="O18" s="147"/>
      <c r="P18" s="147"/>
      <c r="Q18" s="148">
        <v>46058.27233796296</v>
      </c>
      <c r="R18" s="149" t="s">
        <v>424</v>
      </c>
      <c r="S18" s="150">
        <f>IFERROR(__xludf.DUMMYFUNCTION("""COMPUTED_VALUE"""),171906.0)</f>
        <v>171906</v>
      </c>
      <c r="T18" s="148" t="str">
        <f>IFERROR(__xludf.DUMMYFUNCTION("""COMPUTED_VALUE"""),"Mystic Matrimony Special Collection Bonus ")</f>
        <v>Mystic Matrimony Special Collection Bonus </v>
      </c>
      <c r="U18" s="148" t="str">
        <f>IFERROR(__xludf.DUMMYFUNCTION("""COMPUTED_VALUE"""),"Mystic Matrimony Yoshimoto x 1")</f>
        <v>Mystic Matrimony Yoshimoto x 1</v>
      </c>
      <c r="V18" s="148" t="s">
        <v>422</v>
      </c>
    </row>
    <row r="19">
      <c r="A19" s="134" t="s">
        <v>363</v>
      </c>
      <c r="B19" s="146"/>
      <c r="C19" s="147"/>
      <c r="D19" s="147"/>
      <c r="E19" s="147"/>
      <c r="F19" s="147"/>
      <c r="G19" s="147"/>
      <c r="H19" s="146"/>
      <c r="I19" s="151" t="s">
        <v>425</v>
      </c>
      <c r="J19" s="146">
        <f>IFERROR(__xludf.DUMMYFUNCTION("""COMPUTED_VALUE"""),6325.0)</f>
        <v>6325</v>
      </c>
      <c r="K19" s="146" t="str">
        <f>IFERROR(__xludf.DUMMYFUNCTION("""COMPUTED_VALUE"""),"Mystic Matrimony After Story ～Yoshimoto～")</f>
        <v>Mystic Matrimony After Story ～Yoshimoto～</v>
      </c>
      <c r="L19" s="146"/>
      <c r="M19" s="146"/>
      <c r="N19" s="134">
        <v>1.0</v>
      </c>
      <c r="O19" s="147"/>
      <c r="P19" s="147"/>
      <c r="Q19" s="148">
        <v>46058.27233796296</v>
      </c>
      <c r="R19" s="149" t="s">
        <v>425</v>
      </c>
      <c r="S19" s="150">
        <f>IFERROR(__xludf.DUMMYFUNCTION("""COMPUTED_VALUE"""),6325.0)</f>
        <v>6325</v>
      </c>
      <c r="T19" s="148" t="str">
        <f>IFERROR(__xludf.DUMMYFUNCTION("""COMPUTED_VALUE"""),"Mystic Matrimony After Story ～Yoshimoto～")</f>
        <v>Mystic Matrimony After Story ～Yoshimoto～</v>
      </c>
      <c r="U19" s="148"/>
      <c r="V19" s="148"/>
    </row>
    <row r="20">
      <c r="A20" s="134" t="s">
        <v>364</v>
      </c>
      <c r="B20" s="143"/>
      <c r="C20" s="134"/>
      <c r="D20" s="134"/>
      <c r="E20" s="134"/>
      <c r="F20" s="134"/>
      <c r="G20" s="134"/>
      <c r="H20" s="145"/>
      <c r="I20" s="146"/>
      <c r="J20" s="146"/>
      <c r="K20" s="146"/>
      <c r="M20" s="146" t="s">
        <v>426</v>
      </c>
      <c r="N20" s="134">
        <v>1.0</v>
      </c>
      <c r="O20" s="147"/>
      <c r="P20" s="147"/>
      <c r="Q20" s="148">
        <v>46058.27233796296</v>
      </c>
      <c r="R20" s="152" t="s">
        <v>426</v>
      </c>
      <c r="S20" s="150">
        <f>IFERROR(__xludf.DUMMYFUNCTION("""COMPUTED_VALUE"""),3778.0)</f>
        <v>3778</v>
      </c>
      <c r="T20" s="148" t="str">
        <f>IFERROR(__xludf.DUMMYFUNCTION("""COMPUTED_VALUE"""),"Mystic Matrimony ~Kicho~")</f>
        <v>Mystic Matrimony ~Kicho~</v>
      </c>
      <c r="U20" s="148"/>
      <c r="V20" s="148"/>
    </row>
    <row r="21">
      <c r="A21" s="134" t="s">
        <v>364</v>
      </c>
      <c r="B21" s="144" t="s">
        <v>427</v>
      </c>
      <c r="C21" s="134">
        <f>IFERROR(__xludf.DUMMYFUNCTION("""COMPUTED_VALUE"""),171909.0)</f>
        <v>171909</v>
      </c>
      <c r="D21" s="134" t="str">
        <f>IFERROR(__xludf.DUMMYFUNCTION("""COMPUTED_VALUE"""),"Mystic Matrimony Special Collection Bonus ")</f>
        <v>Mystic Matrimony Special Collection Bonus </v>
      </c>
      <c r="E21" s="134" t="str">
        <f>IFERROR(__xludf.DUMMYFUNCTION("""COMPUTED_VALUE"""),"Mystic Matrimony Motonari x 1")</f>
        <v>Mystic Matrimony Motonari x 1</v>
      </c>
      <c r="F21" s="134" t="s">
        <v>428</v>
      </c>
      <c r="G21" s="134">
        <v>1.0</v>
      </c>
      <c r="H21" s="145" t="s">
        <v>423</v>
      </c>
      <c r="I21" s="146"/>
      <c r="J21" s="146"/>
      <c r="K21" s="146"/>
      <c r="L21" s="146"/>
      <c r="M21" s="146"/>
      <c r="N21" s="134">
        <v>1.0</v>
      </c>
      <c r="O21" s="147"/>
      <c r="P21" s="147"/>
      <c r="Q21" s="148">
        <v>46058.27233796296</v>
      </c>
      <c r="R21" s="149" t="s">
        <v>429</v>
      </c>
      <c r="S21" s="150">
        <f>IFERROR(__xludf.DUMMYFUNCTION("""COMPUTED_VALUE"""),171909.0)</f>
        <v>171909</v>
      </c>
      <c r="T21" s="148" t="str">
        <f>IFERROR(__xludf.DUMMYFUNCTION("""COMPUTED_VALUE"""),"Mystic Matrimony Special Collection Bonus ")</f>
        <v>Mystic Matrimony Special Collection Bonus </v>
      </c>
      <c r="U21" s="148" t="str">
        <f>IFERROR(__xludf.DUMMYFUNCTION("""COMPUTED_VALUE"""),"Mystic Matrimony Motonari x 1")</f>
        <v>Mystic Matrimony Motonari x 1</v>
      </c>
      <c r="V21" s="148" t="s">
        <v>428</v>
      </c>
    </row>
    <row r="22">
      <c r="A22" s="134" t="s">
        <v>365</v>
      </c>
      <c r="B22" s="146"/>
      <c r="C22" s="147"/>
      <c r="D22" s="147"/>
      <c r="E22" s="147"/>
      <c r="F22" s="147"/>
      <c r="G22" s="147"/>
      <c r="H22" s="146"/>
      <c r="I22" s="144" t="s">
        <v>430</v>
      </c>
      <c r="J22" s="146">
        <f>IFERROR(__xludf.DUMMYFUNCTION("""COMPUTED_VALUE"""),6324.0)</f>
        <v>6324</v>
      </c>
      <c r="K22" s="146" t="str">
        <f>IFERROR(__xludf.DUMMYFUNCTION("""COMPUTED_VALUE"""),"Mystic Matrimony After Story ～Motonari～")</f>
        <v>Mystic Matrimony After Story ～Motonari～</v>
      </c>
      <c r="L22" s="146"/>
      <c r="M22" s="146"/>
      <c r="N22" s="134">
        <v>1.0</v>
      </c>
      <c r="O22" s="147"/>
      <c r="P22" s="147"/>
      <c r="Q22" s="148">
        <v>46058.27233796296</v>
      </c>
      <c r="R22" s="149" t="s">
        <v>431</v>
      </c>
      <c r="S22" s="150">
        <f>IFERROR(__xludf.DUMMYFUNCTION("""COMPUTED_VALUE"""),6324.0)</f>
        <v>6324</v>
      </c>
      <c r="T22" s="148" t="str">
        <f>IFERROR(__xludf.DUMMYFUNCTION("""COMPUTED_VALUE"""),"Mystic Matrimony After Story ～Motonari～")</f>
        <v>Mystic Matrimony After Story ～Motonari～</v>
      </c>
      <c r="U22" s="148"/>
      <c r="V22" s="148"/>
    </row>
    <row r="23">
      <c r="A23" s="134" t="s">
        <v>366</v>
      </c>
      <c r="B23" s="146"/>
      <c r="C23" s="147"/>
      <c r="D23" s="147"/>
      <c r="E23" s="147"/>
      <c r="F23" s="147"/>
      <c r="G23" s="147"/>
      <c r="H23" s="146"/>
      <c r="I23" s="144" t="s">
        <v>432</v>
      </c>
      <c r="J23" s="146">
        <f>IFERROR(__xludf.DUMMYFUNCTION("""COMPUTED_VALUE"""),6323.0)</f>
        <v>6323</v>
      </c>
      <c r="K23" s="146" t="str">
        <f>IFERROR(__xludf.DUMMYFUNCTION("""COMPUTED_VALUE"""),"Mystic Matrimony After Story ～Kicho～")</f>
        <v>Mystic Matrimony After Story ～Kicho～</v>
      </c>
      <c r="L23" s="146"/>
      <c r="M23" s="146"/>
      <c r="N23" s="134">
        <v>1.0</v>
      </c>
      <c r="O23" s="147"/>
      <c r="P23" s="147"/>
      <c r="Q23" s="148">
        <v>46058.27233796296</v>
      </c>
      <c r="R23" s="149" t="s">
        <v>433</v>
      </c>
      <c r="S23" s="150">
        <f>IFERROR(__xludf.DUMMYFUNCTION("""COMPUTED_VALUE"""),6323.0)</f>
        <v>6323</v>
      </c>
      <c r="T23" s="148" t="str">
        <f>IFERROR(__xludf.DUMMYFUNCTION("""COMPUTED_VALUE"""),"Mystic Matrimony After Story ～Kicho～")</f>
        <v>Mystic Matrimony After Story ～Kicho～</v>
      </c>
      <c r="U23" s="148"/>
      <c r="V23" s="148"/>
    </row>
    <row r="24">
      <c r="A24" s="130" t="s">
        <v>366</v>
      </c>
      <c r="B24" s="135"/>
      <c r="C24" s="133"/>
      <c r="D24" s="135"/>
      <c r="E24" s="135"/>
      <c r="F24" s="135"/>
      <c r="G24" s="135"/>
      <c r="H24" s="130"/>
      <c r="I24" s="153"/>
      <c r="J24" s="153"/>
      <c r="K24" s="132"/>
      <c r="L24" s="146"/>
      <c r="M24" s="146" t="s">
        <v>434</v>
      </c>
      <c r="N24" s="134">
        <v>1.0</v>
      </c>
      <c r="O24" s="147"/>
      <c r="P24" s="147"/>
      <c r="Q24" s="148">
        <v>46058.27233796296</v>
      </c>
      <c r="R24" s="152" t="s">
        <v>434</v>
      </c>
      <c r="S24" s="150">
        <f>IFERROR(__xludf.DUMMYFUNCTION("""COMPUTED_VALUE"""),3777.0)</f>
        <v>3777</v>
      </c>
      <c r="T24" s="148" t="str">
        <f>IFERROR(__xludf.DUMMYFUNCTION("""COMPUTED_VALUE"""),"Mystic Matrimony ~Kanetsugu~")</f>
        <v>Mystic Matrimony ~Kanetsugu~</v>
      </c>
      <c r="U24" s="148"/>
      <c r="V24" s="148"/>
    </row>
    <row r="25">
      <c r="A25" s="134" t="s">
        <v>366</v>
      </c>
      <c r="B25" s="144" t="s">
        <v>435</v>
      </c>
      <c r="C25" s="134">
        <f>IFERROR(__xludf.DUMMYFUNCTION("""COMPUTED_VALUE"""),171912.0)</f>
        <v>171912</v>
      </c>
      <c r="D25" s="134" t="str">
        <f>IFERROR(__xludf.DUMMYFUNCTION("""COMPUTED_VALUE"""),"Mystic Matrimony Special Collection Bonus ")</f>
        <v>Mystic Matrimony Special Collection Bonus </v>
      </c>
      <c r="E25" s="134" t="str">
        <f>IFERROR(__xludf.DUMMYFUNCTION("""COMPUTED_VALUE"""),"Mystic Matrimony Kicho x 1")</f>
        <v>Mystic Matrimony Kicho x 1</v>
      </c>
      <c r="F25" s="134" t="s">
        <v>436</v>
      </c>
      <c r="G25" s="134">
        <v>1.0</v>
      </c>
      <c r="H25" s="145" t="s">
        <v>423</v>
      </c>
      <c r="I25" s="146"/>
      <c r="J25" s="146"/>
      <c r="K25" s="146"/>
      <c r="L25" s="146"/>
      <c r="M25" s="146"/>
      <c r="N25" s="134">
        <v>1.0</v>
      </c>
      <c r="O25" s="147"/>
      <c r="P25" s="147"/>
      <c r="Q25" s="148">
        <v>46058.27233796296</v>
      </c>
      <c r="R25" s="149" t="s">
        <v>437</v>
      </c>
      <c r="S25" s="150">
        <f>IFERROR(__xludf.DUMMYFUNCTION("""COMPUTED_VALUE"""),171912.0)</f>
        <v>171912</v>
      </c>
      <c r="T25" s="148" t="str">
        <f>IFERROR(__xludf.DUMMYFUNCTION("""COMPUTED_VALUE"""),"Mystic Matrimony Special Collection Bonus ")</f>
        <v>Mystic Matrimony Special Collection Bonus </v>
      </c>
      <c r="U25" s="148" t="str">
        <f>IFERROR(__xludf.DUMMYFUNCTION("""COMPUTED_VALUE"""),"Mystic Matrimony Kicho x 1")</f>
        <v>Mystic Matrimony Kicho x 1</v>
      </c>
      <c r="V25" s="148" t="s">
        <v>436</v>
      </c>
    </row>
    <row r="26">
      <c r="A26" s="134" t="s">
        <v>367</v>
      </c>
      <c r="B26" s="146"/>
      <c r="C26" s="147"/>
      <c r="D26" s="147"/>
      <c r="E26" s="147"/>
      <c r="F26" s="147"/>
      <c r="G26" s="147"/>
      <c r="H26" s="146"/>
      <c r="I26" s="144" t="s">
        <v>438</v>
      </c>
      <c r="J26" s="146">
        <f>IFERROR(__xludf.DUMMYFUNCTION("""COMPUTED_VALUE"""),6322.0)</f>
        <v>6322</v>
      </c>
      <c r="K26" s="146" t="str">
        <f>IFERROR(__xludf.DUMMYFUNCTION("""COMPUTED_VALUE"""),"Mystic Matrimony After Story ～Kanetsugu～")</f>
        <v>Mystic Matrimony After Story ～Kanetsugu～</v>
      </c>
      <c r="L26" s="146"/>
      <c r="M26" s="146"/>
      <c r="N26" s="134">
        <v>1.0</v>
      </c>
      <c r="O26" s="147"/>
      <c r="P26" s="147"/>
      <c r="Q26" s="148">
        <v>46058.27233796296</v>
      </c>
      <c r="R26" s="149" t="s">
        <v>439</v>
      </c>
      <c r="S26" s="150">
        <f>IFERROR(__xludf.DUMMYFUNCTION("""COMPUTED_VALUE"""),6322.0)</f>
        <v>6322</v>
      </c>
      <c r="T26" s="148" t="str">
        <f>IFERROR(__xludf.DUMMYFUNCTION("""COMPUTED_VALUE"""),"Mystic Matrimony After Story ～Kanetsugu～")</f>
        <v>Mystic Matrimony After Story ～Kanetsugu～</v>
      </c>
      <c r="U26" s="148"/>
      <c r="V26" s="148"/>
    </row>
    <row r="27">
      <c r="A27" s="130" t="s">
        <v>367</v>
      </c>
      <c r="C27" s="135"/>
      <c r="D27" s="133"/>
      <c r="E27" s="135"/>
      <c r="F27" s="135"/>
      <c r="G27" s="135"/>
      <c r="H27" s="135"/>
      <c r="J27" s="154"/>
      <c r="K27" s="154"/>
      <c r="M27" s="146" t="s">
        <v>440</v>
      </c>
      <c r="N27" s="130">
        <v>1.0</v>
      </c>
      <c r="O27" s="153"/>
      <c r="P27" s="153"/>
      <c r="Q27" s="132">
        <v>46058.27233796296</v>
      </c>
      <c r="R27" s="152" t="s">
        <v>440</v>
      </c>
      <c r="S27" s="150">
        <f>IFERROR(__xludf.DUMMYFUNCTION("""COMPUTED_VALUE"""),3776.0)</f>
        <v>3776</v>
      </c>
      <c r="T27" s="148" t="str">
        <f>IFERROR(__xludf.DUMMYFUNCTION("""COMPUTED_VALUE"""),"Mystic Matrimony ~Nobunaga~")</f>
        <v>Mystic Matrimony ~Nobunaga~</v>
      </c>
      <c r="U27" s="148"/>
      <c r="V27" s="148"/>
    </row>
    <row r="28">
      <c r="A28" s="134" t="s">
        <v>367</v>
      </c>
      <c r="B28" s="144" t="s">
        <v>441</v>
      </c>
      <c r="C28" s="134">
        <f>IFERROR(__xludf.DUMMYFUNCTION("""COMPUTED_VALUE"""),171914.0)</f>
        <v>171914</v>
      </c>
      <c r="D28" s="134" t="str">
        <f>IFERROR(__xludf.DUMMYFUNCTION("""COMPUTED_VALUE"""),"Mystic Matrimony Special Collection Bonus ")</f>
        <v>Mystic Matrimony Special Collection Bonus </v>
      </c>
      <c r="E28" s="134" t="str">
        <f>IFERROR(__xludf.DUMMYFUNCTION("""COMPUTED_VALUE"""),"Mystic Matrimony Kanetsugu x 1")</f>
        <v>Mystic Matrimony Kanetsugu x 1</v>
      </c>
      <c r="F28" s="134" t="s">
        <v>442</v>
      </c>
      <c r="G28" s="134">
        <v>1.0</v>
      </c>
      <c r="H28" s="145" t="s">
        <v>423</v>
      </c>
      <c r="I28" s="146"/>
      <c r="J28" s="146"/>
      <c r="K28" s="146"/>
      <c r="L28" s="146"/>
      <c r="M28" s="146"/>
      <c r="N28" s="134">
        <v>1.0</v>
      </c>
      <c r="O28" s="147"/>
      <c r="P28" s="147"/>
      <c r="Q28" s="148">
        <v>46058.27233796296</v>
      </c>
      <c r="R28" s="149" t="s">
        <v>443</v>
      </c>
      <c r="S28" s="150">
        <f>IFERROR(__xludf.DUMMYFUNCTION("""COMPUTED_VALUE"""),171914.0)</f>
        <v>171914</v>
      </c>
      <c r="T28" s="148" t="str">
        <f>IFERROR(__xludf.DUMMYFUNCTION("""COMPUTED_VALUE"""),"Mystic Matrimony Special Collection Bonus ")</f>
        <v>Mystic Matrimony Special Collection Bonus </v>
      </c>
      <c r="U28" s="148" t="str">
        <f>IFERROR(__xludf.DUMMYFUNCTION("""COMPUTED_VALUE"""),"Mystic Matrimony Kanetsugu x 1")</f>
        <v>Mystic Matrimony Kanetsugu x 1</v>
      </c>
      <c r="V28" s="148" t="s">
        <v>442</v>
      </c>
    </row>
    <row r="29">
      <c r="A29" s="134" t="s">
        <v>368</v>
      </c>
      <c r="B29" s="146"/>
      <c r="C29" s="147"/>
      <c r="D29" s="147"/>
      <c r="E29" s="147"/>
      <c r="F29" s="147"/>
      <c r="G29" s="147"/>
      <c r="H29" s="146"/>
      <c r="I29" s="144" t="s">
        <v>444</v>
      </c>
      <c r="J29" s="146">
        <f>IFERROR(__xludf.DUMMYFUNCTION("""COMPUTED_VALUE"""),6321.0)</f>
        <v>6321</v>
      </c>
      <c r="K29" s="146" t="str">
        <f>IFERROR(__xludf.DUMMYFUNCTION("""COMPUTED_VALUE"""),"Mystic Matrimony After Story ～Nobunaga～")</f>
        <v>Mystic Matrimony After Story ～Nobunaga～</v>
      </c>
      <c r="L29" s="146"/>
      <c r="M29" s="146"/>
      <c r="N29" s="134">
        <v>1.0</v>
      </c>
      <c r="O29" s="147"/>
      <c r="P29" s="147"/>
      <c r="Q29" s="148">
        <v>46058.27233796296</v>
      </c>
      <c r="R29" s="149" t="s">
        <v>445</v>
      </c>
      <c r="S29" s="150">
        <f>IFERROR(__xludf.DUMMYFUNCTION("""COMPUTED_VALUE"""),6321.0)</f>
        <v>6321</v>
      </c>
      <c r="T29" s="148" t="str">
        <f>IFERROR(__xludf.DUMMYFUNCTION("""COMPUTED_VALUE"""),"Mystic Matrimony After Story ～Nobunaga～")</f>
        <v>Mystic Matrimony After Story ～Nobunaga～</v>
      </c>
      <c r="U29" s="148"/>
      <c r="V29" s="148"/>
    </row>
    <row r="30">
      <c r="A30" s="134" t="s">
        <v>368</v>
      </c>
      <c r="B30" s="143"/>
      <c r="C30" s="134"/>
      <c r="D30" s="134"/>
      <c r="E30" s="134"/>
      <c r="F30" s="134"/>
      <c r="G30" s="134"/>
      <c r="H30" s="145"/>
      <c r="I30" s="146"/>
      <c r="J30" s="146"/>
      <c r="K30" s="146"/>
      <c r="L30" s="146"/>
      <c r="M30" s="146" t="s">
        <v>446</v>
      </c>
      <c r="N30" s="134">
        <v>1.0</v>
      </c>
      <c r="O30" s="147"/>
      <c r="P30" s="147"/>
      <c r="Q30" s="148">
        <v>46059.27233796296</v>
      </c>
      <c r="R30" s="152" t="s">
        <v>446</v>
      </c>
      <c r="S30" s="150">
        <f>IFERROR(__xludf.DUMMYFUNCTION("""COMPUTED_VALUE"""),3775.0)</f>
        <v>3775</v>
      </c>
      <c r="T30" s="148" t="str">
        <f>IFERROR(__xludf.DUMMYFUNCTION("""COMPUTED_VALUE"""),"Mystic Matrimony ~Masamune~")</f>
        <v>Mystic Matrimony ~Masamune~</v>
      </c>
      <c r="U30" s="148"/>
      <c r="V30" s="148"/>
    </row>
    <row r="31">
      <c r="A31" s="134" t="s">
        <v>368</v>
      </c>
      <c r="B31" s="144" t="s">
        <v>447</v>
      </c>
      <c r="C31" s="134">
        <f>IFERROR(__xludf.DUMMYFUNCTION("""COMPUTED_VALUE"""),171916.0)</f>
        <v>171916</v>
      </c>
      <c r="D31" s="134" t="str">
        <f>IFERROR(__xludf.DUMMYFUNCTION("""COMPUTED_VALUE"""),"Mystic Matrimony Special Collection Bonus ")</f>
        <v>Mystic Matrimony Special Collection Bonus </v>
      </c>
      <c r="E31" s="134" t="str">
        <f>IFERROR(__xludf.DUMMYFUNCTION("""COMPUTED_VALUE"""),"Mystic Matrimony Nobunaga x 1")</f>
        <v>Mystic Matrimony Nobunaga x 1</v>
      </c>
      <c r="F31" s="134" t="s">
        <v>448</v>
      </c>
      <c r="G31" s="134">
        <v>1.0</v>
      </c>
      <c r="H31" s="145" t="s">
        <v>423</v>
      </c>
      <c r="I31" s="146"/>
      <c r="J31" s="146"/>
      <c r="K31" s="146"/>
      <c r="L31" s="146"/>
      <c r="M31" s="146"/>
      <c r="N31" s="134">
        <v>1.0</v>
      </c>
      <c r="O31" s="147"/>
      <c r="P31" s="147"/>
      <c r="Q31" s="148">
        <v>46058.27233796296</v>
      </c>
      <c r="R31" s="149" t="s">
        <v>449</v>
      </c>
      <c r="S31" s="150">
        <f>IFERROR(__xludf.DUMMYFUNCTION("""COMPUTED_VALUE"""),171916.0)</f>
        <v>171916</v>
      </c>
      <c r="T31" s="148" t="str">
        <f>IFERROR(__xludf.DUMMYFUNCTION("""COMPUTED_VALUE"""),"Mystic Matrimony Special Collection Bonus ")</f>
        <v>Mystic Matrimony Special Collection Bonus </v>
      </c>
      <c r="U31" s="148" t="str">
        <f>IFERROR(__xludf.DUMMYFUNCTION("""COMPUTED_VALUE"""),"Mystic Matrimony Nobunaga x 1")</f>
        <v>Mystic Matrimony Nobunaga x 1</v>
      </c>
      <c r="V31" s="148" t="s">
        <v>448</v>
      </c>
    </row>
    <row r="32">
      <c r="A32" s="134" t="s">
        <v>369</v>
      </c>
      <c r="B32" s="146"/>
      <c r="C32" s="147"/>
      <c r="D32" s="147"/>
      <c r="E32" s="147"/>
      <c r="F32" s="147"/>
      <c r="G32" s="147"/>
      <c r="H32" s="146"/>
      <c r="I32" s="144" t="s">
        <v>450</v>
      </c>
      <c r="J32" s="146">
        <f>IFERROR(__xludf.DUMMYFUNCTION("""COMPUTED_VALUE"""),6320.0)</f>
        <v>6320</v>
      </c>
      <c r="K32" s="146" t="str">
        <f>IFERROR(__xludf.DUMMYFUNCTION("""COMPUTED_VALUE"""),"Mystic Matrimony After Story ～Masamune～")</f>
        <v>Mystic Matrimony After Story ～Masamune～</v>
      </c>
      <c r="L32" s="146"/>
      <c r="M32" s="146"/>
      <c r="N32" s="134">
        <v>1.0</v>
      </c>
      <c r="O32" s="147"/>
      <c r="P32" s="147"/>
      <c r="Q32" s="148">
        <v>46058.27233796296</v>
      </c>
      <c r="R32" s="149" t="s">
        <v>451</v>
      </c>
      <c r="S32" s="150">
        <f>IFERROR(__xludf.DUMMYFUNCTION("""COMPUTED_VALUE"""),6320.0)</f>
        <v>6320</v>
      </c>
      <c r="T32" s="148" t="str">
        <f>IFERROR(__xludf.DUMMYFUNCTION("""COMPUTED_VALUE"""),"Mystic Matrimony After Story ～Masamune～")</f>
        <v>Mystic Matrimony After Story ～Masamune～</v>
      </c>
      <c r="U32" s="148"/>
      <c r="V32" s="148"/>
    </row>
    <row r="33">
      <c r="A33" s="134" t="s">
        <v>369</v>
      </c>
      <c r="B33" s="143"/>
      <c r="C33" s="134"/>
      <c r="D33" s="134"/>
      <c r="E33" s="134"/>
      <c r="F33" s="134"/>
      <c r="G33" s="134"/>
      <c r="H33" s="145"/>
      <c r="I33" s="146"/>
      <c r="J33" s="146"/>
      <c r="K33" s="146"/>
      <c r="L33" s="146"/>
      <c r="M33" s="146"/>
      <c r="N33" s="134">
        <v>1.0</v>
      </c>
      <c r="O33" s="147"/>
      <c r="P33" s="147"/>
      <c r="Q33" s="148">
        <v>46058.27233796296</v>
      </c>
      <c r="R33" s="152" t="e">
        <v>#N/A</v>
      </c>
      <c r="S33" s="150"/>
      <c r="T33" s="148"/>
      <c r="U33" s="148"/>
      <c r="V33" s="148"/>
    </row>
    <row r="34">
      <c r="A34" s="134" t="s">
        <v>369</v>
      </c>
      <c r="B34" s="144" t="s">
        <v>452</v>
      </c>
      <c r="C34" s="134">
        <f>IFERROR(__xludf.DUMMYFUNCTION("""COMPUTED_VALUE"""),171918.0)</f>
        <v>171918</v>
      </c>
      <c r="D34" s="134" t="str">
        <f>IFERROR(__xludf.DUMMYFUNCTION("""COMPUTED_VALUE"""),"Mystic Matrimony Special Collection Bonus ")</f>
        <v>Mystic Matrimony Special Collection Bonus </v>
      </c>
      <c r="E34" s="134" t="str">
        <f>IFERROR(__xludf.DUMMYFUNCTION("""COMPUTED_VALUE"""),"Mystic Matrimony Masamune x 1")</f>
        <v>Mystic Matrimony Masamune x 1</v>
      </c>
      <c r="F34" s="134" t="s">
        <v>453</v>
      </c>
      <c r="G34" s="134">
        <v>1.0</v>
      </c>
      <c r="H34" s="145" t="s">
        <v>423</v>
      </c>
      <c r="I34" s="146"/>
      <c r="J34" s="146"/>
      <c r="K34" s="146"/>
      <c r="L34" s="146"/>
      <c r="M34" s="146"/>
      <c r="N34" s="134">
        <v>1.0</v>
      </c>
      <c r="O34" s="147"/>
      <c r="P34" s="147"/>
      <c r="Q34" s="148">
        <v>46058.27233796296</v>
      </c>
      <c r="R34" s="149" t="s">
        <v>454</v>
      </c>
      <c r="S34" s="150">
        <f>IFERROR(__xludf.DUMMYFUNCTION("""COMPUTED_VALUE"""),171918.0)</f>
        <v>171918</v>
      </c>
      <c r="T34" s="148" t="str">
        <f>IFERROR(__xludf.DUMMYFUNCTION("""COMPUTED_VALUE"""),"Mystic Matrimony Special Collection Bonus ")</f>
        <v>Mystic Matrimony Special Collection Bonus </v>
      </c>
      <c r="U34" s="148" t="str">
        <f>IFERROR(__xludf.DUMMYFUNCTION("""COMPUTED_VALUE"""),"Mystic Matrimony Masamune x 1")</f>
        <v>Mystic Matrimony Masamune x 1</v>
      </c>
      <c r="V34" s="148" t="s">
        <v>453</v>
      </c>
    </row>
    <row r="35">
      <c r="A35" s="134" t="s">
        <v>370</v>
      </c>
      <c r="B35" s="144" t="s">
        <v>455</v>
      </c>
      <c r="C35" s="134">
        <f>IFERROR(__xludf.DUMMYFUNCTION("""COMPUTED_VALUE"""),171923.0)</f>
        <v>171923</v>
      </c>
      <c r="D35" s="134" t="str">
        <f>IFERROR(__xludf.DUMMYFUNCTION("""COMPUTED_VALUE"""),"Mystic Matrimony Ranking Bonus ")</f>
        <v>Mystic Matrimony Ranking Bonus </v>
      </c>
      <c r="E35" s="134" t="str">
        <f>IFERROR(__xludf.DUMMYFUNCTION("""COMPUTED_VALUE"""),"Mystic Matrimony Top Ranker Placard x 1")</f>
        <v>Mystic Matrimony Top Ranker Placard x 1</v>
      </c>
      <c r="F35" s="134" t="s">
        <v>456</v>
      </c>
      <c r="G35" s="134">
        <v>1.0</v>
      </c>
      <c r="H35" s="145" t="s">
        <v>457</v>
      </c>
      <c r="I35" s="146"/>
      <c r="J35" s="146"/>
      <c r="K35" s="146"/>
      <c r="L35" s="146"/>
      <c r="M35" s="146"/>
      <c r="N35" s="134">
        <v>1.0</v>
      </c>
      <c r="O35" s="147"/>
      <c r="P35" s="147"/>
      <c r="Q35" s="148">
        <v>46058.27233796296</v>
      </c>
      <c r="R35" s="149" t="s">
        <v>458</v>
      </c>
      <c r="S35" s="150">
        <f>IFERROR(__xludf.DUMMYFUNCTION("""COMPUTED_VALUE"""),171923.0)</f>
        <v>171923</v>
      </c>
      <c r="T35" s="148" t="str">
        <f>IFERROR(__xludf.DUMMYFUNCTION("""COMPUTED_VALUE"""),"Mystic Matrimony Ranking Bonus ")</f>
        <v>Mystic Matrimony Ranking Bonus </v>
      </c>
      <c r="U35" s="148" t="str">
        <f>IFERROR(__xludf.DUMMYFUNCTION("""COMPUTED_VALUE"""),"Mystic Matrimony Top Ranker Placard x 1")</f>
        <v>Mystic Matrimony Top Ranker Placard x 1</v>
      </c>
      <c r="V35" s="148" t="s">
        <v>456</v>
      </c>
    </row>
    <row r="36">
      <c r="A36" s="134" t="s">
        <v>370</v>
      </c>
      <c r="B36" s="144" t="s">
        <v>459</v>
      </c>
      <c r="C36" s="134">
        <f>IFERROR(__xludf.DUMMYFUNCTION("""COMPUTED_VALUE"""),171924.0)</f>
        <v>171924</v>
      </c>
      <c r="D36" s="134" t="str">
        <f>IFERROR(__xludf.DUMMYFUNCTION("""COMPUTED_VALUE"""),"Mystic Matrimony Ranking Bonus ")</f>
        <v>Mystic Matrimony Ranking Bonus </v>
      </c>
      <c r="E36" s="134" t="str">
        <f>IFERROR(__xludf.DUMMYFUNCTION("""COMPUTED_VALUE"""),"Enchanted Cobalt Green Kimono x 1")</f>
        <v>Enchanted Cobalt Green Kimono x 1</v>
      </c>
      <c r="F36" s="134" t="s">
        <v>460</v>
      </c>
      <c r="G36" s="134">
        <v>1.0</v>
      </c>
      <c r="H36" s="145" t="s">
        <v>457</v>
      </c>
      <c r="I36" s="146"/>
      <c r="J36" s="146"/>
      <c r="K36" s="146"/>
      <c r="L36" s="146"/>
      <c r="M36" s="146"/>
      <c r="N36" s="134">
        <v>1.0</v>
      </c>
      <c r="O36" s="147"/>
      <c r="P36" s="147"/>
      <c r="Q36" s="148">
        <v>46058.27233796296</v>
      </c>
      <c r="R36" s="149" t="s">
        <v>461</v>
      </c>
      <c r="S36" s="150">
        <f>IFERROR(__xludf.DUMMYFUNCTION("""COMPUTED_VALUE"""),171924.0)</f>
        <v>171924</v>
      </c>
      <c r="T36" s="148" t="str">
        <f>IFERROR(__xludf.DUMMYFUNCTION("""COMPUTED_VALUE"""),"Mystic Matrimony Ranking Bonus ")</f>
        <v>Mystic Matrimony Ranking Bonus </v>
      </c>
      <c r="U36" s="148" t="str">
        <f>IFERROR(__xludf.DUMMYFUNCTION("""COMPUTED_VALUE"""),"Enchanted Cobalt Green Kimono x 1")</f>
        <v>Enchanted Cobalt Green Kimono x 1</v>
      </c>
      <c r="V36" s="148" t="s">
        <v>460</v>
      </c>
    </row>
    <row r="37">
      <c r="A37" s="134" t="s">
        <v>370</v>
      </c>
      <c r="B37" s="144" t="s">
        <v>462</v>
      </c>
      <c r="C37" s="134">
        <f>IFERROR(__xludf.DUMMYFUNCTION("""COMPUTED_VALUE"""),171925.0)</f>
        <v>171925</v>
      </c>
      <c r="D37" s="134" t="str">
        <f>IFERROR(__xludf.DUMMYFUNCTION("""COMPUTED_VALUE"""),"Mystic Matrimony Ranking Bonus ")</f>
        <v>Mystic Matrimony Ranking Bonus </v>
      </c>
      <c r="E37" s="134" t="str">
        <f>IFERROR(__xludf.DUMMYFUNCTION("""COMPUTED_VALUE"""),"His Ogre Ensemble x 1")</f>
        <v>His Ogre Ensemble x 1</v>
      </c>
      <c r="F37" s="134" t="s">
        <v>463</v>
      </c>
      <c r="G37" s="134">
        <v>1.0</v>
      </c>
      <c r="H37" s="145" t="s">
        <v>457</v>
      </c>
      <c r="I37" s="146"/>
      <c r="J37" s="146"/>
      <c r="K37" s="146"/>
      <c r="L37" s="146"/>
      <c r="M37" s="146"/>
      <c r="N37" s="134">
        <v>1.0</v>
      </c>
      <c r="O37" s="147"/>
      <c r="P37" s="147"/>
      <c r="Q37" s="148">
        <v>46058.27234953704</v>
      </c>
      <c r="R37" s="149" t="s">
        <v>464</v>
      </c>
      <c r="S37" s="150">
        <f>IFERROR(__xludf.DUMMYFUNCTION("""COMPUTED_VALUE"""),171925.0)</f>
        <v>171925</v>
      </c>
      <c r="T37" s="148" t="str">
        <f>IFERROR(__xludf.DUMMYFUNCTION("""COMPUTED_VALUE"""),"Mystic Matrimony Ranking Bonus ")</f>
        <v>Mystic Matrimony Ranking Bonus </v>
      </c>
      <c r="U37" s="148" t="str">
        <f>IFERROR(__xludf.DUMMYFUNCTION("""COMPUTED_VALUE"""),"His Ogre Ensemble x 1")</f>
        <v>His Ogre Ensemble x 1</v>
      </c>
      <c r="V37" s="148" t="s">
        <v>463</v>
      </c>
    </row>
    <row r="38">
      <c r="A38" s="134" t="s">
        <v>370</v>
      </c>
      <c r="B38" s="144" t="s">
        <v>465</v>
      </c>
      <c r="C38" s="134">
        <f>IFERROR(__xludf.DUMMYFUNCTION("""COMPUTED_VALUE"""),171926.0)</f>
        <v>171926</v>
      </c>
      <c r="D38" s="134" t="str">
        <f>IFERROR(__xludf.DUMMYFUNCTION("""COMPUTED_VALUE"""),"Mystic Matrimony Ranking Bonus ")</f>
        <v>Mystic Matrimony Ranking Bonus </v>
      </c>
      <c r="E38" s="134" t="str">
        <f>IFERROR(__xludf.DUMMYFUNCTION("""COMPUTED_VALUE"""),"His Draconic Dressrobes x 1")</f>
        <v>His Draconic Dressrobes x 1</v>
      </c>
      <c r="F38" s="134" t="s">
        <v>466</v>
      </c>
      <c r="G38" s="134">
        <v>1.0</v>
      </c>
      <c r="H38" s="145" t="s">
        <v>457</v>
      </c>
      <c r="I38" s="146"/>
      <c r="J38" s="146"/>
      <c r="K38" s="146"/>
      <c r="L38" s="146"/>
      <c r="M38" s="146"/>
      <c r="N38" s="134">
        <v>1.0</v>
      </c>
      <c r="O38" s="147"/>
      <c r="P38" s="147"/>
      <c r="Q38" s="148">
        <v>46058.27234953704</v>
      </c>
      <c r="R38" s="149" t="s">
        <v>467</v>
      </c>
      <c r="S38" s="150">
        <f>IFERROR(__xludf.DUMMYFUNCTION("""COMPUTED_VALUE"""),171926.0)</f>
        <v>171926</v>
      </c>
      <c r="T38" s="148" t="str">
        <f>IFERROR(__xludf.DUMMYFUNCTION("""COMPUTED_VALUE"""),"Mystic Matrimony Ranking Bonus ")</f>
        <v>Mystic Matrimony Ranking Bonus </v>
      </c>
      <c r="U38" s="148" t="str">
        <f>IFERROR(__xludf.DUMMYFUNCTION("""COMPUTED_VALUE"""),"His Draconic Dressrobes x 1")</f>
        <v>His Draconic Dressrobes x 1</v>
      </c>
      <c r="V38" s="148" t="s">
        <v>466</v>
      </c>
    </row>
    <row r="39">
      <c r="A39" s="134" t="s">
        <v>370</v>
      </c>
      <c r="B39" s="144" t="s">
        <v>468</v>
      </c>
      <c r="C39" s="134">
        <f>IFERROR(__xludf.DUMMYFUNCTION("""COMPUTED_VALUE"""),171927.0)</f>
        <v>171927</v>
      </c>
      <c r="D39" s="134" t="str">
        <f>IFERROR(__xludf.DUMMYFUNCTION("""COMPUTED_VALUE"""),"Mystic Matrimony Ranking Bonus ")</f>
        <v>Mystic Matrimony Ranking Bonus </v>
      </c>
      <c r="E39" s="134" t="str">
        <f>IFERROR(__xludf.DUMMYFUNCTION("""COMPUTED_VALUE"""),"His Vampiric Vestments x 1")</f>
        <v>His Vampiric Vestments x 1</v>
      </c>
      <c r="F39" s="134" t="s">
        <v>469</v>
      </c>
      <c r="G39" s="134">
        <v>1.0</v>
      </c>
      <c r="H39" s="145" t="s">
        <v>457</v>
      </c>
      <c r="I39" s="146"/>
      <c r="J39" s="146"/>
      <c r="K39" s="146"/>
      <c r="L39" s="146"/>
      <c r="M39" s="146"/>
      <c r="N39" s="134">
        <v>1.0</v>
      </c>
      <c r="O39" s="147"/>
      <c r="P39" s="147"/>
      <c r="Q39" s="148">
        <v>46058.27234953704</v>
      </c>
      <c r="R39" s="149" t="s">
        <v>470</v>
      </c>
      <c r="S39" s="150">
        <f>IFERROR(__xludf.DUMMYFUNCTION("""COMPUTED_VALUE"""),171927.0)</f>
        <v>171927</v>
      </c>
      <c r="T39" s="148" t="str">
        <f>IFERROR(__xludf.DUMMYFUNCTION("""COMPUTED_VALUE"""),"Mystic Matrimony Ranking Bonus ")</f>
        <v>Mystic Matrimony Ranking Bonus </v>
      </c>
      <c r="U39" s="148" t="str">
        <f>IFERROR(__xludf.DUMMYFUNCTION("""COMPUTED_VALUE"""),"His Vampiric Vestments x 1")</f>
        <v>His Vampiric Vestments x 1</v>
      </c>
      <c r="V39" s="148" t="s">
        <v>469</v>
      </c>
    </row>
    <row r="40">
      <c r="A40" s="134" t="s">
        <v>370</v>
      </c>
      <c r="B40" s="144" t="s">
        <v>471</v>
      </c>
      <c r="C40" s="134">
        <f>IFERROR(__xludf.DUMMYFUNCTION("""COMPUTED_VALUE"""),171928.0)</f>
        <v>171928</v>
      </c>
      <c r="D40" s="134" t="str">
        <f>IFERROR(__xludf.DUMMYFUNCTION("""COMPUTED_VALUE"""),"Mystic Matrimony Ranking Bonus ")</f>
        <v>Mystic Matrimony Ranking Bonus </v>
      </c>
      <c r="E40" s="134" t="str">
        <f>IFERROR(__xludf.DUMMYFUNCTION("""COMPUTED_VALUE"""),"Nine-Tailed Fox Warlords 1 x 1")</f>
        <v>Nine-Tailed Fox Warlords 1 x 1</v>
      </c>
      <c r="F40" s="134" t="s">
        <v>472</v>
      </c>
      <c r="G40" s="134">
        <v>1.0</v>
      </c>
      <c r="H40" s="145" t="s">
        <v>457</v>
      </c>
      <c r="I40" s="146"/>
      <c r="J40" s="146"/>
      <c r="K40" s="146"/>
      <c r="L40" s="146"/>
      <c r="M40" s="146"/>
      <c r="N40" s="134">
        <v>1.0</v>
      </c>
      <c r="O40" s="147"/>
      <c r="P40" s="147"/>
      <c r="Q40" s="148">
        <v>46058.27234953704</v>
      </c>
      <c r="R40" s="149" t="s">
        <v>473</v>
      </c>
      <c r="S40" s="150">
        <f>IFERROR(__xludf.DUMMYFUNCTION("""COMPUTED_VALUE"""),171928.0)</f>
        <v>171928</v>
      </c>
      <c r="T40" s="148" t="str">
        <f>IFERROR(__xludf.DUMMYFUNCTION("""COMPUTED_VALUE"""),"Mystic Matrimony Ranking Bonus ")</f>
        <v>Mystic Matrimony Ranking Bonus </v>
      </c>
      <c r="U40" s="148" t="str">
        <f>IFERROR(__xludf.DUMMYFUNCTION("""COMPUTED_VALUE"""),"Nine-Tailed Fox Warlords 1 x 1")</f>
        <v>Nine-Tailed Fox Warlords 1 x 1</v>
      </c>
      <c r="V40" s="148" t="s">
        <v>472</v>
      </c>
    </row>
    <row r="41">
      <c r="A41" s="134" t="s">
        <v>370</v>
      </c>
      <c r="B41" s="144" t="s">
        <v>474</v>
      </c>
      <c r="C41" s="134">
        <f>IFERROR(__xludf.DUMMYFUNCTION("""COMPUTED_VALUE"""),171929.0)</f>
        <v>171929</v>
      </c>
      <c r="D41" s="134" t="str">
        <f>IFERROR(__xludf.DUMMYFUNCTION("""COMPUTED_VALUE"""),"Mystic Matrimony Ranking Bonus ")</f>
        <v>Mystic Matrimony Ranking Bonus </v>
      </c>
      <c r="E41" s="134" t="str">
        <f>IFERROR(__xludf.DUMMYFUNCTION("""COMPUTED_VALUE"""),"Nine-Tailed Fox Warlords 2 x 1")</f>
        <v>Nine-Tailed Fox Warlords 2 x 1</v>
      </c>
      <c r="F41" s="134" t="s">
        <v>475</v>
      </c>
      <c r="G41" s="134">
        <v>1.0</v>
      </c>
      <c r="H41" s="145" t="s">
        <v>457</v>
      </c>
      <c r="I41" s="146"/>
      <c r="J41" s="146"/>
      <c r="K41" s="146"/>
      <c r="L41" s="146"/>
      <c r="M41" s="146"/>
      <c r="N41" s="134">
        <v>1.0</v>
      </c>
      <c r="O41" s="147"/>
      <c r="P41" s="147"/>
      <c r="Q41" s="148">
        <v>46058.27234953704</v>
      </c>
      <c r="R41" s="149" t="s">
        <v>476</v>
      </c>
      <c r="S41" s="150">
        <f>IFERROR(__xludf.DUMMYFUNCTION("""COMPUTED_VALUE"""),171929.0)</f>
        <v>171929</v>
      </c>
      <c r="T41" s="148" t="str">
        <f>IFERROR(__xludf.DUMMYFUNCTION("""COMPUTED_VALUE"""),"Mystic Matrimony Ranking Bonus ")</f>
        <v>Mystic Matrimony Ranking Bonus </v>
      </c>
      <c r="U41" s="148" t="str">
        <f>IFERROR(__xludf.DUMMYFUNCTION("""COMPUTED_VALUE"""),"Nine-Tailed Fox Warlords 2 x 1")</f>
        <v>Nine-Tailed Fox Warlords 2 x 1</v>
      </c>
      <c r="V41" s="148" t="s">
        <v>475</v>
      </c>
    </row>
    <row r="42">
      <c r="A42" s="134" t="s">
        <v>370</v>
      </c>
      <c r="B42" s="144" t="s">
        <v>477</v>
      </c>
      <c r="C42" s="134">
        <f>IFERROR(__xludf.DUMMYFUNCTION("""COMPUTED_VALUE"""),171930.0)</f>
        <v>171930</v>
      </c>
      <c r="D42" s="134" t="str">
        <f>IFERROR(__xludf.DUMMYFUNCTION("""COMPUTED_VALUE"""),"Mystic Matrimony Ranking Bonus ")</f>
        <v>Mystic Matrimony Ranking Bonus </v>
      </c>
      <c r="E42" s="134" t="str">
        <f>IFERROR(__xludf.DUMMYFUNCTION("""COMPUTED_VALUE"""),"Chapter Ticket x 1")</f>
        <v>Chapter Ticket x 1</v>
      </c>
      <c r="F42" s="134" t="s">
        <v>478</v>
      </c>
      <c r="G42" s="134">
        <v>1.0</v>
      </c>
      <c r="H42" s="145" t="s">
        <v>457</v>
      </c>
      <c r="I42" s="146"/>
      <c r="J42" s="146"/>
      <c r="K42" s="146"/>
      <c r="L42" s="146"/>
      <c r="M42" s="146"/>
      <c r="N42" s="134">
        <v>1.0</v>
      </c>
      <c r="O42" s="147"/>
      <c r="P42" s="147"/>
      <c r="Q42" s="148">
        <v>46058.27234953704</v>
      </c>
      <c r="R42" s="149" t="s">
        <v>479</v>
      </c>
      <c r="S42" s="150">
        <f>IFERROR(__xludf.DUMMYFUNCTION("""COMPUTED_VALUE"""),171930.0)</f>
        <v>171930</v>
      </c>
      <c r="T42" s="148" t="str">
        <f>IFERROR(__xludf.DUMMYFUNCTION("""COMPUTED_VALUE"""),"Mystic Matrimony Ranking Bonus ")</f>
        <v>Mystic Matrimony Ranking Bonus </v>
      </c>
      <c r="U42" s="148" t="str">
        <f>IFERROR(__xludf.DUMMYFUNCTION("""COMPUTED_VALUE"""),"Chapter Ticket x 1")</f>
        <v>Chapter Ticket x 1</v>
      </c>
      <c r="V42" s="148" t="s">
        <v>478</v>
      </c>
    </row>
    <row r="43">
      <c r="A43" s="134" t="s">
        <v>370</v>
      </c>
      <c r="B43" s="144" t="s">
        <v>480</v>
      </c>
      <c r="C43" s="134">
        <f>IFERROR(__xludf.DUMMYFUNCTION("""COMPUTED_VALUE"""),171931.0)</f>
        <v>171931</v>
      </c>
      <c r="D43" s="134" t="str">
        <f>IFERROR(__xludf.DUMMYFUNCTION("""COMPUTED_VALUE"""),"Mystic Matrimony Ranking Bonus ")</f>
        <v>Mystic Matrimony Ranking Bonus </v>
      </c>
      <c r="E43" s="134" t="str">
        <f>IFERROR(__xludf.DUMMYFUNCTION("""COMPUTED_VALUE"""),"1500 Gold x 1")</f>
        <v>1500 Gold x 1</v>
      </c>
      <c r="F43" s="134" t="s">
        <v>481</v>
      </c>
      <c r="G43" s="134">
        <v>1.0</v>
      </c>
      <c r="H43" s="145" t="s">
        <v>457</v>
      </c>
      <c r="I43" s="146"/>
      <c r="J43" s="146"/>
      <c r="K43" s="146"/>
      <c r="L43" s="146"/>
      <c r="M43" s="146"/>
      <c r="N43" s="134">
        <v>1.0</v>
      </c>
      <c r="O43" s="147"/>
      <c r="P43" s="147"/>
      <c r="Q43" s="148">
        <v>46058.27234953704</v>
      </c>
      <c r="R43" s="149" t="s">
        <v>482</v>
      </c>
      <c r="S43" s="150">
        <f>IFERROR(__xludf.DUMMYFUNCTION("""COMPUTED_VALUE"""),171931.0)</f>
        <v>171931</v>
      </c>
      <c r="T43" s="148" t="str">
        <f>IFERROR(__xludf.DUMMYFUNCTION("""COMPUTED_VALUE"""),"Mystic Matrimony Ranking Bonus ")</f>
        <v>Mystic Matrimony Ranking Bonus </v>
      </c>
      <c r="U43" s="148" t="str">
        <f>IFERROR(__xludf.DUMMYFUNCTION("""COMPUTED_VALUE"""),"1500 Gold x 1")</f>
        <v>1500 Gold x 1</v>
      </c>
      <c r="V43" s="148" t="s">
        <v>481</v>
      </c>
    </row>
    <row r="44">
      <c r="A44" s="134" t="s">
        <v>293</v>
      </c>
      <c r="B44" s="144" t="s">
        <v>483</v>
      </c>
      <c r="C44" s="134">
        <f>IFERROR(__xludf.DUMMYFUNCTION("""COMPUTED_VALUE"""),171919.0)</f>
        <v>171919</v>
      </c>
      <c r="D44" s="134" t="str">
        <f>IFERROR(__xludf.DUMMYFUNCTION("""COMPUTED_VALUE"""),"Mystic Matrimony Extra Bonus ")</f>
        <v>Mystic Matrimony Extra Bonus </v>
      </c>
      <c r="E44" s="134" t="str">
        <f>IFERROR(__xludf.DUMMYFUNCTION("""COMPUTED_VALUE"""),"Nine-Tailed Fox Yoshimoto x 1")</f>
        <v>Nine-Tailed Fox Yoshimoto x 1</v>
      </c>
      <c r="F44" s="134" t="s">
        <v>484</v>
      </c>
      <c r="G44" s="134">
        <v>1.0</v>
      </c>
      <c r="H44" s="145" t="s">
        <v>485</v>
      </c>
      <c r="I44" s="146"/>
      <c r="J44" s="146"/>
      <c r="K44" s="146"/>
      <c r="L44" s="146"/>
      <c r="M44" s="146"/>
      <c r="N44" s="134">
        <v>1.0</v>
      </c>
      <c r="O44" s="147"/>
      <c r="P44" s="147"/>
      <c r="Q44" s="148">
        <v>46058.27234953704</v>
      </c>
      <c r="R44" s="149" t="s">
        <v>486</v>
      </c>
      <c r="S44" s="150">
        <f>IFERROR(__xludf.DUMMYFUNCTION("""COMPUTED_VALUE"""),171919.0)</f>
        <v>171919</v>
      </c>
      <c r="T44" s="148" t="str">
        <f>IFERROR(__xludf.DUMMYFUNCTION("""COMPUTED_VALUE"""),"Mystic Matrimony Extra Bonus ")</f>
        <v>Mystic Matrimony Extra Bonus </v>
      </c>
      <c r="U44" s="148" t="str">
        <f>IFERROR(__xludf.DUMMYFUNCTION("""COMPUTED_VALUE"""),"Nine-Tailed Fox Yoshimoto x 1")</f>
        <v>Nine-Tailed Fox Yoshimoto x 1</v>
      </c>
      <c r="V44" s="148" t="s">
        <v>484</v>
      </c>
    </row>
    <row r="45">
      <c r="A45" s="134" t="s">
        <v>293</v>
      </c>
      <c r="B45" s="144" t="s">
        <v>487</v>
      </c>
      <c r="C45" s="134">
        <f>IFERROR(__xludf.DUMMYFUNCTION("""COMPUTED_VALUE"""),171920.0)</f>
        <v>171920</v>
      </c>
      <c r="D45" s="134" t="str">
        <f>IFERROR(__xludf.DUMMYFUNCTION("""COMPUTED_VALUE"""),"Mystic Matrimony Extra Bonus ")</f>
        <v>Mystic Matrimony Extra Bonus </v>
      </c>
      <c r="E45" s="134" t="str">
        <f>IFERROR(__xludf.DUMMYFUNCTION("""COMPUTED_VALUE"""),"Nine-Tailed Fox Motonari x 1")</f>
        <v>Nine-Tailed Fox Motonari x 1</v>
      </c>
      <c r="F45" s="134" t="s">
        <v>488</v>
      </c>
      <c r="G45" s="134">
        <v>1.0</v>
      </c>
      <c r="H45" s="145" t="s">
        <v>485</v>
      </c>
      <c r="I45" s="146"/>
      <c r="J45" s="146"/>
      <c r="K45" s="146"/>
      <c r="L45" s="146"/>
      <c r="M45" s="146"/>
      <c r="N45" s="134">
        <v>1.0</v>
      </c>
      <c r="O45" s="147"/>
      <c r="P45" s="147"/>
      <c r="Q45" s="148">
        <v>46058.27234953704</v>
      </c>
      <c r="R45" s="149" t="s">
        <v>489</v>
      </c>
      <c r="S45" s="150">
        <f>IFERROR(__xludf.DUMMYFUNCTION("""COMPUTED_VALUE"""),171920.0)</f>
        <v>171920</v>
      </c>
      <c r="T45" s="148" t="str">
        <f>IFERROR(__xludf.DUMMYFUNCTION("""COMPUTED_VALUE"""),"Mystic Matrimony Extra Bonus ")</f>
        <v>Mystic Matrimony Extra Bonus </v>
      </c>
      <c r="U45" s="148" t="str">
        <f>IFERROR(__xludf.DUMMYFUNCTION("""COMPUTED_VALUE"""),"Nine-Tailed Fox Motonari x 1")</f>
        <v>Nine-Tailed Fox Motonari x 1</v>
      </c>
      <c r="V45" s="148" t="s">
        <v>488</v>
      </c>
    </row>
    <row r="46">
      <c r="A46" s="134" t="s">
        <v>293</v>
      </c>
      <c r="B46" s="144" t="s">
        <v>490</v>
      </c>
      <c r="C46" s="134">
        <f>IFERROR(__xludf.DUMMYFUNCTION("""COMPUTED_VALUE"""),171921.0)</f>
        <v>171921</v>
      </c>
      <c r="D46" s="134" t="str">
        <f>IFERROR(__xludf.DUMMYFUNCTION("""COMPUTED_VALUE"""),"Mystic Matrimony Extra Bonus ")</f>
        <v>Mystic Matrimony Extra Bonus </v>
      </c>
      <c r="E46" s="134" t="str">
        <f>IFERROR(__xludf.DUMMYFUNCTION("""COMPUTED_VALUE"""),"Nine-Tailed Fox Kanetsugu x 1")</f>
        <v>Nine-Tailed Fox Kanetsugu x 1</v>
      </c>
      <c r="F46" s="134" t="s">
        <v>491</v>
      </c>
      <c r="G46" s="134">
        <v>1.0</v>
      </c>
      <c r="H46" s="145" t="s">
        <v>485</v>
      </c>
      <c r="I46" s="146"/>
      <c r="J46" s="146"/>
      <c r="K46" s="146"/>
      <c r="L46" s="146"/>
      <c r="M46" s="146"/>
      <c r="N46" s="134">
        <v>1.0</v>
      </c>
      <c r="O46" s="147"/>
      <c r="P46" s="147"/>
      <c r="Q46" s="148">
        <v>46058.27234953704</v>
      </c>
      <c r="R46" s="149" t="s">
        <v>492</v>
      </c>
      <c r="S46" s="150">
        <f>IFERROR(__xludf.DUMMYFUNCTION("""COMPUTED_VALUE"""),171921.0)</f>
        <v>171921</v>
      </c>
      <c r="T46" s="148" t="str">
        <f>IFERROR(__xludf.DUMMYFUNCTION("""COMPUTED_VALUE"""),"Mystic Matrimony Extra Bonus ")</f>
        <v>Mystic Matrimony Extra Bonus </v>
      </c>
      <c r="U46" s="148" t="str">
        <f>IFERROR(__xludf.DUMMYFUNCTION("""COMPUTED_VALUE"""),"Nine-Tailed Fox Kanetsugu x 1")</f>
        <v>Nine-Tailed Fox Kanetsugu x 1</v>
      </c>
      <c r="V46" s="148" t="s">
        <v>491</v>
      </c>
    </row>
    <row r="47">
      <c r="A47" s="134" t="s">
        <v>293</v>
      </c>
      <c r="B47" s="144" t="s">
        <v>493</v>
      </c>
      <c r="C47" s="134">
        <f>IFERROR(__xludf.DUMMYFUNCTION("""COMPUTED_VALUE"""),171922.0)</f>
        <v>171922</v>
      </c>
      <c r="D47" s="134" t="str">
        <f>IFERROR(__xludf.DUMMYFUNCTION("""COMPUTED_VALUE"""),"Mystic Matrimony Extra Bonus ")</f>
        <v>Mystic Matrimony Extra Bonus </v>
      </c>
      <c r="E47" s="134" t="str">
        <f>IFERROR(__xludf.DUMMYFUNCTION("""COMPUTED_VALUE"""),"Nine-Tailed Fox Kicho x 1")</f>
        <v>Nine-Tailed Fox Kicho x 1</v>
      </c>
      <c r="F47" s="134" t="s">
        <v>494</v>
      </c>
      <c r="G47" s="134">
        <v>1.0</v>
      </c>
      <c r="H47" s="145" t="s">
        <v>485</v>
      </c>
      <c r="I47" s="146"/>
      <c r="J47" s="146"/>
      <c r="K47" s="146"/>
      <c r="L47" s="146"/>
      <c r="M47" s="146"/>
      <c r="N47" s="134">
        <v>1.0</v>
      </c>
      <c r="O47" s="147"/>
      <c r="P47" s="147"/>
      <c r="Q47" s="148">
        <v>46058.27234953704</v>
      </c>
      <c r="R47" s="149" t="s">
        <v>495</v>
      </c>
      <c r="S47" s="150">
        <f>IFERROR(__xludf.DUMMYFUNCTION("""COMPUTED_VALUE"""),171922.0)</f>
        <v>171922</v>
      </c>
      <c r="T47" s="148" t="str">
        <f>IFERROR(__xludf.DUMMYFUNCTION("""COMPUTED_VALUE"""),"Mystic Matrimony Extra Bonus ")</f>
        <v>Mystic Matrimony Extra Bonus </v>
      </c>
      <c r="U47" s="148" t="str">
        <f>IFERROR(__xludf.DUMMYFUNCTION("""COMPUTED_VALUE"""),"Nine-Tailed Fox Kicho x 1")</f>
        <v>Nine-Tailed Fox Kicho x 1</v>
      </c>
      <c r="V47" s="148" t="s">
        <v>494</v>
      </c>
    </row>
  </sheetData>
  <conditionalFormatting sqref="H5:H47">
    <cfRule type="cellIs" dxfId="4" priority="1" operator="notEqual">
      <formula>TRIM(D5)</formula>
    </cfRule>
  </conditionalFormatting>
  <hyperlinks>
    <hyperlink r:id="rId1" location="Bonus" ref="A1"/>
    <hyperlink r:id="rId2" ref="B5"/>
    <hyperlink r:id="rId3" ref="B6"/>
    <hyperlink r:id="rId4" ref="R6"/>
    <hyperlink r:id="rId5" ref="B7"/>
    <hyperlink r:id="rId6" ref="R7"/>
    <hyperlink r:id="rId7" ref="B8"/>
    <hyperlink r:id="rId8" ref="R8"/>
    <hyperlink r:id="rId9" ref="I9"/>
    <hyperlink r:id="rId10" ref="R9"/>
    <hyperlink r:id="rId11" ref="I10"/>
    <hyperlink r:id="rId12" ref="R10"/>
    <hyperlink r:id="rId13" ref="I11"/>
    <hyperlink r:id="rId14" ref="R11"/>
    <hyperlink r:id="rId15" ref="I12"/>
    <hyperlink r:id="rId16" ref="R12"/>
    <hyperlink r:id="rId17" ref="I13"/>
    <hyperlink r:id="rId18" ref="R13"/>
    <hyperlink r:id="rId19" ref="I14"/>
    <hyperlink r:id="rId20" ref="R14"/>
    <hyperlink r:id="rId21" ref="I15"/>
    <hyperlink r:id="rId22" ref="R15"/>
    <hyperlink r:id="rId23" ref="B18"/>
    <hyperlink r:id="rId24" ref="R18"/>
    <hyperlink r:id="rId25" ref="I19"/>
    <hyperlink r:id="rId26" ref="R19"/>
    <hyperlink r:id="rId27" ref="B21"/>
    <hyperlink r:id="rId28" ref="R21"/>
    <hyperlink r:id="rId29" ref="I22"/>
    <hyperlink r:id="rId30" ref="R22"/>
    <hyperlink r:id="rId31" ref="I23"/>
    <hyperlink r:id="rId32" ref="R23"/>
    <hyperlink r:id="rId33" ref="B25"/>
    <hyperlink r:id="rId34" ref="R25"/>
    <hyperlink r:id="rId35" ref="I26"/>
    <hyperlink r:id="rId36" ref="R26"/>
    <hyperlink r:id="rId37" ref="B28"/>
    <hyperlink r:id="rId38" ref="R28"/>
    <hyperlink r:id="rId39" ref="I29"/>
    <hyperlink r:id="rId40" ref="R29"/>
    <hyperlink r:id="rId41" ref="B31"/>
    <hyperlink r:id="rId42" ref="R31"/>
    <hyperlink r:id="rId43" ref="I32"/>
    <hyperlink r:id="rId44" ref="R32"/>
    <hyperlink r:id="rId45" ref="B34"/>
    <hyperlink r:id="rId46" ref="R34"/>
    <hyperlink r:id="rId47" ref="B35"/>
    <hyperlink r:id="rId48" ref="R35"/>
    <hyperlink r:id="rId49" ref="B36"/>
    <hyperlink r:id="rId50" ref="R36"/>
    <hyperlink r:id="rId51" ref="B37"/>
    <hyperlink r:id="rId52" ref="R37"/>
    <hyperlink r:id="rId53" ref="B38"/>
    <hyperlink r:id="rId54" ref="R38"/>
    <hyperlink r:id="rId55" ref="B39"/>
    <hyperlink r:id="rId56" ref="R39"/>
    <hyperlink r:id="rId57" ref="B40"/>
    <hyperlink r:id="rId58" ref="R40"/>
    <hyperlink r:id="rId59" ref="B41"/>
    <hyperlink r:id="rId60" ref="R41"/>
    <hyperlink r:id="rId61" ref="B42"/>
    <hyperlink r:id="rId62" ref="R42"/>
    <hyperlink r:id="rId63" ref="B43"/>
    <hyperlink r:id="rId64" ref="R43"/>
    <hyperlink r:id="rId65" ref="B44"/>
    <hyperlink r:id="rId66" ref="R44"/>
    <hyperlink r:id="rId67" ref="B45"/>
    <hyperlink r:id="rId68" ref="R45"/>
    <hyperlink r:id="rId69" ref="B46"/>
    <hyperlink r:id="rId70" ref="R46"/>
    <hyperlink r:id="rId71" ref="B47"/>
    <hyperlink r:id="rId72" ref="R47"/>
  </hyperlinks>
  <drawing r:id="rId7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outlineLevelCol="1"/>
  <cols>
    <col collapsed="1" min="1" max="1" width="14.43"/>
    <col hidden="1" min="2" max="2" width="14.43" outlineLevel="1"/>
    <col customWidth="1" hidden="1" min="3" max="3" width="17.29" outlineLevel="1"/>
    <col collapsed="1" customWidth="1" min="7" max="7" width="22.71"/>
    <col customWidth="1" hidden="1" min="8" max="8" width="22.43" outlineLevel="1"/>
    <col collapsed="1" customWidth="1" min="9" max="9" width="22.43"/>
    <col hidden="1" min="10" max="11" width="14.43" outlineLevel="1"/>
    <col customWidth="1" min="12" max="12" width="22.0"/>
    <col collapsed="1" min="13" max="13" width="14.43"/>
    <col hidden="1" min="14" max="15" width="14.43" outlineLevel="1"/>
    <col customWidth="1" min="16" max="16" width="24.29"/>
    <col collapsed="1" customWidth="1" min="17" max="17" width="24.29"/>
    <col customWidth="1" hidden="1" min="18" max="18" width="79.43" outlineLevel="1"/>
    <col collapsed="1" min="19" max="19" width="14.43"/>
    <col customWidth="1" hidden="1" min="20" max="20" width="33.86" outlineLevel="1"/>
    <col customWidth="1" hidden="1" min="21" max="21" width="32.86" outlineLevel="1"/>
    <col customWidth="1" min="22" max="22" width="28.86"/>
    <col customWidth="1" min="23" max="23" width="21.43"/>
  </cols>
  <sheetData>
    <row r="1">
      <c r="A1" s="155" t="s">
        <v>496</v>
      </c>
      <c r="I1" s="156"/>
    </row>
    <row r="2">
      <c r="I2" s="156"/>
    </row>
    <row r="3">
      <c r="A3" s="140">
        <f t="array" ref="A3:AA3">SEQUENCE(1,COLUMNS(A5:AA8))</f>
        <v>1</v>
      </c>
      <c r="B3" s="140">
        <v>2.0</v>
      </c>
      <c r="C3" s="140">
        <v>3.0</v>
      </c>
      <c r="D3" s="140">
        <v>4.0</v>
      </c>
      <c r="E3" s="140">
        <v>5.0</v>
      </c>
      <c r="F3" s="140">
        <v>6.0</v>
      </c>
      <c r="G3" s="140">
        <v>7.0</v>
      </c>
      <c r="H3" s="140">
        <v>8.0</v>
      </c>
      <c r="I3" s="140">
        <v>9.0</v>
      </c>
      <c r="J3" s="140">
        <v>10.0</v>
      </c>
      <c r="K3" s="140">
        <v>11.0</v>
      </c>
      <c r="L3" s="140">
        <v>12.0</v>
      </c>
      <c r="M3" s="140">
        <v>13.0</v>
      </c>
      <c r="N3" s="140">
        <v>14.0</v>
      </c>
      <c r="O3" s="140">
        <v>15.0</v>
      </c>
      <c r="P3" s="140">
        <v>16.0</v>
      </c>
      <c r="Q3" s="140">
        <v>17.0</v>
      </c>
      <c r="R3" s="140">
        <v>18.0</v>
      </c>
      <c r="S3" s="140">
        <v>19.0</v>
      </c>
      <c r="T3" s="140">
        <v>20.0</v>
      </c>
      <c r="U3" s="140">
        <v>21.0</v>
      </c>
      <c r="V3" s="140">
        <v>22.0</v>
      </c>
      <c r="W3" s="140">
        <v>23.0</v>
      </c>
      <c r="X3" s="140">
        <v>24.0</v>
      </c>
      <c r="Y3" s="140">
        <v>25.0</v>
      </c>
      <c r="Z3" s="140">
        <v>26.0</v>
      </c>
      <c r="AA3" s="140">
        <v>27.0</v>
      </c>
    </row>
    <row r="4">
      <c r="A4" s="129" t="s">
        <v>25</v>
      </c>
      <c r="B4" s="129" t="s">
        <v>336</v>
      </c>
      <c r="C4" s="129" t="s">
        <v>497</v>
      </c>
      <c r="D4" s="142" t="s">
        <v>498</v>
      </c>
      <c r="E4" s="142" t="s">
        <v>499</v>
      </c>
      <c r="F4" s="129" t="s">
        <v>500</v>
      </c>
      <c r="G4" s="129" t="s">
        <v>501</v>
      </c>
      <c r="H4" s="129" t="s">
        <v>502</v>
      </c>
      <c r="I4" s="142" t="s">
        <v>503</v>
      </c>
      <c r="J4" s="142" t="s">
        <v>504</v>
      </c>
      <c r="K4" s="129" t="s">
        <v>505</v>
      </c>
      <c r="L4" s="129" t="s">
        <v>506</v>
      </c>
      <c r="M4" s="129" t="s">
        <v>507</v>
      </c>
      <c r="N4" s="129" t="s">
        <v>508</v>
      </c>
      <c r="O4" s="129" t="s">
        <v>509</v>
      </c>
      <c r="P4" s="129" t="s">
        <v>510</v>
      </c>
      <c r="Q4" s="129" t="s">
        <v>511</v>
      </c>
      <c r="R4" s="129" t="s">
        <v>377</v>
      </c>
      <c r="S4" s="142" t="s">
        <v>378</v>
      </c>
      <c r="T4" s="142" t="s">
        <v>512</v>
      </c>
      <c r="U4" s="142" t="s">
        <v>381</v>
      </c>
      <c r="V4" s="142" t="s">
        <v>513</v>
      </c>
      <c r="W4" s="142" t="s">
        <v>514</v>
      </c>
      <c r="X4" s="129" t="s">
        <v>384</v>
      </c>
      <c r="Y4" s="129" t="s">
        <v>387</v>
      </c>
      <c r="Z4" s="129" t="s">
        <v>388</v>
      </c>
      <c r="AA4" s="129" t="s">
        <v>337</v>
      </c>
    </row>
    <row r="5">
      <c r="A5" s="134">
        <v>249.0</v>
      </c>
      <c r="B5" s="134">
        <v>1.0</v>
      </c>
      <c r="C5" s="134" t="s">
        <v>515</v>
      </c>
      <c r="D5" s="145">
        <f>IFERROR(__xludf.DUMMYFUNCTION("ARRAYFORMULA(IF(ISTEXT(C5:C8),VALUE(SPLIT(C5:C8,""▸〈〉/"")),))"),13.0)</f>
        <v>13</v>
      </c>
      <c r="E5" s="145">
        <f>IFERROR(__xludf.DUMMYFUNCTION("""COMPUTED_VALUE"""),10.0)</f>
        <v>10</v>
      </c>
      <c r="F5" s="145" t="s">
        <v>516</v>
      </c>
      <c r="G5" s="134">
        <v>500.0</v>
      </c>
      <c r="H5" s="145" t="s">
        <v>517</v>
      </c>
      <c r="I5" s="134" t="str">
        <f>IFERROR(__xludf.DUMMYFUNCTION("ARRAYFORMULA(IF(ISTEXT(H5:H8),SPLIT(H5:H8,""▸〈〉/ ""),))"),"Yoshimoto")</f>
        <v>Yoshimoto</v>
      </c>
      <c r="J5" s="134" t="str">
        <f>IFERROR(__xludf.DUMMYFUNCTION("""COMPUTED_VALUE"""),"Imagawa")</f>
        <v>Imagawa</v>
      </c>
      <c r="K5" s="134" t="s">
        <v>518</v>
      </c>
      <c r="L5" s="145" t="s">
        <v>519</v>
      </c>
      <c r="M5" s="146"/>
      <c r="N5" s="145" t="s">
        <v>520</v>
      </c>
      <c r="O5" s="145" t="s">
        <v>521</v>
      </c>
      <c r="P5" s="148">
        <v>46074.708333333336</v>
      </c>
      <c r="Q5" s="148">
        <v>46080.708333333336</v>
      </c>
      <c r="R5" s="144" t="s">
        <v>522</v>
      </c>
      <c r="S5" s="145" t="str">
        <f>IFERROR(__xludf.DUMMYFUNCTION("ARRAYFORMULA(IF(ISTEXT(R5:R8),TRIM(SPLIT(R5:R8,""▸〈〉/"")),))"),"171919")</f>
        <v>171919</v>
      </c>
      <c r="T5" s="146" t="str">
        <f>IFERROR(__xludf.DUMMYFUNCTION("""COMPUTED_VALUE"""),"Mystic Matrimony Extra Bonus")</f>
        <v>Mystic Matrimony Extra Bonus</v>
      </c>
      <c r="U5" s="146" t="str">
        <f>IFERROR(__xludf.DUMMYFUNCTION("""COMPUTED_VALUE"""),"Nine-Tailed Fox Yoshimoto x 1")</f>
        <v>Nine-Tailed Fox Yoshimoto x 1</v>
      </c>
      <c r="V5" s="146" t="str">
        <f t="array" ref="V5:V8">TRIM(LEFT(U5:U8,LEN(U5:U8)-4))</f>
        <v>Nine-Tailed Fox Yoshimoto</v>
      </c>
      <c r="W5" s="146">
        <f t="array" ref="W5:W8">VALUE(RIGHT(U5:U8,1))</f>
        <v>1</v>
      </c>
      <c r="X5" s="146"/>
      <c r="Y5" s="146"/>
      <c r="Z5" s="146"/>
      <c r="AA5" s="148">
        <v>46058.27408564815</v>
      </c>
    </row>
    <row r="6">
      <c r="A6" s="134">
        <v>250.0</v>
      </c>
      <c r="B6" s="134">
        <v>1.0</v>
      </c>
      <c r="C6" s="134" t="s">
        <v>515</v>
      </c>
      <c r="D6" s="145">
        <f>IFERROR(__xludf.DUMMYFUNCTION("""COMPUTED_VALUE"""),13.0)</f>
        <v>13</v>
      </c>
      <c r="E6" s="145">
        <f>IFERROR(__xludf.DUMMYFUNCTION("""COMPUTED_VALUE"""),10.0)</f>
        <v>10</v>
      </c>
      <c r="F6" s="145" t="s">
        <v>516</v>
      </c>
      <c r="G6" s="134">
        <v>500.0</v>
      </c>
      <c r="H6" s="145" t="s">
        <v>523</v>
      </c>
      <c r="I6" s="134" t="str">
        <f>IFERROR(__xludf.DUMMYFUNCTION("""COMPUTED_VALUE"""),"Motonari")</f>
        <v>Motonari</v>
      </c>
      <c r="J6" s="134" t="str">
        <f>IFERROR(__xludf.DUMMYFUNCTION("""COMPUTED_VALUE"""),"Mouri")</f>
        <v>Mouri</v>
      </c>
      <c r="K6" s="134" t="s">
        <v>518</v>
      </c>
      <c r="L6" s="145" t="s">
        <v>519</v>
      </c>
      <c r="M6" s="146"/>
      <c r="N6" s="145" t="s">
        <v>524</v>
      </c>
      <c r="O6" s="145" t="s">
        <v>521</v>
      </c>
      <c r="P6" s="148">
        <v>46074.708333333336</v>
      </c>
      <c r="Q6" s="148">
        <v>46080.708333333336</v>
      </c>
      <c r="R6" s="144" t="s">
        <v>525</v>
      </c>
      <c r="S6" s="146" t="str">
        <f>IFERROR(__xludf.DUMMYFUNCTION("""COMPUTED_VALUE"""),"171920")</f>
        <v>171920</v>
      </c>
      <c r="T6" s="146" t="str">
        <f>IFERROR(__xludf.DUMMYFUNCTION("""COMPUTED_VALUE"""),"Mystic Matrimony Extra Bonus")</f>
        <v>Mystic Matrimony Extra Bonus</v>
      </c>
      <c r="U6" s="146" t="str">
        <f>IFERROR(__xludf.DUMMYFUNCTION("""COMPUTED_VALUE"""),"Nine-Tailed Fox Motonari x 1")</f>
        <v>Nine-Tailed Fox Motonari x 1</v>
      </c>
      <c r="V6" s="146" t="s">
        <v>488</v>
      </c>
      <c r="W6" s="146">
        <v>1.0</v>
      </c>
      <c r="X6" s="146"/>
      <c r="Y6" s="146"/>
      <c r="Z6" s="146"/>
      <c r="AA6" s="148">
        <v>46058.27408564815</v>
      </c>
    </row>
    <row r="7">
      <c r="A7" s="134">
        <v>251.0</v>
      </c>
      <c r="B7" s="134">
        <v>1.0</v>
      </c>
      <c r="C7" s="134" t="s">
        <v>515</v>
      </c>
      <c r="D7" s="145">
        <f>IFERROR(__xludf.DUMMYFUNCTION("""COMPUTED_VALUE"""),13.0)</f>
        <v>13</v>
      </c>
      <c r="E7" s="145">
        <f>IFERROR(__xludf.DUMMYFUNCTION("""COMPUTED_VALUE"""),10.0)</f>
        <v>10</v>
      </c>
      <c r="F7" s="145" t="s">
        <v>516</v>
      </c>
      <c r="G7" s="134">
        <v>500.0</v>
      </c>
      <c r="H7" s="145" t="s">
        <v>526</v>
      </c>
      <c r="I7" s="134" t="str">
        <f>IFERROR(__xludf.DUMMYFUNCTION("""COMPUTED_VALUE"""),"Kanetsugu")</f>
        <v>Kanetsugu</v>
      </c>
      <c r="J7" s="134" t="str">
        <f>IFERROR(__xludf.DUMMYFUNCTION("""COMPUTED_VALUE"""),"Naoe")</f>
        <v>Naoe</v>
      </c>
      <c r="K7" s="134" t="s">
        <v>518</v>
      </c>
      <c r="L7" s="145" t="s">
        <v>519</v>
      </c>
      <c r="M7" s="146"/>
      <c r="N7" s="145" t="s">
        <v>527</v>
      </c>
      <c r="O7" s="145" t="s">
        <v>521</v>
      </c>
      <c r="P7" s="148">
        <v>46074.708333333336</v>
      </c>
      <c r="Q7" s="148">
        <v>46080.708333333336</v>
      </c>
      <c r="R7" s="144" t="s">
        <v>528</v>
      </c>
      <c r="S7" s="146" t="str">
        <f>IFERROR(__xludf.DUMMYFUNCTION("""COMPUTED_VALUE"""),"171921")</f>
        <v>171921</v>
      </c>
      <c r="T7" s="146" t="str">
        <f>IFERROR(__xludf.DUMMYFUNCTION("""COMPUTED_VALUE"""),"Mystic Matrimony Extra Bonus")</f>
        <v>Mystic Matrimony Extra Bonus</v>
      </c>
      <c r="U7" s="146" t="str">
        <f>IFERROR(__xludf.DUMMYFUNCTION("""COMPUTED_VALUE"""),"Nine-Tailed Fox Kanetsugu x 1")</f>
        <v>Nine-Tailed Fox Kanetsugu x 1</v>
      </c>
      <c r="V7" s="146" t="s">
        <v>491</v>
      </c>
      <c r="W7" s="146">
        <v>1.0</v>
      </c>
      <c r="X7" s="146"/>
      <c r="Y7" s="146"/>
      <c r="Z7" s="146"/>
      <c r="AA7" s="148">
        <v>46058.27408564815</v>
      </c>
    </row>
    <row r="8">
      <c r="A8" s="134">
        <v>252.0</v>
      </c>
      <c r="B8" s="134">
        <v>1.0</v>
      </c>
      <c r="C8" s="134" t="s">
        <v>515</v>
      </c>
      <c r="D8" s="145">
        <f>IFERROR(__xludf.DUMMYFUNCTION("""COMPUTED_VALUE"""),13.0)</f>
        <v>13</v>
      </c>
      <c r="E8" s="145">
        <f>IFERROR(__xludf.DUMMYFUNCTION("""COMPUTED_VALUE"""),10.0)</f>
        <v>10</v>
      </c>
      <c r="F8" s="145" t="s">
        <v>516</v>
      </c>
      <c r="G8" s="134">
        <v>500.0</v>
      </c>
      <c r="H8" s="145" t="s">
        <v>529</v>
      </c>
      <c r="I8" s="134" t="str">
        <f>IFERROR(__xludf.DUMMYFUNCTION("""COMPUTED_VALUE"""),"Kicho")</f>
        <v>Kicho</v>
      </c>
      <c r="J8" s="134"/>
      <c r="K8" s="134" t="s">
        <v>518</v>
      </c>
      <c r="L8" s="145" t="s">
        <v>519</v>
      </c>
      <c r="M8" s="146"/>
      <c r="N8" s="145" t="s">
        <v>530</v>
      </c>
      <c r="O8" s="145" t="s">
        <v>521</v>
      </c>
      <c r="P8" s="148">
        <v>46074.708333333336</v>
      </c>
      <c r="Q8" s="148">
        <v>46080.708333333336</v>
      </c>
      <c r="R8" s="144" t="s">
        <v>531</v>
      </c>
      <c r="S8" s="146" t="str">
        <f>IFERROR(__xludf.DUMMYFUNCTION("""COMPUTED_VALUE"""),"171922")</f>
        <v>171922</v>
      </c>
      <c r="T8" s="146" t="str">
        <f>IFERROR(__xludf.DUMMYFUNCTION("""COMPUTED_VALUE"""),"Mystic Matrimony Extra Bonus")</f>
        <v>Mystic Matrimony Extra Bonus</v>
      </c>
      <c r="U8" s="146" t="str">
        <f>IFERROR(__xludf.DUMMYFUNCTION("""COMPUTED_VALUE"""),"Nine-Tailed Fox Kicho x 1")</f>
        <v>Nine-Tailed Fox Kicho x 1</v>
      </c>
      <c r="V8" s="146" t="s">
        <v>494</v>
      </c>
      <c r="W8" s="146">
        <v>1.0</v>
      </c>
      <c r="X8" s="146"/>
      <c r="Y8" s="146"/>
      <c r="Z8" s="146"/>
      <c r="AA8" s="148">
        <v>46058.27408564815</v>
      </c>
    </row>
  </sheetData>
  <hyperlinks>
    <hyperlink r:id="rId1" location="event_linked_bonus_mst" ref="A1"/>
    <hyperlink r:id="rId2" ref="R5"/>
    <hyperlink r:id="rId3" ref="R6"/>
    <hyperlink r:id="rId4" ref="R7"/>
    <hyperlink r:id="rId5" ref="R8"/>
  </hyperlinks>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outlineLevelCol="1" outlineLevelRow="1"/>
  <cols>
    <col collapsed="1" min="1" max="1" width="14.43"/>
    <col hidden="1" min="2" max="2" width="14.43" outlineLevel="1"/>
    <col collapsed="1" customWidth="1" min="4" max="4" width="36.0"/>
    <col customWidth="1" hidden="1" min="5" max="5" width="44.57" outlineLevel="1"/>
    <col customWidth="1" min="6" max="6" width="40.43"/>
    <col collapsed="1" min="7" max="7" width="14.43"/>
    <col customWidth="1" hidden="1" min="8" max="8" width="36.0" outlineLevel="1"/>
    <col collapsed="1" min="11" max="11" width="14.43"/>
    <col hidden="1" min="12" max="13" width="14.43" outlineLevel="1"/>
  </cols>
  <sheetData>
    <row r="1">
      <c r="A1" s="155" t="s">
        <v>532</v>
      </c>
    </row>
    <row r="3">
      <c r="A3" s="140">
        <f t="array" ref="A3:M3">SEQUENCE(1,COLUMNS(A:M))</f>
        <v>1</v>
      </c>
      <c r="B3" s="140">
        <v>2.0</v>
      </c>
      <c r="C3" s="140">
        <v>3.0</v>
      </c>
      <c r="D3" s="140">
        <v>4.0</v>
      </c>
      <c r="E3" s="140">
        <v>5.0</v>
      </c>
      <c r="F3" s="140">
        <v>6.0</v>
      </c>
      <c r="G3" s="140">
        <v>7.0</v>
      </c>
      <c r="H3" s="140">
        <v>8.0</v>
      </c>
      <c r="I3" s="140">
        <v>9.0</v>
      </c>
      <c r="J3" s="140">
        <v>10.0</v>
      </c>
      <c r="K3" s="140">
        <v>11.0</v>
      </c>
      <c r="L3" s="140">
        <v>12.0</v>
      </c>
      <c r="M3" s="140">
        <v>13.0</v>
      </c>
    </row>
    <row r="4">
      <c r="A4" s="128" t="s">
        <v>25</v>
      </c>
      <c r="B4" s="157" t="s">
        <v>377</v>
      </c>
      <c r="C4" s="158" t="s">
        <v>378</v>
      </c>
      <c r="D4" s="158" t="s">
        <v>512</v>
      </c>
      <c r="E4" s="158" t="s">
        <v>533</v>
      </c>
      <c r="F4" s="158" t="s">
        <v>381</v>
      </c>
      <c r="G4" s="128" t="s">
        <v>382</v>
      </c>
      <c r="H4" s="128" t="s">
        <v>383</v>
      </c>
      <c r="I4" s="128" t="s">
        <v>388</v>
      </c>
      <c r="J4" s="128" t="s">
        <v>534</v>
      </c>
      <c r="K4" s="128" t="s">
        <v>535</v>
      </c>
      <c r="L4" s="128" t="s">
        <v>336</v>
      </c>
      <c r="M4" s="128" t="s">
        <v>337</v>
      </c>
    </row>
    <row r="5" collapsed="1">
      <c r="A5" s="130">
        <v>5779.0</v>
      </c>
      <c r="B5" s="159" t="s">
        <v>536</v>
      </c>
      <c r="C5" s="134">
        <f>IFERROR(__xludf.DUMMYFUNCTION("ARRAYFORMULA(IF(ISTEXT(B5:B36),SPLIT(B5:B36,""▸〈〉""),))"),171923.0)</f>
        <v>171923</v>
      </c>
      <c r="D5" s="160" t="str">
        <f>IFERROR(__xludf.DUMMYFUNCTION("""COMPUTED_VALUE"""),"Mystic Matrimony Ranking Bonus")</f>
        <v>Mystic Matrimony Ranking Bonus</v>
      </c>
      <c r="E5" s="160" t="str">
        <f>IFERROR(__xludf.DUMMYFUNCTION("""COMPUTED_VALUE"""),"Mystic Matrimony Top Ranker Placard x 1")</f>
        <v>Mystic Matrimony Top Ranker Placard x 1</v>
      </c>
      <c r="F5" s="160" t="str">
        <f t="array" ref="F5:F36">if(ISTEXT(E5:E36),
LEFT(E5:E36,LEN(E5:E36)-4),
)</f>
        <v>Mystic Matrimony Top Ranker Placard</v>
      </c>
      <c r="G5" s="130">
        <v>1.0</v>
      </c>
      <c r="H5" s="131" t="s">
        <v>457</v>
      </c>
      <c r="I5" s="161"/>
      <c r="J5" s="130">
        <v>1.0</v>
      </c>
      <c r="K5" s="130">
        <v>100.0</v>
      </c>
      <c r="L5" s="130">
        <v>1.0</v>
      </c>
      <c r="M5" s="132">
        <v>46058.27025462963</v>
      </c>
    </row>
    <row r="6" hidden="1" outlineLevel="1">
      <c r="A6" s="130">
        <v>5780.0</v>
      </c>
      <c r="B6" s="159" t="s">
        <v>537</v>
      </c>
      <c r="C6" s="134">
        <f>IFERROR(__xludf.DUMMYFUNCTION("""COMPUTED_VALUE"""),171924.0)</f>
        <v>171924</v>
      </c>
      <c r="D6" s="160" t="str">
        <f>IFERROR(__xludf.DUMMYFUNCTION("""COMPUTED_VALUE"""),"Mystic Matrimony Ranking Bonus")</f>
        <v>Mystic Matrimony Ranking Bonus</v>
      </c>
      <c r="E6" s="160" t="str">
        <f>IFERROR(__xludf.DUMMYFUNCTION("""COMPUTED_VALUE"""),"Enchanted Cobalt Green Kimono x 1")</f>
        <v>Enchanted Cobalt Green Kimono x 1</v>
      </c>
      <c r="F6" s="160" t="s">
        <v>460</v>
      </c>
      <c r="G6" s="130">
        <v>1.0</v>
      </c>
      <c r="H6" s="131" t="s">
        <v>457</v>
      </c>
      <c r="I6" s="161"/>
      <c r="J6" s="130">
        <v>1.0</v>
      </c>
      <c r="K6" s="130">
        <v>100.0</v>
      </c>
      <c r="L6" s="130">
        <v>2.0</v>
      </c>
      <c r="M6" s="132">
        <v>46058.27025462963</v>
      </c>
    </row>
    <row r="7" hidden="1" outlineLevel="1">
      <c r="A7" s="130">
        <v>5781.0</v>
      </c>
      <c r="B7" s="159" t="s">
        <v>538</v>
      </c>
      <c r="C7" s="134">
        <f>IFERROR(__xludf.DUMMYFUNCTION("""COMPUTED_VALUE"""),171925.0)</f>
        <v>171925</v>
      </c>
      <c r="D7" s="160" t="str">
        <f>IFERROR(__xludf.DUMMYFUNCTION("""COMPUTED_VALUE"""),"Mystic Matrimony Ranking Bonus")</f>
        <v>Mystic Matrimony Ranking Bonus</v>
      </c>
      <c r="E7" s="160" t="str">
        <f>IFERROR(__xludf.DUMMYFUNCTION("""COMPUTED_VALUE"""),"His Ogre Ensemble x 1")</f>
        <v>His Ogre Ensemble x 1</v>
      </c>
      <c r="F7" s="160" t="s">
        <v>463</v>
      </c>
      <c r="G7" s="130">
        <v>1.0</v>
      </c>
      <c r="H7" s="131" t="s">
        <v>457</v>
      </c>
      <c r="I7" s="161"/>
      <c r="J7" s="130">
        <v>1.0</v>
      </c>
      <c r="K7" s="130">
        <v>100.0</v>
      </c>
      <c r="L7" s="130">
        <v>3.0</v>
      </c>
      <c r="M7" s="132">
        <v>46058.27025462963</v>
      </c>
    </row>
    <row r="8" hidden="1" outlineLevel="1">
      <c r="A8" s="130">
        <v>5782.0</v>
      </c>
      <c r="B8" s="159" t="s">
        <v>539</v>
      </c>
      <c r="C8" s="134">
        <f>IFERROR(__xludf.DUMMYFUNCTION("""COMPUTED_VALUE"""),171926.0)</f>
        <v>171926</v>
      </c>
      <c r="D8" s="160" t="str">
        <f>IFERROR(__xludf.DUMMYFUNCTION("""COMPUTED_VALUE"""),"Mystic Matrimony Ranking Bonus")</f>
        <v>Mystic Matrimony Ranking Bonus</v>
      </c>
      <c r="E8" s="160" t="str">
        <f>IFERROR(__xludf.DUMMYFUNCTION("""COMPUTED_VALUE"""),"His Draconic Dressrobes x 1")</f>
        <v>His Draconic Dressrobes x 1</v>
      </c>
      <c r="F8" s="160" t="s">
        <v>466</v>
      </c>
      <c r="G8" s="130">
        <v>1.0</v>
      </c>
      <c r="H8" s="131" t="s">
        <v>457</v>
      </c>
      <c r="I8" s="161"/>
      <c r="J8" s="130">
        <v>1.0</v>
      </c>
      <c r="K8" s="130">
        <v>100.0</v>
      </c>
      <c r="L8" s="130">
        <v>4.0</v>
      </c>
      <c r="M8" s="132">
        <v>46058.27025462963</v>
      </c>
    </row>
    <row r="9" hidden="1" outlineLevel="1">
      <c r="A9" s="130">
        <v>5783.0</v>
      </c>
      <c r="B9" s="159" t="s">
        <v>540</v>
      </c>
      <c r="C9" s="134">
        <f>IFERROR(__xludf.DUMMYFUNCTION("""COMPUTED_VALUE"""),171927.0)</f>
        <v>171927</v>
      </c>
      <c r="D9" s="160" t="str">
        <f>IFERROR(__xludf.DUMMYFUNCTION("""COMPUTED_VALUE"""),"Mystic Matrimony Ranking Bonus")</f>
        <v>Mystic Matrimony Ranking Bonus</v>
      </c>
      <c r="E9" s="160" t="str">
        <f>IFERROR(__xludf.DUMMYFUNCTION("""COMPUTED_VALUE"""),"His Vampiric Vestments x 1")</f>
        <v>His Vampiric Vestments x 1</v>
      </c>
      <c r="F9" s="160" t="s">
        <v>469</v>
      </c>
      <c r="G9" s="130">
        <v>1.0</v>
      </c>
      <c r="H9" s="131" t="s">
        <v>457</v>
      </c>
      <c r="I9" s="161"/>
      <c r="J9" s="130">
        <v>1.0</v>
      </c>
      <c r="K9" s="130">
        <v>100.0</v>
      </c>
      <c r="L9" s="130">
        <v>5.0</v>
      </c>
      <c r="M9" s="132">
        <v>46058.27025462963</v>
      </c>
    </row>
    <row r="10" hidden="1" outlineLevel="1">
      <c r="A10" s="130">
        <v>5784.0</v>
      </c>
      <c r="B10" s="159" t="s">
        <v>541</v>
      </c>
      <c r="C10" s="134">
        <f>IFERROR(__xludf.DUMMYFUNCTION("""COMPUTED_VALUE"""),171928.0)</f>
        <v>171928</v>
      </c>
      <c r="D10" s="160" t="str">
        <f>IFERROR(__xludf.DUMMYFUNCTION("""COMPUTED_VALUE"""),"Mystic Matrimony Ranking Bonus")</f>
        <v>Mystic Matrimony Ranking Bonus</v>
      </c>
      <c r="E10" s="160" t="str">
        <f>IFERROR(__xludf.DUMMYFUNCTION("""COMPUTED_VALUE"""),"Nine-Tailed Fox Warlords 1 x 1")</f>
        <v>Nine-Tailed Fox Warlords 1 x 1</v>
      </c>
      <c r="F10" s="160" t="s">
        <v>472</v>
      </c>
      <c r="G10" s="130">
        <v>1.0</v>
      </c>
      <c r="H10" s="131" t="s">
        <v>457</v>
      </c>
      <c r="I10" s="161"/>
      <c r="J10" s="130">
        <v>1.0</v>
      </c>
      <c r="K10" s="130">
        <v>100.0</v>
      </c>
      <c r="L10" s="130">
        <v>6.0</v>
      </c>
      <c r="M10" s="132">
        <v>46058.27025462963</v>
      </c>
    </row>
    <row r="11" hidden="1" outlineLevel="1">
      <c r="A11" s="130">
        <v>5785.0</v>
      </c>
      <c r="B11" s="159" t="s">
        <v>542</v>
      </c>
      <c r="C11" s="134">
        <f>IFERROR(__xludf.DUMMYFUNCTION("""COMPUTED_VALUE"""),171929.0)</f>
        <v>171929</v>
      </c>
      <c r="D11" s="160" t="str">
        <f>IFERROR(__xludf.DUMMYFUNCTION("""COMPUTED_VALUE"""),"Mystic Matrimony Ranking Bonus")</f>
        <v>Mystic Matrimony Ranking Bonus</v>
      </c>
      <c r="E11" s="160" t="str">
        <f>IFERROR(__xludf.DUMMYFUNCTION("""COMPUTED_VALUE"""),"Nine-Tailed Fox Warlords 2 x 1")</f>
        <v>Nine-Tailed Fox Warlords 2 x 1</v>
      </c>
      <c r="F11" s="160" t="s">
        <v>475</v>
      </c>
      <c r="G11" s="130">
        <v>1.0</v>
      </c>
      <c r="H11" s="131" t="s">
        <v>457</v>
      </c>
      <c r="I11" s="161"/>
      <c r="J11" s="130">
        <v>1.0</v>
      </c>
      <c r="K11" s="130">
        <v>100.0</v>
      </c>
      <c r="L11" s="130">
        <v>7.0</v>
      </c>
      <c r="M11" s="132">
        <v>46058.27025462963</v>
      </c>
    </row>
    <row r="12" hidden="1" outlineLevel="1">
      <c r="A12" s="130">
        <v>5786.0</v>
      </c>
      <c r="B12" s="159" t="s">
        <v>543</v>
      </c>
      <c r="C12" s="134">
        <f>IFERROR(__xludf.DUMMYFUNCTION("""COMPUTED_VALUE"""),171930.0)</f>
        <v>171930</v>
      </c>
      <c r="D12" s="160" t="str">
        <f>IFERROR(__xludf.DUMMYFUNCTION("""COMPUTED_VALUE"""),"Mystic Matrimony Ranking Bonus")</f>
        <v>Mystic Matrimony Ranking Bonus</v>
      </c>
      <c r="E12" s="160" t="str">
        <f>IFERROR(__xludf.DUMMYFUNCTION("""COMPUTED_VALUE"""),"Chapter Ticket x 1")</f>
        <v>Chapter Ticket x 1</v>
      </c>
      <c r="F12" s="160" t="s">
        <v>478</v>
      </c>
      <c r="G12" s="130">
        <v>1.0</v>
      </c>
      <c r="H12" s="131" t="s">
        <v>457</v>
      </c>
      <c r="I12" s="161"/>
      <c r="J12" s="130">
        <v>1.0</v>
      </c>
      <c r="K12" s="130">
        <v>100.0</v>
      </c>
      <c r="L12" s="130">
        <v>8.0</v>
      </c>
      <c r="M12" s="132">
        <v>46058.27025462963</v>
      </c>
    </row>
    <row r="13" hidden="1" outlineLevel="1">
      <c r="A13" s="130">
        <v>5787.0</v>
      </c>
      <c r="B13" s="159" t="s">
        <v>544</v>
      </c>
      <c r="C13" s="134">
        <f>IFERROR(__xludf.DUMMYFUNCTION("""COMPUTED_VALUE"""),171931.0)</f>
        <v>171931</v>
      </c>
      <c r="D13" s="160" t="str">
        <f>IFERROR(__xludf.DUMMYFUNCTION("""COMPUTED_VALUE"""),"Mystic Matrimony Ranking Bonus")</f>
        <v>Mystic Matrimony Ranking Bonus</v>
      </c>
      <c r="E13" s="160" t="str">
        <f>IFERROR(__xludf.DUMMYFUNCTION("""COMPUTED_VALUE"""),"1500 Gold x 1")</f>
        <v>1500 Gold x 1</v>
      </c>
      <c r="F13" s="160" t="s">
        <v>481</v>
      </c>
      <c r="G13" s="130">
        <v>1.0</v>
      </c>
      <c r="H13" s="131" t="s">
        <v>457</v>
      </c>
      <c r="I13" s="161"/>
      <c r="J13" s="130">
        <v>1.0</v>
      </c>
      <c r="K13" s="130">
        <v>100.0</v>
      </c>
      <c r="L13" s="130">
        <v>9.0</v>
      </c>
      <c r="M13" s="132">
        <v>46058.27025462963</v>
      </c>
    </row>
    <row r="14" collapsed="1">
      <c r="A14" s="130">
        <v>5788.0</v>
      </c>
      <c r="B14" s="159" t="s">
        <v>545</v>
      </c>
      <c r="C14" s="134">
        <f>IFERROR(__xludf.DUMMYFUNCTION("""COMPUTED_VALUE"""),171924.0)</f>
        <v>171924</v>
      </c>
      <c r="D14" s="160" t="str">
        <f>IFERROR(__xludf.DUMMYFUNCTION("""COMPUTED_VALUE"""),"Mystic Matrimony Ranking Bonus")</f>
        <v>Mystic Matrimony Ranking Bonus</v>
      </c>
      <c r="E14" s="160" t="str">
        <f>IFERROR(__xludf.DUMMYFUNCTION("""COMPUTED_VALUE"""),"Enchanted Cobalt Green Kimono x 1")</f>
        <v>Enchanted Cobalt Green Kimono x 1</v>
      </c>
      <c r="F14" s="160" t="s">
        <v>460</v>
      </c>
      <c r="G14" s="130">
        <v>1.0</v>
      </c>
      <c r="H14" s="131" t="s">
        <v>457</v>
      </c>
      <c r="I14" s="161"/>
      <c r="J14" s="130">
        <v>101.0</v>
      </c>
      <c r="K14" s="130">
        <v>150.0</v>
      </c>
      <c r="L14" s="130">
        <v>1.0</v>
      </c>
      <c r="M14" s="132">
        <v>46058.27025462963</v>
      </c>
    </row>
    <row r="15" hidden="1" outlineLevel="1">
      <c r="A15" s="130">
        <v>5789.0</v>
      </c>
      <c r="B15" s="159" t="s">
        <v>546</v>
      </c>
      <c r="C15" s="134">
        <f>IFERROR(__xludf.DUMMYFUNCTION("""COMPUTED_VALUE"""),171925.0)</f>
        <v>171925</v>
      </c>
      <c r="D15" s="160" t="str">
        <f>IFERROR(__xludf.DUMMYFUNCTION("""COMPUTED_VALUE"""),"Mystic Matrimony Ranking Bonus")</f>
        <v>Mystic Matrimony Ranking Bonus</v>
      </c>
      <c r="E15" s="160" t="str">
        <f>IFERROR(__xludf.DUMMYFUNCTION("""COMPUTED_VALUE"""),"His Ogre Ensemble x 1")</f>
        <v>His Ogre Ensemble x 1</v>
      </c>
      <c r="F15" s="160" t="s">
        <v>463</v>
      </c>
      <c r="G15" s="130">
        <v>1.0</v>
      </c>
      <c r="H15" s="131" t="s">
        <v>457</v>
      </c>
      <c r="I15" s="161"/>
      <c r="J15" s="130">
        <v>101.0</v>
      </c>
      <c r="K15" s="130">
        <v>150.0</v>
      </c>
      <c r="L15" s="130">
        <v>2.0</v>
      </c>
      <c r="M15" s="132">
        <v>46058.27025462963</v>
      </c>
    </row>
    <row r="16" hidden="1" outlineLevel="1">
      <c r="A16" s="130">
        <v>5790.0</v>
      </c>
      <c r="B16" s="159" t="s">
        <v>547</v>
      </c>
      <c r="C16" s="134">
        <f>IFERROR(__xludf.DUMMYFUNCTION("""COMPUTED_VALUE"""),171926.0)</f>
        <v>171926</v>
      </c>
      <c r="D16" s="160" t="str">
        <f>IFERROR(__xludf.DUMMYFUNCTION("""COMPUTED_VALUE"""),"Mystic Matrimony Ranking Bonus")</f>
        <v>Mystic Matrimony Ranking Bonus</v>
      </c>
      <c r="E16" s="160" t="str">
        <f>IFERROR(__xludf.DUMMYFUNCTION("""COMPUTED_VALUE"""),"His Draconic Dressrobes x 1")</f>
        <v>His Draconic Dressrobes x 1</v>
      </c>
      <c r="F16" s="160" t="s">
        <v>466</v>
      </c>
      <c r="G16" s="130">
        <v>1.0</v>
      </c>
      <c r="H16" s="131" t="s">
        <v>457</v>
      </c>
      <c r="I16" s="161"/>
      <c r="J16" s="130">
        <v>101.0</v>
      </c>
      <c r="K16" s="130">
        <v>150.0</v>
      </c>
      <c r="L16" s="130">
        <v>3.0</v>
      </c>
      <c r="M16" s="132">
        <v>46058.27025462963</v>
      </c>
    </row>
    <row r="17" hidden="1" outlineLevel="1">
      <c r="A17" s="130">
        <v>5791.0</v>
      </c>
      <c r="B17" s="159" t="s">
        <v>548</v>
      </c>
      <c r="C17" s="134">
        <f>IFERROR(__xludf.DUMMYFUNCTION("""COMPUTED_VALUE"""),171927.0)</f>
        <v>171927</v>
      </c>
      <c r="D17" s="160" t="str">
        <f>IFERROR(__xludf.DUMMYFUNCTION("""COMPUTED_VALUE"""),"Mystic Matrimony Ranking Bonus")</f>
        <v>Mystic Matrimony Ranking Bonus</v>
      </c>
      <c r="E17" s="160" t="str">
        <f>IFERROR(__xludf.DUMMYFUNCTION("""COMPUTED_VALUE"""),"His Vampiric Vestments x 1")</f>
        <v>His Vampiric Vestments x 1</v>
      </c>
      <c r="F17" s="160" t="s">
        <v>469</v>
      </c>
      <c r="G17" s="130">
        <v>1.0</v>
      </c>
      <c r="H17" s="131" t="s">
        <v>457</v>
      </c>
      <c r="I17" s="161"/>
      <c r="J17" s="130">
        <v>101.0</v>
      </c>
      <c r="K17" s="130">
        <v>150.0</v>
      </c>
      <c r="L17" s="130">
        <v>4.0</v>
      </c>
      <c r="M17" s="132">
        <v>46058.27025462963</v>
      </c>
    </row>
    <row r="18" hidden="1" outlineLevel="1">
      <c r="A18" s="130">
        <v>5792.0</v>
      </c>
      <c r="B18" s="159" t="s">
        <v>549</v>
      </c>
      <c r="C18" s="134">
        <f>IFERROR(__xludf.DUMMYFUNCTION("""COMPUTED_VALUE"""),171928.0)</f>
        <v>171928</v>
      </c>
      <c r="D18" s="160" t="str">
        <f>IFERROR(__xludf.DUMMYFUNCTION("""COMPUTED_VALUE"""),"Mystic Matrimony Ranking Bonus")</f>
        <v>Mystic Matrimony Ranking Bonus</v>
      </c>
      <c r="E18" s="160" t="str">
        <f>IFERROR(__xludf.DUMMYFUNCTION("""COMPUTED_VALUE"""),"Nine-Tailed Fox Warlords 1 x 1")</f>
        <v>Nine-Tailed Fox Warlords 1 x 1</v>
      </c>
      <c r="F18" s="160" t="s">
        <v>472</v>
      </c>
      <c r="G18" s="130">
        <v>1.0</v>
      </c>
      <c r="H18" s="131" t="s">
        <v>457</v>
      </c>
      <c r="I18" s="161"/>
      <c r="J18" s="130">
        <v>101.0</v>
      </c>
      <c r="K18" s="130">
        <v>150.0</v>
      </c>
      <c r="L18" s="130">
        <v>5.0</v>
      </c>
      <c r="M18" s="132">
        <v>46058.27025462963</v>
      </c>
    </row>
    <row r="19" hidden="1" outlineLevel="1">
      <c r="A19" s="130">
        <v>5793.0</v>
      </c>
      <c r="B19" s="159" t="s">
        <v>550</v>
      </c>
      <c r="C19" s="134">
        <f>IFERROR(__xludf.DUMMYFUNCTION("""COMPUTED_VALUE"""),171929.0)</f>
        <v>171929</v>
      </c>
      <c r="D19" s="160" t="str">
        <f>IFERROR(__xludf.DUMMYFUNCTION("""COMPUTED_VALUE"""),"Mystic Matrimony Ranking Bonus")</f>
        <v>Mystic Matrimony Ranking Bonus</v>
      </c>
      <c r="E19" s="160" t="str">
        <f>IFERROR(__xludf.DUMMYFUNCTION("""COMPUTED_VALUE"""),"Nine-Tailed Fox Warlords 2 x 1")</f>
        <v>Nine-Tailed Fox Warlords 2 x 1</v>
      </c>
      <c r="F19" s="160" t="s">
        <v>475</v>
      </c>
      <c r="G19" s="130">
        <v>1.0</v>
      </c>
      <c r="H19" s="131" t="s">
        <v>457</v>
      </c>
      <c r="I19" s="161"/>
      <c r="J19" s="130">
        <v>101.0</v>
      </c>
      <c r="K19" s="130">
        <v>150.0</v>
      </c>
      <c r="L19" s="130">
        <v>6.0</v>
      </c>
      <c r="M19" s="132">
        <v>46058.27025462963</v>
      </c>
    </row>
    <row r="20" hidden="1" outlineLevel="1">
      <c r="A20" s="130">
        <v>5794.0</v>
      </c>
      <c r="B20" s="159" t="s">
        <v>551</v>
      </c>
      <c r="C20" s="134">
        <f>IFERROR(__xludf.DUMMYFUNCTION("""COMPUTED_VALUE"""),171930.0)</f>
        <v>171930</v>
      </c>
      <c r="D20" s="160" t="str">
        <f>IFERROR(__xludf.DUMMYFUNCTION("""COMPUTED_VALUE"""),"Mystic Matrimony Ranking Bonus")</f>
        <v>Mystic Matrimony Ranking Bonus</v>
      </c>
      <c r="E20" s="160" t="str">
        <f>IFERROR(__xludf.DUMMYFUNCTION("""COMPUTED_VALUE"""),"Chapter Ticket x 1")</f>
        <v>Chapter Ticket x 1</v>
      </c>
      <c r="F20" s="160" t="s">
        <v>478</v>
      </c>
      <c r="G20" s="130">
        <v>1.0</v>
      </c>
      <c r="H20" s="131" t="s">
        <v>457</v>
      </c>
      <c r="I20" s="161"/>
      <c r="J20" s="130">
        <v>101.0</v>
      </c>
      <c r="K20" s="130">
        <v>150.0</v>
      </c>
      <c r="L20" s="130">
        <v>7.0</v>
      </c>
      <c r="M20" s="132">
        <v>46058.27025462963</v>
      </c>
    </row>
    <row r="21" hidden="1" outlineLevel="1">
      <c r="A21" s="130">
        <v>5795.0</v>
      </c>
      <c r="B21" s="159" t="s">
        <v>552</v>
      </c>
      <c r="C21" s="134">
        <f>IFERROR(__xludf.DUMMYFUNCTION("""COMPUTED_VALUE"""),171931.0)</f>
        <v>171931</v>
      </c>
      <c r="D21" s="160" t="str">
        <f>IFERROR(__xludf.DUMMYFUNCTION("""COMPUTED_VALUE"""),"Mystic Matrimony Ranking Bonus")</f>
        <v>Mystic Matrimony Ranking Bonus</v>
      </c>
      <c r="E21" s="160" t="str">
        <f>IFERROR(__xludf.DUMMYFUNCTION("""COMPUTED_VALUE"""),"1500 Gold x 1")</f>
        <v>1500 Gold x 1</v>
      </c>
      <c r="F21" s="160" t="s">
        <v>481</v>
      </c>
      <c r="G21" s="130">
        <v>1.0</v>
      </c>
      <c r="H21" s="131" t="s">
        <v>457</v>
      </c>
      <c r="I21" s="161"/>
      <c r="J21" s="130">
        <v>101.0</v>
      </c>
      <c r="K21" s="130">
        <v>150.0</v>
      </c>
      <c r="L21" s="130">
        <v>8.0</v>
      </c>
      <c r="M21" s="132">
        <v>46058.27025462963</v>
      </c>
    </row>
    <row r="22" collapsed="1">
      <c r="A22" s="130">
        <v>5796.0</v>
      </c>
      <c r="B22" s="159" t="s">
        <v>553</v>
      </c>
      <c r="C22" s="134">
        <f>IFERROR(__xludf.DUMMYFUNCTION("""COMPUTED_VALUE"""),171925.0)</f>
        <v>171925</v>
      </c>
      <c r="D22" s="160" t="str">
        <f>IFERROR(__xludf.DUMMYFUNCTION("""COMPUTED_VALUE"""),"Mystic Matrimony Ranking Bonus")</f>
        <v>Mystic Matrimony Ranking Bonus</v>
      </c>
      <c r="E22" s="160" t="str">
        <f>IFERROR(__xludf.DUMMYFUNCTION("""COMPUTED_VALUE"""),"His Ogre Ensemble x 1")</f>
        <v>His Ogre Ensemble x 1</v>
      </c>
      <c r="F22" s="160" t="s">
        <v>463</v>
      </c>
      <c r="G22" s="130">
        <v>1.0</v>
      </c>
      <c r="H22" s="131" t="s">
        <v>457</v>
      </c>
      <c r="I22" s="161"/>
      <c r="J22" s="130">
        <v>151.0</v>
      </c>
      <c r="K22" s="130">
        <v>300.0</v>
      </c>
      <c r="L22" s="130">
        <v>1.0</v>
      </c>
      <c r="M22" s="132">
        <v>46058.27025462963</v>
      </c>
    </row>
    <row r="23" hidden="1" outlineLevel="1">
      <c r="A23" s="130">
        <v>5797.0</v>
      </c>
      <c r="B23" s="159" t="s">
        <v>554</v>
      </c>
      <c r="C23" s="134">
        <f>IFERROR(__xludf.DUMMYFUNCTION("""COMPUTED_VALUE"""),171926.0)</f>
        <v>171926</v>
      </c>
      <c r="D23" s="160" t="str">
        <f>IFERROR(__xludf.DUMMYFUNCTION("""COMPUTED_VALUE"""),"Mystic Matrimony Ranking Bonus")</f>
        <v>Mystic Matrimony Ranking Bonus</v>
      </c>
      <c r="E23" s="160" t="str">
        <f>IFERROR(__xludf.DUMMYFUNCTION("""COMPUTED_VALUE"""),"His Draconic Dressrobes x 1")</f>
        <v>His Draconic Dressrobes x 1</v>
      </c>
      <c r="F23" s="160" t="s">
        <v>466</v>
      </c>
      <c r="G23" s="130">
        <v>1.0</v>
      </c>
      <c r="H23" s="131" t="s">
        <v>457</v>
      </c>
      <c r="I23" s="161"/>
      <c r="J23" s="130">
        <v>151.0</v>
      </c>
      <c r="K23" s="130">
        <v>300.0</v>
      </c>
      <c r="L23" s="130">
        <v>2.0</v>
      </c>
      <c r="M23" s="132">
        <v>46058.27025462963</v>
      </c>
    </row>
    <row r="24" hidden="1" outlineLevel="1">
      <c r="A24" s="130">
        <v>5798.0</v>
      </c>
      <c r="B24" s="159" t="s">
        <v>555</v>
      </c>
      <c r="C24" s="134">
        <f>IFERROR(__xludf.DUMMYFUNCTION("""COMPUTED_VALUE"""),171927.0)</f>
        <v>171927</v>
      </c>
      <c r="D24" s="160" t="str">
        <f>IFERROR(__xludf.DUMMYFUNCTION("""COMPUTED_VALUE"""),"Mystic Matrimony Ranking Bonus")</f>
        <v>Mystic Matrimony Ranking Bonus</v>
      </c>
      <c r="E24" s="160" t="str">
        <f>IFERROR(__xludf.DUMMYFUNCTION("""COMPUTED_VALUE"""),"His Vampiric Vestments x 1")</f>
        <v>His Vampiric Vestments x 1</v>
      </c>
      <c r="F24" s="160" t="s">
        <v>469</v>
      </c>
      <c r="G24" s="130">
        <v>1.0</v>
      </c>
      <c r="H24" s="131" t="s">
        <v>457</v>
      </c>
      <c r="I24" s="161"/>
      <c r="J24" s="130">
        <v>151.0</v>
      </c>
      <c r="K24" s="130">
        <v>300.0</v>
      </c>
      <c r="L24" s="130">
        <v>3.0</v>
      </c>
      <c r="M24" s="132">
        <v>46058.27025462963</v>
      </c>
    </row>
    <row r="25" hidden="1" outlineLevel="1">
      <c r="A25" s="130">
        <v>5799.0</v>
      </c>
      <c r="B25" s="159" t="s">
        <v>556</v>
      </c>
      <c r="C25" s="134">
        <f>IFERROR(__xludf.DUMMYFUNCTION("""COMPUTED_VALUE"""),171928.0)</f>
        <v>171928</v>
      </c>
      <c r="D25" s="160" t="str">
        <f>IFERROR(__xludf.DUMMYFUNCTION("""COMPUTED_VALUE"""),"Mystic Matrimony Ranking Bonus")</f>
        <v>Mystic Matrimony Ranking Bonus</v>
      </c>
      <c r="E25" s="160" t="str">
        <f>IFERROR(__xludf.DUMMYFUNCTION("""COMPUTED_VALUE"""),"Nine-Tailed Fox Warlords 1 x 1")</f>
        <v>Nine-Tailed Fox Warlords 1 x 1</v>
      </c>
      <c r="F25" s="160" t="s">
        <v>472</v>
      </c>
      <c r="G25" s="130">
        <v>1.0</v>
      </c>
      <c r="H25" s="131" t="s">
        <v>457</v>
      </c>
      <c r="I25" s="161"/>
      <c r="J25" s="130">
        <v>151.0</v>
      </c>
      <c r="K25" s="130">
        <v>300.0</v>
      </c>
      <c r="L25" s="130">
        <v>4.0</v>
      </c>
      <c r="M25" s="132">
        <v>46058.27025462963</v>
      </c>
    </row>
    <row r="26" hidden="1" outlineLevel="1">
      <c r="A26" s="130">
        <v>5800.0</v>
      </c>
      <c r="B26" s="159" t="s">
        <v>557</v>
      </c>
      <c r="C26" s="134">
        <f>IFERROR(__xludf.DUMMYFUNCTION("""COMPUTED_VALUE"""),171929.0)</f>
        <v>171929</v>
      </c>
      <c r="D26" s="160" t="str">
        <f>IFERROR(__xludf.DUMMYFUNCTION("""COMPUTED_VALUE"""),"Mystic Matrimony Ranking Bonus")</f>
        <v>Mystic Matrimony Ranking Bonus</v>
      </c>
      <c r="E26" s="160" t="str">
        <f>IFERROR(__xludf.DUMMYFUNCTION("""COMPUTED_VALUE"""),"Nine-Tailed Fox Warlords 2 x 1")</f>
        <v>Nine-Tailed Fox Warlords 2 x 1</v>
      </c>
      <c r="F26" s="160" t="s">
        <v>475</v>
      </c>
      <c r="G26" s="130">
        <v>1.0</v>
      </c>
      <c r="H26" s="131" t="s">
        <v>457</v>
      </c>
      <c r="I26" s="161"/>
      <c r="J26" s="130">
        <v>151.0</v>
      </c>
      <c r="K26" s="130">
        <v>300.0</v>
      </c>
      <c r="L26" s="130">
        <v>5.0</v>
      </c>
      <c r="M26" s="132">
        <v>46058.27025462963</v>
      </c>
    </row>
    <row r="27" hidden="1" outlineLevel="1">
      <c r="A27" s="130">
        <v>5801.0</v>
      </c>
      <c r="B27" s="159" t="s">
        <v>558</v>
      </c>
      <c r="C27" s="134">
        <f>IFERROR(__xludf.DUMMYFUNCTION("""COMPUTED_VALUE"""),171930.0)</f>
        <v>171930</v>
      </c>
      <c r="D27" s="160" t="str">
        <f>IFERROR(__xludf.DUMMYFUNCTION("""COMPUTED_VALUE"""),"Mystic Matrimony Ranking Bonus")</f>
        <v>Mystic Matrimony Ranking Bonus</v>
      </c>
      <c r="E27" s="160" t="str">
        <f>IFERROR(__xludf.DUMMYFUNCTION("""COMPUTED_VALUE"""),"Chapter Ticket x 1")</f>
        <v>Chapter Ticket x 1</v>
      </c>
      <c r="F27" s="160" t="s">
        <v>478</v>
      </c>
      <c r="G27" s="130">
        <v>1.0</v>
      </c>
      <c r="H27" s="131" t="s">
        <v>457</v>
      </c>
      <c r="I27" s="161"/>
      <c r="J27" s="130">
        <v>151.0</v>
      </c>
      <c r="K27" s="130">
        <v>300.0</v>
      </c>
      <c r="L27" s="130">
        <v>6.0</v>
      </c>
      <c r="M27" s="132">
        <v>46058.27025462963</v>
      </c>
    </row>
    <row r="28" hidden="1" outlineLevel="1">
      <c r="A28" s="130">
        <v>5802.0</v>
      </c>
      <c r="B28" s="159" t="s">
        <v>559</v>
      </c>
      <c r="C28" s="134">
        <f>IFERROR(__xludf.DUMMYFUNCTION("""COMPUTED_VALUE"""),171931.0)</f>
        <v>171931</v>
      </c>
      <c r="D28" s="160" t="str">
        <f>IFERROR(__xludf.DUMMYFUNCTION("""COMPUTED_VALUE"""),"Mystic Matrimony Ranking Bonus")</f>
        <v>Mystic Matrimony Ranking Bonus</v>
      </c>
      <c r="E28" s="160" t="str">
        <f>IFERROR(__xludf.DUMMYFUNCTION("""COMPUTED_VALUE"""),"1500 Gold x 1")</f>
        <v>1500 Gold x 1</v>
      </c>
      <c r="F28" s="160" t="s">
        <v>481</v>
      </c>
      <c r="G28" s="130">
        <v>1.0</v>
      </c>
      <c r="H28" s="131" t="s">
        <v>457</v>
      </c>
      <c r="I28" s="161"/>
      <c r="J28" s="130">
        <v>151.0</v>
      </c>
      <c r="K28" s="130">
        <v>300.0</v>
      </c>
      <c r="L28" s="130">
        <v>7.0</v>
      </c>
      <c r="M28" s="132">
        <v>46058.27025462963</v>
      </c>
    </row>
    <row r="29" collapsed="1">
      <c r="A29" s="130">
        <v>5803.0</v>
      </c>
      <c r="B29" s="159" t="s">
        <v>560</v>
      </c>
      <c r="C29" s="134">
        <f>IFERROR(__xludf.DUMMYFUNCTION("""COMPUTED_VALUE"""),171928.0)</f>
        <v>171928</v>
      </c>
      <c r="D29" s="160" t="str">
        <f>IFERROR(__xludf.DUMMYFUNCTION("""COMPUTED_VALUE"""),"Mystic Matrimony Ranking Bonus")</f>
        <v>Mystic Matrimony Ranking Bonus</v>
      </c>
      <c r="E29" s="160" t="str">
        <f>IFERROR(__xludf.DUMMYFUNCTION("""COMPUTED_VALUE"""),"Nine-Tailed Fox Warlords 1 x 1")</f>
        <v>Nine-Tailed Fox Warlords 1 x 1</v>
      </c>
      <c r="F29" s="160" t="s">
        <v>472</v>
      </c>
      <c r="G29" s="130">
        <v>1.0</v>
      </c>
      <c r="H29" s="131" t="s">
        <v>457</v>
      </c>
      <c r="I29" s="161"/>
      <c r="J29" s="130">
        <v>301.0</v>
      </c>
      <c r="K29" s="130">
        <v>500.0</v>
      </c>
      <c r="L29" s="130">
        <v>1.0</v>
      </c>
      <c r="M29" s="132">
        <v>46058.27025462963</v>
      </c>
    </row>
    <row r="30" hidden="1" outlineLevel="1">
      <c r="A30" s="130">
        <v>5804.0</v>
      </c>
      <c r="B30" s="159" t="s">
        <v>561</v>
      </c>
      <c r="C30" s="134">
        <f>IFERROR(__xludf.DUMMYFUNCTION("""COMPUTED_VALUE"""),171929.0)</f>
        <v>171929</v>
      </c>
      <c r="D30" s="160" t="str">
        <f>IFERROR(__xludf.DUMMYFUNCTION("""COMPUTED_VALUE"""),"Mystic Matrimony Ranking Bonus")</f>
        <v>Mystic Matrimony Ranking Bonus</v>
      </c>
      <c r="E30" s="160" t="str">
        <f>IFERROR(__xludf.DUMMYFUNCTION("""COMPUTED_VALUE"""),"Nine-Tailed Fox Warlords 2 x 1")</f>
        <v>Nine-Tailed Fox Warlords 2 x 1</v>
      </c>
      <c r="F30" s="160" t="s">
        <v>475</v>
      </c>
      <c r="G30" s="130">
        <v>1.0</v>
      </c>
      <c r="H30" s="131" t="s">
        <v>457</v>
      </c>
      <c r="I30" s="161"/>
      <c r="J30" s="130">
        <v>301.0</v>
      </c>
      <c r="K30" s="130">
        <v>500.0</v>
      </c>
      <c r="L30" s="130">
        <v>2.0</v>
      </c>
      <c r="M30" s="132">
        <v>46058.27025462963</v>
      </c>
    </row>
    <row r="31" hidden="1" outlineLevel="1">
      <c r="A31" s="130">
        <v>5805.0</v>
      </c>
      <c r="B31" s="159" t="s">
        <v>562</v>
      </c>
      <c r="C31" s="134">
        <f>IFERROR(__xludf.DUMMYFUNCTION("""COMPUTED_VALUE"""),171930.0)</f>
        <v>171930</v>
      </c>
      <c r="D31" s="160" t="str">
        <f>IFERROR(__xludf.DUMMYFUNCTION("""COMPUTED_VALUE"""),"Mystic Matrimony Ranking Bonus")</f>
        <v>Mystic Matrimony Ranking Bonus</v>
      </c>
      <c r="E31" s="160" t="str">
        <f>IFERROR(__xludf.DUMMYFUNCTION("""COMPUTED_VALUE"""),"Chapter Ticket x 1")</f>
        <v>Chapter Ticket x 1</v>
      </c>
      <c r="F31" s="160" t="s">
        <v>478</v>
      </c>
      <c r="G31" s="130">
        <v>1.0</v>
      </c>
      <c r="H31" s="131" t="s">
        <v>457</v>
      </c>
      <c r="I31" s="161"/>
      <c r="J31" s="130">
        <v>301.0</v>
      </c>
      <c r="K31" s="130">
        <v>500.0</v>
      </c>
      <c r="L31" s="130">
        <v>3.0</v>
      </c>
      <c r="M31" s="132">
        <v>46058.27025462963</v>
      </c>
    </row>
    <row r="32" hidden="1" outlineLevel="1">
      <c r="A32" s="130">
        <v>5806.0</v>
      </c>
      <c r="B32" s="159" t="s">
        <v>563</v>
      </c>
      <c r="C32" s="134">
        <f>IFERROR(__xludf.DUMMYFUNCTION("""COMPUTED_VALUE"""),171931.0)</f>
        <v>171931</v>
      </c>
      <c r="D32" s="160" t="str">
        <f>IFERROR(__xludf.DUMMYFUNCTION("""COMPUTED_VALUE"""),"Mystic Matrimony Ranking Bonus")</f>
        <v>Mystic Matrimony Ranking Bonus</v>
      </c>
      <c r="E32" s="160" t="str">
        <f>IFERROR(__xludf.DUMMYFUNCTION("""COMPUTED_VALUE"""),"1500 Gold x 1")</f>
        <v>1500 Gold x 1</v>
      </c>
      <c r="F32" s="160" t="s">
        <v>481</v>
      </c>
      <c r="G32" s="130">
        <v>1.0</v>
      </c>
      <c r="H32" s="131" t="s">
        <v>457</v>
      </c>
      <c r="I32" s="161"/>
      <c r="J32" s="130">
        <v>301.0</v>
      </c>
      <c r="K32" s="130">
        <v>500.0</v>
      </c>
      <c r="L32" s="130">
        <v>4.0</v>
      </c>
      <c r="M32" s="132">
        <v>46058.27025462963</v>
      </c>
    </row>
    <row r="33" collapsed="1">
      <c r="A33" s="130">
        <v>5807.0</v>
      </c>
      <c r="B33" s="159" t="s">
        <v>564</v>
      </c>
      <c r="C33" s="134">
        <f>IFERROR(__xludf.DUMMYFUNCTION("""COMPUTED_VALUE"""),171930.0)</f>
        <v>171930</v>
      </c>
      <c r="D33" s="160" t="str">
        <f>IFERROR(__xludf.DUMMYFUNCTION("""COMPUTED_VALUE"""),"Mystic Matrimony Ranking Bonus")</f>
        <v>Mystic Matrimony Ranking Bonus</v>
      </c>
      <c r="E33" s="160" t="str">
        <f>IFERROR(__xludf.DUMMYFUNCTION("""COMPUTED_VALUE"""),"Chapter Ticket x 1")</f>
        <v>Chapter Ticket x 1</v>
      </c>
      <c r="F33" s="160" t="s">
        <v>478</v>
      </c>
      <c r="G33" s="130">
        <v>1.0</v>
      </c>
      <c r="H33" s="131" t="s">
        <v>457</v>
      </c>
      <c r="I33" s="161"/>
      <c r="J33" s="130">
        <v>501.0</v>
      </c>
      <c r="K33" s="130">
        <v>1000.0</v>
      </c>
      <c r="L33" s="130">
        <v>1.0</v>
      </c>
      <c r="M33" s="132">
        <v>46058.27025462963</v>
      </c>
    </row>
    <row r="34" hidden="1" outlineLevel="1">
      <c r="A34" s="130">
        <v>5808.0</v>
      </c>
      <c r="B34" s="159" t="s">
        <v>565</v>
      </c>
      <c r="C34" s="134">
        <f>IFERROR(__xludf.DUMMYFUNCTION("""COMPUTED_VALUE"""),171931.0)</f>
        <v>171931</v>
      </c>
      <c r="D34" s="160" t="str">
        <f>IFERROR(__xludf.DUMMYFUNCTION("""COMPUTED_VALUE"""),"Mystic Matrimony Ranking Bonus")</f>
        <v>Mystic Matrimony Ranking Bonus</v>
      </c>
      <c r="E34" s="160" t="str">
        <f>IFERROR(__xludf.DUMMYFUNCTION("""COMPUTED_VALUE"""),"1500 Gold x 1")</f>
        <v>1500 Gold x 1</v>
      </c>
      <c r="F34" s="160" t="s">
        <v>481</v>
      </c>
      <c r="G34" s="130">
        <v>1.0</v>
      </c>
      <c r="H34" s="131" t="s">
        <v>457</v>
      </c>
      <c r="I34" s="161"/>
      <c r="J34" s="130">
        <v>501.0</v>
      </c>
      <c r="K34" s="130">
        <v>1000.0</v>
      </c>
      <c r="L34" s="130">
        <v>2.0</v>
      </c>
      <c r="M34" s="132">
        <v>46058.27025462963</v>
      </c>
    </row>
    <row r="35">
      <c r="A35" s="130">
        <v>5809.0</v>
      </c>
      <c r="B35" s="159" t="s">
        <v>566</v>
      </c>
      <c r="C35" s="134">
        <f>IFERROR(__xludf.DUMMYFUNCTION("""COMPUTED_VALUE"""),171931.0)</f>
        <v>171931</v>
      </c>
      <c r="D35" s="160" t="str">
        <f>IFERROR(__xludf.DUMMYFUNCTION("""COMPUTED_VALUE"""),"Mystic Matrimony Ranking Bonus")</f>
        <v>Mystic Matrimony Ranking Bonus</v>
      </c>
      <c r="E35" s="160" t="str">
        <f>IFERROR(__xludf.DUMMYFUNCTION("""COMPUTED_VALUE"""),"1500 Gold x 1")</f>
        <v>1500 Gold x 1</v>
      </c>
      <c r="F35" s="160" t="s">
        <v>481</v>
      </c>
      <c r="G35" s="130">
        <v>1.0</v>
      </c>
      <c r="H35" s="131" t="s">
        <v>457</v>
      </c>
      <c r="I35" s="161"/>
      <c r="J35" s="130">
        <v>1001.0</v>
      </c>
      <c r="K35" s="130">
        <v>1500.0</v>
      </c>
      <c r="L35" s="130">
        <v>1.0</v>
      </c>
      <c r="M35" s="132">
        <v>46058.27025462963</v>
      </c>
    </row>
    <row r="36">
      <c r="C36" s="154"/>
      <c r="D36" s="154"/>
      <c r="E36" s="154"/>
      <c r="F36" s="154"/>
    </row>
  </sheetData>
  <hyperlinks>
    <hyperlink r:id="rId1" location="Ranking%20Bonus" ref="A1"/>
    <hyperlink r:id="rId2" ref="B5"/>
    <hyperlink r:id="rId3" ref="B6"/>
    <hyperlink r:id="rId4" ref="B7"/>
    <hyperlink r:id="rId5" ref="B8"/>
    <hyperlink r:id="rId6" ref="B9"/>
    <hyperlink r:id="rId7" ref="B10"/>
    <hyperlink r:id="rId8" ref="B11"/>
    <hyperlink r:id="rId9" ref="B12"/>
    <hyperlink r:id="rId10" ref="B13"/>
    <hyperlink r:id="rId11" ref="B14"/>
    <hyperlink r:id="rId12" ref="B15"/>
    <hyperlink r:id="rId13" ref="B16"/>
    <hyperlink r:id="rId14" ref="B17"/>
    <hyperlink r:id="rId15" ref="B18"/>
    <hyperlink r:id="rId16" ref="B19"/>
    <hyperlink r:id="rId17" ref="B20"/>
    <hyperlink r:id="rId18" ref="B21"/>
    <hyperlink r:id="rId19" ref="B22"/>
    <hyperlink r:id="rId20" ref="B23"/>
    <hyperlink r:id="rId21" ref="B24"/>
    <hyperlink r:id="rId22" ref="B25"/>
    <hyperlink r:id="rId23" ref="B26"/>
    <hyperlink r:id="rId24" ref="B27"/>
    <hyperlink r:id="rId25" ref="B28"/>
    <hyperlink r:id="rId26" ref="B29"/>
    <hyperlink r:id="rId27" ref="B30"/>
    <hyperlink r:id="rId28" ref="B31"/>
    <hyperlink r:id="rId29" ref="B32"/>
    <hyperlink r:id="rId30" ref="B33"/>
    <hyperlink r:id="rId31" ref="B34"/>
    <hyperlink r:id="rId32" ref="B35"/>
  </hyperlinks>
  <drawing r:id="rId3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cols>
    <col customWidth="1" min="3" max="3" width="38.0"/>
    <col customWidth="1" min="6" max="6" width="13.71"/>
  </cols>
  <sheetData>
    <row r="1">
      <c r="A1" s="155" t="s">
        <v>567</v>
      </c>
    </row>
    <row r="2">
      <c r="A2" s="155" t="s">
        <v>568</v>
      </c>
    </row>
    <row r="4">
      <c r="A4" s="162" t="s">
        <v>25</v>
      </c>
      <c r="B4" s="162" t="s">
        <v>569</v>
      </c>
      <c r="C4" s="162" t="s">
        <v>570</v>
      </c>
      <c r="D4" s="162" t="s">
        <v>571</v>
      </c>
      <c r="E4" s="162" t="s">
        <v>572</v>
      </c>
      <c r="F4" s="162" t="s">
        <v>573</v>
      </c>
      <c r="G4" s="162" t="s">
        <v>574</v>
      </c>
      <c r="H4" s="162" t="s">
        <v>575</v>
      </c>
      <c r="I4" s="162" t="s">
        <v>576</v>
      </c>
      <c r="J4" s="162" t="s">
        <v>577</v>
      </c>
    </row>
    <row r="5">
      <c r="A5" s="163">
        <v>4040.0</v>
      </c>
      <c r="B5" s="163" t="s">
        <v>578</v>
      </c>
      <c r="C5" s="163" t="s">
        <v>579</v>
      </c>
      <c r="D5" s="163" t="s">
        <v>580</v>
      </c>
      <c r="E5" s="164">
        <v>22519.0</v>
      </c>
      <c r="F5" s="163" t="s">
        <v>581</v>
      </c>
      <c r="G5" s="163" t="s">
        <v>582</v>
      </c>
      <c r="H5" s="165"/>
      <c r="I5" s="165"/>
      <c r="J5" s="165"/>
    </row>
    <row r="6">
      <c r="A6" s="163">
        <v>4041.0</v>
      </c>
      <c r="B6" s="163" t="s">
        <v>578</v>
      </c>
      <c r="C6" s="163" t="s">
        <v>583</v>
      </c>
      <c r="D6" s="163" t="s">
        <v>584</v>
      </c>
      <c r="E6" s="164">
        <v>22520.0</v>
      </c>
      <c r="F6" s="163" t="s">
        <v>581</v>
      </c>
      <c r="G6" s="163" t="s">
        <v>582</v>
      </c>
      <c r="H6" s="165"/>
      <c r="I6" s="165"/>
      <c r="J6" s="165"/>
    </row>
    <row r="7">
      <c r="A7" s="163">
        <v>4042.0</v>
      </c>
      <c r="B7" s="163" t="s">
        <v>578</v>
      </c>
      <c r="C7" s="163" t="s">
        <v>585</v>
      </c>
      <c r="D7" s="163" t="s">
        <v>586</v>
      </c>
      <c r="E7" s="164">
        <v>22521.0</v>
      </c>
      <c r="F7" s="163" t="s">
        <v>581</v>
      </c>
      <c r="G7" s="163" t="s">
        <v>582</v>
      </c>
      <c r="H7" s="165"/>
      <c r="I7" s="165"/>
      <c r="J7" s="165"/>
    </row>
    <row r="8">
      <c r="A8" s="163">
        <v>4043.0</v>
      </c>
      <c r="B8" s="163" t="s">
        <v>578</v>
      </c>
      <c r="C8" s="163" t="s">
        <v>587</v>
      </c>
      <c r="D8" s="163" t="s">
        <v>588</v>
      </c>
      <c r="E8" s="164">
        <v>22522.0</v>
      </c>
      <c r="F8" s="163" t="s">
        <v>581</v>
      </c>
      <c r="G8" s="163" t="s">
        <v>582</v>
      </c>
      <c r="H8" s="165"/>
      <c r="I8" s="165"/>
      <c r="J8" s="165"/>
    </row>
    <row r="9">
      <c r="A9" s="163">
        <v>4044.0</v>
      </c>
      <c r="B9" s="163" t="s">
        <v>578</v>
      </c>
      <c r="C9" s="163" t="s">
        <v>589</v>
      </c>
      <c r="D9" s="163" t="s">
        <v>590</v>
      </c>
      <c r="E9" s="164">
        <v>22523.0</v>
      </c>
      <c r="F9" s="163" t="s">
        <v>581</v>
      </c>
      <c r="G9" s="163" t="s">
        <v>582</v>
      </c>
      <c r="H9" s="165"/>
      <c r="I9" s="165"/>
      <c r="J9" s="165"/>
    </row>
    <row r="10">
      <c r="A10" s="163">
        <v>4045.0</v>
      </c>
      <c r="B10" s="163" t="s">
        <v>578</v>
      </c>
      <c r="C10" s="163" t="s">
        <v>591</v>
      </c>
      <c r="D10" s="163" t="s">
        <v>592</v>
      </c>
      <c r="E10" s="164">
        <v>22524.0</v>
      </c>
      <c r="F10" s="163" t="s">
        <v>581</v>
      </c>
      <c r="G10" s="163" t="s">
        <v>582</v>
      </c>
      <c r="H10" s="165"/>
      <c r="I10" s="165"/>
      <c r="J10" s="165"/>
    </row>
    <row r="11">
      <c r="A11" s="163">
        <v>4046.0</v>
      </c>
      <c r="B11" s="163" t="s">
        <v>578</v>
      </c>
      <c r="C11" s="163" t="s">
        <v>593</v>
      </c>
      <c r="D11" s="163" t="s">
        <v>594</v>
      </c>
      <c r="E11" s="164">
        <v>22525.0</v>
      </c>
      <c r="F11" s="163" t="s">
        <v>581</v>
      </c>
      <c r="G11" s="163" t="s">
        <v>582</v>
      </c>
      <c r="H11" s="165"/>
      <c r="I11" s="165"/>
      <c r="J11" s="165"/>
    </row>
    <row r="12">
      <c r="A12" s="163">
        <v>4047.0</v>
      </c>
      <c r="B12" s="163" t="s">
        <v>578</v>
      </c>
      <c r="C12" s="163" t="s">
        <v>595</v>
      </c>
      <c r="D12" s="163" t="s">
        <v>596</v>
      </c>
      <c r="E12" s="164">
        <v>22526.0</v>
      </c>
      <c r="F12" s="163" t="s">
        <v>581</v>
      </c>
      <c r="G12" s="163" t="s">
        <v>582</v>
      </c>
      <c r="H12" s="165"/>
      <c r="I12" s="165"/>
      <c r="J12" s="165"/>
    </row>
    <row r="13">
      <c r="A13" s="163">
        <v>4048.0</v>
      </c>
      <c r="B13" s="163" t="s">
        <v>578</v>
      </c>
      <c r="C13" s="163" t="s">
        <v>597</v>
      </c>
      <c r="D13" s="163" t="s">
        <v>598</v>
      </c>
      <c r="E13" s="164">
        <v>22527.0</v>
      </c>
      <c r="F13" s="163" t="s">
        <v>581</v>
      </c>
      <c r="G13" s="163" t="s">
        <v>582</v>
      </c>
      <c r="H13" s="165"/>
      <c r="I13" s="165"/>
      <c r="J13" s="165"/>
    </row>
    <row r="14">
      <c r="A14" s="163">
        <v>4049.0</v>
      </c>
      <c r="B14" s="163" t="s">
        <v>578</v>
      </c>
      <c r="C14" s="163" t="s">
        <v>599</v>
      </c>
      <c r="D14" s="163" t="s">
        <v>600</v>
      </c>
      <c r="E14" s="164">
        <v>22528.0</v>
      </c>
      <c r="F14" s="163" t="s">
        <v>581</v>
      </c>
      <c r="G14" s="163" t="s">
        <v>582</v>
      </c>
      <c r="H14" s="165"/>
      <c r="I14" s="165"/>
      <c r="J14" s="165"/>
    </row>
    <row r="15">
      <c r="A15" s="163">
        <v>4050.0</v>
      </c>
      <c r="B15" s="163" t="s">
        <v>578</v>
      </c>
      <c r="C15" s="163" t="s">
        <v>601</v>
      </c>
      <c r="D15" s="163" t="s">
        <v>602</v>
      </c>
      <c r="E15" s="164">
        <v>22529.0</v>
      </c>
      <c r="F15" s="163" t="s">
        <v>581</v>
      </c>
      <c r="G15" s="163" t="s">
        <v>582</v>
      </c>
      <c r="H15" s="165"/>
      <c r="I15" s="165"/>
      <c r="J15" s="165"/>
    </row>
    <row r="16">
      <c r="A16" s="163">
        <v>4051.0</v>
      </c>
      <c r="B16" s="163" t="s">
        <v>578</v>
      </c>
      <c r="C16" s="163" t="s">
        <v>603</v>
      </c>
      <c r="D16" s="163" t="s">
        <v>604</v>
      </c>
      <c r="E16" s="164">
        <v>22530.0</v>
      </c>
      <c r="F16" s="163" t="s">
        <v>581</v>
      </c>
      <c r="G16" s="163" t="s">
        <v>582</v>
      </c>
      <c r="H16" s="165"/>
      <c r="I16" s="165"/>
      <c r="J16" s="165"/>
    </row>
    <row r="17">
      <c r="A17" s="163">
        <v>4052.0</v>
      </c>
      <c r="B17" s="163" t="s">
        <v>578</v>
      </c>
      <c r="C17" s="163" t="s">
        <v>605</v>
      </c>
      <c r="D17" s="163" t="s">
        <v>606</v>
      </c>
      <c r="E17" s="164">
        <v>22531.0</v>
      </c>
      <c r="F17" s="163" t="s">
        <v>581</v>
      </c>
      <c r="G17" s="163" t="s">
        <v>582</v>
      </c>
      <c r="H17" s="165"/>
      <c r="I17" s="165"/>
      <c r="J17" s="165"/>
    </row>
    <row r="18">
      <c r="A18" s="163">
        <v>4053.0</v>
      </c>
      <c r="B18" s="163" t="s">
        <v>578</v>
      </c>
      <c r="C18" s="163" t="s">
        <v>607</v>
      </c>
      <c r="D18" s="163" t="s">
        <v>608</v>
      </c>
      <c r="E18" s="164">
        <v>22532.0</v>
      </c>
      <c r="F18" s="163" t="s">
        <v>581</v>
      </c>
      <c r="G18" s="163" t="s">
        <v>582</v>
      </c>
      <c r="H18" s="165"/>
      <c r="I18" s="165"/>
      <c r="J18" s="165"/>
    </row>
    <row r="19">
      <c r="A19" s="163">
        <v>4054.0</v>
      </c>
      <c r="B19" s="163" t="s">
        <v>578</v>
      </c>
      <c r="C19" s="163" t="s">
        <v>609</v>
      </c>
      <c r="D19" s="163" t="s">
        <v>610</v>
      </c>
      <c r="E19" s="164">
        <v>22533.0</v>
      </c>
      <c r="F19" s="163" t="s">
        <v>581</v>
      </c>
      <c r="G19" s="163" t="s">
        <v>582</v>
      </c>
      <c r="H19" s="165"/>
      <c r="I19" s="165"/>
      <c r="J19" s="165"/>
    </row>
    <row r="20">
      <c r="A20" s="166"/>
    </row>
    <row r="21">
      <c r="A21" s="163">
        <v>4035.0</v>
      </c>
      <c r="B21" s="163" t="s">
        <v>578</v>
      </c>
      <c r="C21" s="163" t="s">
        <v>611</v>
      </c>
      <c r="D21" s="163" t="s">
        <v>612</v>
      </c>
      <c r="E21" s="164">
        <v>22514.0</v>
      </c>
      <c r="F21" s="163" t="s">
        <v>581</v>
      </c>
      <c r="G21" s="163" t="s">
        <v>582</v>
      </c>
      <c r="H21" s="165"/>
      <c r="I21" s="165"/>
      <c r="J21" s="165"/>
    </row>
    <row r="22">
      <c r="A22" s="163">
        <v>4036.0</v>
      </c>
      <c r="B22" s="163" t="s">
        <v>578</v>
      </c>
      <c r="C22" s="163" t="s">
        <v>613</v>
      </c>
      <c r="D22" s="163" t="s">
        <v>612</v>
      </c>
      <c r="E22" s="164">
        <v>22515.0</v>
      </c>
      <c r="F22" s="163" t="s">
        <v>581</v>
      </c>
      <c r="G22" s="163" t="s">
        <v>582</v>
      </c>
      <c r="H22" s="165"/>
      <c r="I22" s="165"/>
      <c r="J22" s="165"/>
    </row>
  </sheetData>
  <hyperlinks>
    <hyperlink r:id="rId1" ref="A1"/>
    <hyperlink r:id="rId2" ref="A2"/>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1"/>
    <hyperlink r:id="rId19" ref="E22"/>
  </hyperlinks>
  <drawing r:id="rId2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pageSetUpPr/>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4.43" defaultRowHeight="15.0" outlineLevelCol="1"/>
  <cols>
    <col collapsed="1" customWidth="1" min="1" max="1" width="4.43"/>
    <col customWidth="1" hidden="1" min="2" max="2" width="10.14" outlineLevel="1"/>
    <col collapsed="1" customWidth="1" min="3" max="3" width="23.14"/>
    <col customWidth="1" hidden="1" min="4" max="4" width="20.14" outlineLevel="1"/>
    <col customWidth="1" hidden="1" min="5" max="5" width="37.29" outlineLevel="1"/>
    <col collapsed="1" customWidth="1" min="6" max="6" width="10.14"/>
    <col customWidth="1" hidden="1" min="7" max="7" width="23.14" outlineLevel="1"/>
    <col customWidth="1" min="8" max="8" width="20.14"/>
    <col customWidth="1" min="9" max="9" width="28.29"/>
    <col collapsed="1" customWidth="1" min="10" max="10" width="35.86"/>
    <col customWidth="1" hidden="1" min="11" max="11" width="20.29" outlineLevel="1"/>
    <col customWidth="1" hidden="1" min="12" max="13" width="8.71" outlineLevel="1"/>
    <col customWidth="1" min="14" max="14" width="36.71"/>
    <col customWidth="1" min="15" max="18" width="8.71" outlineLevel="1"/>
    <col customWidth="1" min="19" max="22" width="8.71"/>
    <col customWidth="1" min="23" max="23" width="17.29"/>
    <col customWidth="1" min="24" max="25" width="28.71"/>
  </cols>
  <sheetData>
    <row r="1">
      <c r="A1" s="22" t="s">
        <v>47</v>
      </c>
      <c r="B1" s="22" t="s">
        <v>614</v>
      </c>
      <c r="C1" s="22" t="s">
        <v>49</v>
      </c>
      <c r="D1" s="22" t="s">
        <v>615</v>
      </c>
      <c r="E1" s="167" t="s">
        <v>50</v>
      </c>
      <c r="F1" s="23" t="s">
        <v>614</v>
      </c>
      <c r="G1" s="23" t="s">
        <v>49</v>
      </c>
      <c r="H1" s="23" t="s">
        <v>615</v>
      </c>
      <c r="I1" s="168" t="s">
        <v>50</v>
      </c>
      <c r="J1" s="22" t="s">
        <v>616</v>
      </c>
      <c r="K1" s="169" t="s">
        <v>244</v>
      </c>
      <c r="L1" s="169" t="s">
        <v>25</v>
      </c>
      <c r="M1" s="169" t="s">
        <v>245</v>
      </c>
      <c r="N1" s="169" t="s">
        <v>246</v>
      </c>
      <c r="O1" s="24" t="s">
        <v>52</v>
      </c>
      <c r="P1" s="8"/>
      <c r="Q1" s="8"/>
      <c r="R1" s="9"/>
      <c r="S1" s="25" t="s">
        <v>53</v>
      </c>
      <c r="T1" s="8"/>
      <c r="U1" s="8"/>
      <c r="V1" s="9"/>
      <c r="W1" s="22" t="s">
        <v>54</v>
      </c>
      <c r="X1" s="22" t="s">
        <v>55</v>
      </c>
      <c r="Y1" s="22" t="s">
        <v>56</v>
      </c>
    </row>
    <row r="2">
      <c r="A2" s="21"/>
      <c r="B2" s="21"/>
      <c r="C2" s="21"/>
      <c r="D2" s="21"/>
      <c r="E2" s="21"/>
      <c r="F2" s="21"/>
      <c r="G2" s="21"/>
      <c r="H2" s="21"/>
      <c r="I2" s="21"/>
      <c r="J2" s="21"/>
      <c r="K2" s="87"/>
      <c r="L2" s="87"/>
      <c r="M2" s="87"/>
      <c r="N2" s="87"/>
      <c r="O2" s="170" t="s">
        <v>57</v>
      </c>
      <c r="P2" s="27" t="s">
        <v>58</v>
      </c>
      <c r="Q2" s="27" t="s">
        <v>59</v>
      </c>
      <c r="R2" s="26" t="s">
        <v>60</v>
      </c>
      <c r="S2" s="26" t="s">
        <v>57</v>
      </c>
      <c r="T2" s="27" t="s">
        <v>58</v>
      </c>
      <c r="U2" s="26" t="s">
        <v>59</v>
      </c>
      <c r="V2" s="26" t="s">
        <v>60</v>
      </c>
      <c r="W2" s="21"/>
      <c r="X2" s="21"/>
      <c r="Y2" s="21"/>
    </row>
    <row r="3">
      <c r="A3" s="28">
        <f t="shared" ref="A3:A58" si="1">ROW()-2</f>
        <v>1</v>
      </c>
      <c r="B3" s="28"/>
      <c r="C3" s="73" t="s">
        <v>72</v>
      </c>
      <c r="D3" s="37"/>
      <c r="E3" s="47" t="s">
        <v>617</v>
      </c>
      <c r="F3" s="28"/>
      <c r="G3" s="73" t="s">
        <v>74</v>
      </c>
      <c r="H3" s="37"/>
      <c r="I3" s="47" t="s">
        <v>618</v>
      </c>
      <c r="J3" s="37"/>
      <c r="K3" s="87"/>
      <c r="L3" s="87"/>
      <c r="M3" s="28"/>
      <c r="N3" s="37"/>
      <c r="O3" s="92" t="s">
        <v>67</v>
      </c>
      <c r="P3" s="92" t="s">
        <v>68</v>
      </c>
      <c r="Q3" s="92" t="s">
        <v>69</v>
      </c>
      <c r="R3" s="171">
        <v>46062.0</v>
      </c>
      <c r="S3" s="34" t="s">
        <v>67</v>
      </c>
      <c r="T3" s="28" t="str">
        <f t="array" ref="T3:V393">IF(S3:S393="OK",{"IW","Bill","2/12"},)</f>
        <v>IW</v>
      </c>
      <c r="U3" s="28" t="s">
        <v>69</v>
      </c>
      <c r="V3" s="45" t="s">
        <v>76</v>
      </c>
      <c r="W3" s="172"/>
      <c r="X3" s="40"/>
      <c r="Y3" s="40"/>
    </row>
    <row r="4">
      <c r="A4" s="28">
        <f t="shared" si="1"/>
        <v>2</v>
      </c>
      <c r="B4" s="173">
        <v>10.0</v>
      </c>
      <c r="C4" s="96" t="s">
        <v>619</v>
      </c>
      <c r="D4" s="59" t="s">
        <v>620</v>
      </c>
      <c r="E4" s="95" t="s">
        <v>621</v>
      </c>
      <c r="F4" s="173">
        <v>10.0</v>
      </c>
      <c r="G4" s="174" t="s">
        <v>622</v>
      </c>
      <c r="H4" s="59" t="s">
        <v>623</v>
      </c>
      <c r="I4" s="47" t="s">
        <v>624</v>
      </c>
      <c r="J4" s="37" t="str">
        <f>'参照_各種特典'!$F$20</f>
        <v>Demon of My Dreams</v>
      </c>
      <c r="K4" s="34" t="s">
        <v>625</v>
      </c>
      <c r="L4" s="28">
        <f>IFERROR(__xludf.DUMMYFUNCTION("ARRAYFORMULA(
LET(
_range, F4:F326,
IFNA(VLOOKUP(ROW(_range),FILTER({ROW(_range),_range},LEN(_range)),2,1),))
)"),10.0)</f>
        <v>10</v>
      </c>
      <c r="M4" s="34">
        <v>11.0</v>
      </c>
      <c r="N4" s="37" t="str">
        <f t="array" ref="N4:N326">IF(LEN(J4:J326),VLOOKUP(VALUE(L4:L326),INDIRECT(K4:K326),M4:M326,0),)</f>
        <v>Demon of My Dreams</v>
      </c>
      <c r="O4" s="92" t="s">
        <v>67</v>
      </c>
      <c r="P4" s="92" t="s">
        <v>68</v>
      </c>
      <c r="Q4" s="92" t="s">
        <v>69</v>
      </c>
      <c r="R4" s="171">
        <v>46062.0</v>
      </c>
      <c r="S4" s="36"/>
      <c r="T4" s="36"/>
      <c r="U4" s="36"/>
      <c r="V4" s="36"/>
      <c r="W4" s="175"/>
      <c r="X4" s="176"/>
      <c r="Y4" s="40"/>
    </row>
    <row r="5">
      <c r="A5" s="28">
        <f t="shared" si="1"/>
        <v>3</v>
      </c>
      <c r="B5" s="20"/>
      <c r="C5" s="62" t="s">
        <v>72</v>
      </c>
      <c r="D5" s="21"/>
      <c r="E5" s="47" t="s">
        <v>617</v>
      </c>
      <c r="F5" s="20"/>
      <c r="G5" s="62" t="s">
        <v>74</v>
      </c>
      <c r="H5" s="21"/>
      <c r="I5" s="47" t="s">
        <v>618</v>
      </c>
      <c r="J5" s="37"/>
      <c r="K5" s="34" t="s">
        <v>625</v>
      </c>
      <c r="L5" s="28">
        <f>IFERROR(__xludf.DUMMYFUNCTION("""COMPUTED_VALUE"""),10.0)</f>
        <v>10</v>
      </c>
      <c r="M5" s="28"/>
      <c r="N5" s="37"/>
      <c r="O5" s="92" t="s">
        <v>67</v>
      </c>
      <c r="P5" s="92" t="s">
        <v>68</v>
      </c>
      <c r="Q5" s="92" t="s">
        <v>69</v>
      </c>
      <c r="R5" s="171">
        <v>46062.0</v>
      </c>
      <c r="S5" s="34" t="s">
        <v>67</v>
      </c>
      <c r="T5" s="28" t="s">
        <v>68</v>
      </c>
      <c r="U5" s="28" t="s">
        <v>69</v>
      </c>
      <c r="V5" s="45" t="s">
        <v>76</v>
      </c>
      <c r="W5" s="177"/>
      <c r="X5" s="178"/>
      <c r="Y5" s="47"/>
    </row>
    <row r="6">
      <c r="A6" s="28">
        <f t="shared" si="1"/>
        <v>4</v>
      </c>
      <c r="B6" s="21"/>
      <c r="C6" s="21"/>
      <c r="D6" s="37" t="s">
        <v>626</v>
      </c>
      <c r="E6" s="47" t="s">
        <v>627</v>
      </c>
      <c r="F6" s="21"/>
      <c r="G6" s="21"/>
      <c r="H6" s="37" t="s">
        <v>628</v>
      </c>
      <c r="I6" s="47" t="s">
        <v>629</v>
      </c>
      <c r="J6" s="37"/>
      <c r="K6" s="34" t="s">
        <v>625</v>
      </c>
      <c r="L6" s="28">
        <f>IFERROR(__xludf.DUMMYFUNCTION("""COMPUTED_VALUE"""),10.0)</f>
        <v>10</v>
      </c>
      <c r="M6" s="28"/>
      <c r="N6" s="37"/>
      <c r="O6" s="179"/>
      <c r="P6" s="179"/>
      <c r="Q6" s="179"/>
      <c r="R6" s="180"/>
      <c r="S6" s="34" t="s">
        <v>67</v>
      </c>
      <c r="T6" s="28" t="s">
        <v>68</v>
      </c>
      <c r="U6" s="28" t="s">
        <v>69</v>
      </c>
      <c r="V6" s="45" t="s">
        <v>76</v>
      </c>
      <c r="W6" s="181"/>
      <c r="X6" s="178"/>
      <c r="Y6" s="47"/>
    </row>
    <row r="7">
      <c r="A7" s="28">
        <f t="shared" si="1"/>
        <v>5</v>
      </c>
      <c r="B7" s="182">
        <v>20.0</v>
      </c>
      <c r="C7" s="91" t="s">
        <v>630</v>
      </c>
      <c r="D7" s="29" t="s">
        <v>620</v>
      </c>
      <c r="E7" s="183" t="s">
        <v>631</v>
      </c>
      <c r="F7" s="182">
        <v>20.0</v>
      </c>
      <c r="G7" s="91" t="s">
        <v>632</v>
      </c>
      <c r="H7" s="29" t="s">
        <v>623</v>
      </c>
      <c r="I7" s="184" t="s">
        <v>633</v>
      </c>
      <c r="J7" s="31" t="str">
        <f>'参照_各種特典'!D21</f>
        <v>Mystic Matrimony◆Collection Bonus</v>
      </c>
      <c r="K7" s="34" t="s">
        <v>625</v>
      </c>
      <c r="L7" s="28">
        <f>IFERROR(__xludf.DUMMYFUNCTION("""COMPUTED_VALUE"""),20.0)</f>
        <v>20</v>
      </c>
      <c r="M7" s="34">
        <v>4.0</v>
      </c>
      <c r="N7" s="37" t="s">
        <v>634</v>
      </c>
      <c r="O7" s="92" t="s">
        <v>67</v>
      </c>
      <c r="P7" s="92" t="s">
        <v>68</v>
      </c>
      <c r="Q7" s="92" t="s">
        <v>69</v>
      </c>
      <c r="R7" s="171">
        <v>46062.0</v>
      </c>
      <c r="S7" s="36"/>
      <c r="T7" s="36"/>
      <c r="U7" s="36"/>
      <c r="V7" s="36"/>
      <c r="W7" s="185"/>
      <c r="X7" s="178"/>
      <c r="Y7" s="47"/>
    </row>
    <row r="8">
      <c r="A8" s="28">
        <f t="shared" si="1"/>
        <v>6</v>
      </c>
      <c r="B8" s="20"/>
      <c r="C8" s="20"/>
      <c r="D8" s="20"/>
      <c r="E8" s="183" t="s">
        <v>621</v>
      </c>
      <c r="F8" s="20"/>
      <c r="G8" s="20"/>
      <c r="H8" s="20"/>
      <c r="I8" s="186" t="s">
        <v>635</v>
      </c>
      <c r="J8" s="31" t="str">
        <f>'参照_各種特典'!F21</f>
        <v>Shaved Ice (+50 Stamina)</v>
      </c>
      <c r="K8" s="34" t="s">
        <v>625</v>
      </c>
      <c r="L8" s="28">
        <f>IFERROR(__xludf.DUMMYFUNCTION("""COMPUTED_VALUE"""),20.0)</f>
        <v>20</v>
      </c>
      <c r="M8" s="34">
        <v>11.0</v>
      </c>
      <c r="N8" s="37" t="s">
        <v>636</v>
      </c>
      <c r="O8" s="92" t="s">
        <v>67</v>
      </c>
      <c r="P8" s="92" t="s">
        <v>68</v>
      </c>
      <c r="Q8" s="92" t="s">
        <v>69</v>
      </c>
      <c r="R8" s="171">
        <v>46062.0</v>
      </c>
      <c r="S8" s="36"/>
      <c r="T8" s="36"/>
      <c r="U8" s="36"/>
      <c r="V8" s="36"/>
      <c r="W8" s="185"/>
      <c r="X8" s="178"/>
      <c r="Y8" s="47"/>
    </row>
    <row r="9">
      <c r="A9" s="28">
        <f t="shared" si="1"/>
        <v>7</v>
      </c>
      <c r="B9" s="20"/>
      <c r="C9" s="21"/>
      <c r="D9" s="20"/>
      <c r="E9" s="187" t="s">
        <v>637</v>
      </c>
      <c r="F9" s="20"/>
      <c r="G9" s="21"/>
      <c r="H9" s="20"/>
      <c r="I9" s="187" t="s">
        <v>638</v>
      </c>
      <c r="J9" s="31">
        <f>'参照_各種特典'!H21</f>
        <v>1</v>
      </c>
      <c r="K9" s="34" t="s">
        <v>625</v>
      </c>
      <c r="L9" s="28">
        <f>IFERROR(__xludf.DUMMYFUNCTION("""COMPUTED_VALUE"""),20.0)</f>
        <v>20</v>
      </c>
      <c r="M9" s="34">
        <v>7.0</v>
      </c>
      <c r="N9" s="37" t="s">
        <v>639</v>
      </c>
      <c r="O9" s="92" t="s">
        <v>67</v>
      </c>
      <c r="P9" s="92" t="s">
        <v>68</v>
      </c>
      <c r="Q9" s="92" t="s">
        <v>69</v>
      </c>
      <c r="R9" s="171">
        <v>46062.0</v>
      </c>
      <c r="S9" s="36"/>
      <c r="T9" s="36"/>
      <c r="U9" s="36"/>
      <c r="V9" s="36"/>
      <c r="W9" s="185"/>
      <c r="X9" s="178"/>
      <c r="Y9" s="47"/>
    </row>
    <row r="10">
      <c r="A10" s="28">
        <f t="shared" si="1"/>
        <v>8</v>
      </c>
      <c r="B10" s="20"/>
      <c r="C10" s="62" t="s">
        <v>72</v>
      </c>
      <c r="D10" s="21"/>
      <c r="E10" s="187" t="s">
        <v>617</v>
      </c>
      <c r="F10" s="20"/>
      <c r="G10" s="62" t="s">
        <v>74</v>
      </c>
      <c r="H10" s="21"/>
      <c r="I10" s="187" t="s">
        <v>618</v>
      </c>
      <c r="J10" s="31"/>
      <c r="K10" s="34" t="s">
        <v>625</v>
      </c>
      <c r="L10" s="28">
        <f>IFERROR(__xludf.DUMMYFUNCTION("""COMPUTED_VALUE"""),20.0)</f>
        <v>20</v>
      </c>
      <c r="M10" s="28"/>
      <c r="N10" s="37"/>
      <c r="O10" s="92" t="s">
        <v>67</v>
      </c>
      <c r="P10" s="92" t="s">
        <v>68</v>
      </c>
      <c r="Q10" s="92" t="s">
        <v>69</v>
      </c>
      <c r="R10" s="171">
        <v>46062.0</v>
      </c>
      <c r="S10" s="34" t="s">
        <v>67</v>
      </c>
      <c r="T10" s="28" t="s">
        <v>68</v>
      </c>
      <c r="U10" s="28" t="s">
        <v>69</v>
      </c>
      <c r="V10" s="45" t="s">
        <v>76</v>
      </c>
      <c r="W10" s="185"/>
      <c r="X10" s="178"/>
      <c r="Y10" s="47"/>
    </row>
    <row r="11">
      <c r="A11" s="28">
        <f t="shared" si="1"/>
        <v>9</v>
      </c>
      <c r="B11" s="20"/>
      <c r="C11" s="20"/>
      <c r="D11" s="29" t="s">
        <v>626</v>
      </c>
      <c r="E11" s="187" t="s">
        <v>627</v>
      </c>
      <c r="F11" s="20"/>
      <c r="G11" s="20"/>
      <c r="H11" s="188" t="s">
        <v>628</v>
      </c>
      <c r="I11" s="187" t="s">
        <v>640</v>
      </c>
      <c r="J11" s="31"/>
      <c r="K11" s="34" t="s">
        <v>625</v>
      </c>
      <c r="L11" s="28">
        <f>IFERROR(__xludf.DUMMYFUNCTION("""COMPUTED_VALUE"""),20.0)</f>
        <v>20</v>
      </c>
      <c r="M11" s="28"/>
      <c r="N11" s="37"/>
      <c r="O11" s="179"/>
      <c r="P11" s="179"/>
      <c r="Q11" s="179"/>
      <c r="R11" s="180"/>
      <c r="S11" s="34" t="s">
        <v>67</v>
      </c>
      <c r="T11" s="28" t="s">
        <v>68</v>
      </c>
      <c r="U11" s="28" t="s">
        <v>69</v>
      </c>
      <c r="V11" s="45" t="s">
        <v>76</v>
      </c>
      <c r="W11" s="185"/>
      <c r="X11" s="178"/>
      <c r="Y11" s="47"/>
    </row>
    <row r="12">
      <c r="A12" s="28">
        <f t="shared" si="1"/>
        <v>10</v>
      </c>
      <c r="B12" s="21"/>
      <c r="C12" s="21"/>
      <c r="D12" s="21"/>
      <c r="E12" s="187" t="s">
        <v>641</v>
      </c>
      <c r="F12" s="21"/>
      <c r="G12" s="21"/>
      <c r="H12" s="21"/>
      <c r="I12" s="187" t="s">
        <v>642</v>
      </c>
      <c r="J12" s="31" t="s">
        <v>643</v>
      </c>
      <c r="K12" s="34" t="s">
        <v>625</v>
      </c>
      <c r="L12" s="28">
        <f>IFERROR(__xludf.DUMMYFUNCTION("""COMPUTED_VALUE"""),20.0)</f>
        <v>20</v>
      </c>
      <c r="M12" s="28"/>
      <c r="N12" s="37" t="e">
        <v>#VALUE!</v>
      </c>
      <c r="O12" s="179"/>
      <c r="P12" s="179"/>
      <c r="Q12" s="179"/>
      <c r="R12" s="180"/>
      <c r="S12" s="34" t="s">
        <v>67</v>
      </c>
      <c r="T12" s="28" t="s">
        <v>68</v>
      </c>
      <c r="U12" s="28" t="s">
        <v>69</v>
      </c>
      <c r="V12" s="45" t="s">
        <v>76</v>
      </c>
      <c r="W12" s="185"/>
      <c r="X12" s="178"/>
      <c r="Y12" s="47"/>
    </row>
    <row r="13">
      <c r="A13" s="28">
        <f t="shared" si="1"/>
        <v>11</v>
      </c>
      <c r="B13" s="173">
        <v>30.0</v>
      </c>
      <c r="C13" s="91" t="s">
        <v>630</v>
      </c>
      <c r="D13" s="59" t="s">
        <v>620</v>
      </c>
      <c r="E13" s="189" t="s">
        <v>631</v>
      </c>
      <c r="F13" s="173">
        <v>30.0</v>
      </c>
      <c r="G13" s="91" t="s">
        <v>632</v>
      </c>
      <c r="H13" s="59" t="s">
        <v>623</v>
      </c>
      <c r="I13" s="189" t="s">
        <v>633</v>
      </c>
      <c r="J13" s="37" t="str">
        <f>'参照_各種特典'!D22</f>
        <v>Mystic Matrimony◆Collection Bonus</v>
      </c>
      <c r="K13" s="34" t="s">
        <v>625</v>
      </c>
      <c r="L13" s="28">
        <f>IFERROR(__xludf.DUMMYFUNCTION("""COMPUTED_VALUE"""),30.0)</f>
        <v>30</v>
      </c>
      <c r="M13" s="34">
        <v>4.0</v>
      </c>
      <c r="N13" s="37" t="s">
        <v>634</v>
      </c>
      <c r="O13" s="92" t="s">
        <v>67</v>
      </c>
      <c r="P13" s="92" t="s">
        <v>68</v>
      </c>
      <c r="Q13" s="92" t="s">
        <v>69</v>
      </c>
      <c r="R13" s="171">
        <v>46062.0</v>
      </c>
      <c r="S13" s="36"/>
      <c r="T13" s="36"/>
      <c r="U13" s="36"/>
      <c r="V13" s="36"/>
      <c r="W13" s="185"/>
      <c r="X13" s="178"/>
      <c r="Y13" s="47"/>
    </row>
    <row r="14">
      <c r="A14" s="28">
        <f t="shared" si="1"/>
        <v>12</v>
      </c>
      <c r="B14" s="20"/>
      <c r="C14" s="20"/>
      <c r="D14" s="20"/>
      <c r="E14" s="189" t="s">
        <v>621</v>
      </c>
      <c r="F14" s="20"/>
      <c r="G14" s="20"/>
      <c r="H14" s="20"/>
      <c r="I14" s="190" t="s">
        <v>635</v>
      </c>
      <c r="J14" s="37" t="str">
        <f>'参照_各種特典'!F22</f>
        <v>500 Gold</v>
      </c>
      <c r="K14" s="34" t="s">
        <v>625</v>
      </c>
      <c r="L14" s="28">
        <f>IFERROR(__xludf.DUMMYFUNCTION("""COMPUTED_VALUE"""),30.0)</f>
        <v>30</v>
      </c>
      <c r="M14" s="34">
        <v>11.0</v>
      </c>
      <c r="N14" s="37" t="s">
        <v>644</v>
      </c>
      <c r="O14" s="92" t="s">
        <v>67</v>
      </c>
      <c r="P14" s="92" t="s">
        <v>68</v>
      </c>
      <c r="Q14" s="92" t="s">
        <v>69</v>
      </c>
      <c r="R14" s="171">
        <v>46062.0</v>
      </c>
      <c r="S14" s="36"/>
      <c r="T14" s="36"/>
      <c r="U14" s="36"/>
      <c r="V14" s="36"/>
      <c r="W14" s="185"/>
      <c r="X14" s="178"/>
      <c r="Y14" s="47"/>
    </row>
    <row r="15">
      <c r="A15" s="28">
        <f t="shared" si="1"/>
        <v>13</v>
      </c>
      <c r="B15" s="20"/>
      <c r="C15" s="21"/>
      <c r="D15" s="20"/>
      <c r="E15" s="190" t="s">
        <v>637</v>
      </c>
      <c r="F15" s="20"/>
      <c r="G15" s="21"/>
      <c r="H15" s="20"/>
      <c r="I15" s="190" t="s">
        <v>292</v>
      </c>
      <c r="J15" s="37">
        <f>'参照_各種特典'!H22</f>
        <v>1</v>
      </c>
      <c r="K15" s="34" t="s">
        <v>625</v>
      </c>
      <c r="L15" s="28">
        <f>IFERROR(__xludf.DUMMYFUNCTION("""COMPUTED_VALUE"""),30.0)</f>
        <v>30</v>
      </c>
      <c r="M15" s="34">
        <v>7.0</v>
      </c>
      <c r="N15" s="37" t="s">
        <v>639</v>
      </c>
      <c r="O15" s="92" t="s">
        <v>67</v>
      </c>
      <c r="P15" s="92" t="s">
        <v>68</v>
      </c>
      <c r="Q15" s="92" t="s">
        <v>69</v>
      </c>
      <c r="R15" s="171">
        <v>46062.0</v>
      </c>
      <c r="S15" s="36"/>
      <c r="T15" s="36"/>
      <c r="U15" s="36"/>
      <c r="V15" s="36"/>
      <c r="W15" s="185"/>
      <c r="X15" s="178"/>
      <c r="Y15" s="47"/>
    </row>
    <row r="16">
      <c r="A16" s="28">
        <f t="shared" si="1"/>
        <v>14</v>
      </c>
      <c r="B16" s="20"/>
      <c r="C16" s="62" t="s">
        <v>72</v>
      </c>
      <c r="D16" s="21"/>
      <c r="E16" s="190" t="s">
        <v>617</v>
      </c>
      <c r="F16" s="20"/>
      <c r="G16" s="62" t="s">
        <v>74</v>
      </c>
      <c r="H16" s="21"/>
      <c r="I16" s="190" t="s">
        <v>618</v>
      </c>
      <c r="J16" s="37"/>
      <c r="K16" s="34" t="s">
        <v>625</v>
      </c>
      <c r="L16" s="28">
        <f>IFERROR(__xludf.DUMMYFUNCTION("""COMPUTED_VALUE"""),30.0)</f>
        <v>30</v>
      </c>
      <c r="M16" s="28"/>
      <c r="N16" s="37"/>
      <c r="O16" s="92" t="s">
        <v>67</v>
      </c>
      <c r="P16" s="92" t="s">
        <v>68</v>
      </c>
      <c r="Q16" s="92" t="s">
        <v>69</v>
      </c>
      <c r="R16" s="171">
        <v>46062.0</v>
      </c>
      <c r="S16" s="34" t="s">
        <v>67</v>
      </c>
      <c r="T16" s="28" t="s">
        <v>68</v>
      </c>
      <c r="U16" s="28" t="s">
        <v>69</v>
      </c>
      <c r="V16" s="45" t="s">
        <v>76</v>
      </c>
      <c r="W16" s="185"/>
      <c r="X16" s="178"/>
      <c r="Y16" s="47"/>
    </row>
    <row r="17">
      <c r="A17" s="28">
        <f t="shared" si="1"/>
        <v>15</v>
      </c>
      <c r="B17" s="20"/>
      <c r="C17" s="20"/>
      <c r="D17" s="59" t="s">
        <v>626</v>
      </c>
      <c r="E17" s="190" t="s">
        <v>627</v>
      </c>
      <c r="F17" s="20"/>
      <c r="G17" s="20"/>
      <c r="H17" s="59" t="s">
        <v>628</v>
      </c>
      <c r="I17" s="190" t="s">
        <v>640</v>
      </c>
      <c r="J17" s="37"/>
      <c r="K17" s="34" t="s">
        <v>625</v>
      </c>
      <c r="L17" s="28">
        <f>IFERROR(__xludf.DUMMYFUNCTION("""COMPUTED_VALUE"""),30.0)</f>
        <v>30</v>
      </c>
      <c r="M17" s="28"/>
      <c r="N17" s="37"/>
      <c r="O17" s="179"/>
      <c r="P17" s="179"/>
      <c r="Q17" s="179"/>
      <c r="R17" s="180"/>
      <c r="S17" s="34" t="s">
        <v>67</v>
      </c>
      <c r="T17" s="28" t="s">
        <v>68</v>
      </c>
      <c r="U17" s="28" t="s">
        <v>69</v>
      </c>
      <c r="V17" s="45" t="s">
        <v>76</v>
      </c>
      <c r="W17" s="185"/>
      <c r="X17" s="178"/>
      <c r="Y17" s="47"/>
    </row>
    <row r="18">
      <c r="A18" s="28">
        <f t="shared" si="1"/>
        <v>16</v>
      </c>
      <c r="B18" s="21"/>
      <c r="C18" s="21"/>
      <c r="D18" s="21"/>
      <c r="E18" s="190" t="s">
        <v>641</v>
      </c>
      <c r="F18" s="21"/>
      <c r="G18" s="21"/>
      <c r="H18" s="21"/>
      <c r="I18" s="190" t="s">
        <v>642</v>
      </c>
      <c r="J18" s="37" t="s">
        <v>645</v>
      </c>
      <c r="K18" s="34" t="s">
        <v>625</v>
      </c>
      <c r="L18" s="28">
        <f>IFERROR(__xludf.DUMMYFUNCTION("""COMPUTED_VALUE"""),30.0)</f>
        <v>30</v>
      </c>
      <c r="M18" s="28"/>
      <c r="N18" s="37" t="e">
        <v>#VALUE!</v>
      </c>
      <c r="O18" s="179"/>
      <c r="P18" s="179"/>
      <c r="Q18" s="179"/>
      <c r="R18" s="180"/>
      <c r="S18" s="34" t="s">
        <v>67</v>
      </c>
      <c r="T18" s="28" t="s">
        <v>68</v>
      </c>
      <c r="U18" s="28" t="s">
        <v>69</v>
      </c>
      <c r="V18" s="45" t="s">
        <v>76</v>
      </c>
      <c r="W18" s="185"/>
      <c r="X18" s="178"/>
      <c r="Y18" s="47"/>
    </row>
    <row r="19">
      <c r="A19" s="28">
        <f t="shared" si="1"/>
        <v>17</v>
      </c>
      <c r="B19" s="182">
        <v>40.0</v>
      </c>
      <c r="C19" s="91" t="s">
        <v>630</v>
      </c>
      <c r="D19" s="29" t="s">
        <v>620</v>
      </c>
      <c r="E19" s="183" t="s">
        <v>631</v>
      </c>
      <c r="F19" s="182">
        <v>40.0</v>
      </c>
      <c r="G19" s="91" t="s">
        <v>632</v>
      </c>
      <c r="H19" s="29" t="s">
        <v>623</v>
      </c>
      <c r="I19" s="183" t="s">
        <v>633</v>
      </c>
      <c r="J19" s="31" t="str">
        <f>'参照_各種特典'!D23</f>
        <v>Mystic Matrimony◆Collection Bonus</v>
      </c>
      <c r="K19" s="34" t="s">
        <v>625</v>
      </c>
      <c r="L19" s="28">
        <f>IFERROR(__xludf.DUMMYFUNCTION("""COMPUTED_VALUE"""),40.0)</f>
        <v>40</v>
      </c>
      <c r="M19" s="34">
        <v>4.0</v>
      </c>
      <c r="N19" s="37" t="s">
        <v>634</v>
      </c>
      <c r="O19" s="92" t="s">
        <v>67</v>
      </c>
      <c r="P19" s="92" t="s">
        <v>68</v>
      </c>
      <c r="Q19" s="92" t="s">
        <v>69</v>
      </c>
      <c r="R19" s="171">
        <v>46062.0</v>
      </c>
      <c r="S19" s="36"/>
      <c r="T19" s="36"/>
      <c r="U19" s="36"/>
      <c r="V19" s="36"/>
      <c r="W19" s="185"/>
      <c r="X19" s="178"/>
      <c r="Y19" s="47"/>
    </row>
    <row r="20">
      <c r="A20" s="28">
        <f t="shared" si="1"/>
        <v>18</v>
      </c>
      <c r="B20" s="20"/>
      <c r="C20" s="20"/>
      <c r="D20" s="20"/>
      <c r="E20" s="183" t="s">
        <v>621</v>
      </c>
      <c r="F20" s="20"/>
      <c r="G20" s="20"/>
      <c r="H20" s="20"/>
      <c r="I20" s="187" t="s">
        <v>635</v>
      </c>
      <c r="J20" s="31" t="str">
        <f>'参照_各種特典'!F23</f>
        <v>Closet Storage</v>
      </c>
      <c r="K20" s="34" t="s">
        <v>625</v>
      </c>
      <c r="L20" s="28">
        <f>IFERROR(__xludf.DUMMYFUNCTION("""COMPUTED_VALUE"""),40.0)</f>
        <v>40</v>
      </c>
      <c r="M20" s="34">
        <v>11.0</v>
      </c>
      <c r="N20" s="37" t="s">
        <v>646</v>
      </c>
      <c r="O20" s="92" t="s">
        <v>67</v>
      </c>
      <c r="P20" s="92" t="s">
        <v>68</v>
      </c>
      <c r="Q20" s="92" t="s">
        <v>69</v>
      </c>
      <c r="R20" s="171">
        <v>46062.0</v>
      </c>
      <c r="S20" s="36"/>
      <c r="T20" s="36"/>
      <c r="U20" s="36"/>
      <c r="V20" s="36"/>
      <c r="W20" s="185"/>
      <c r="X20" s="178"/>
      <c r="Y20" s="47"/>
    </row>
    <row r="21">
      <c r="A21" s="28">
        <f t="shared" si="1"/>
        <v>19</v>
      </c>
      <c r="B21" s="20"/>
      <c r="C21" s="21"/>
      <c r="D21" s="20"/>
      <c r="E21" s="187" t="s">
        <v>637</v>
      </c>
      <c r="F21" s="20"/>
      <c r="G21" s="21"/>
      <c r="H21" s="20"/>
      <c r="I21" s="187" t="s">
        <v>292</v>
      </c>
      <c r="J21" s="31">
        <f>'参照_各種特典'!H23</f>
        <v>1</v>
      </c>
      <c r="K21" s="34" t="s">
        <v>625</v>
      </c>
      <c r="L21" s="28">
        <f>IFERROR(__xludf.DUMMYFUNCTION("""COMPUTED_VALUE"""),40.0)</f>
        <v>40</v>
      </c>
      <c r="M21" s="34">
        <v>7.0</v>
      </c>
      <c r="N21" s="37" t="s">
        <v>639</v>
      </c>
      <c r="O21" s="92" t="s">
        <v>67</v>
      </c>
      <c r="P21" s="92" t="s">
        <v>68</v>
      </c>
      <c r="Q21" s="92" t="s">
        <v>69</v>
      </c>
      <c r="R21" s="171">
        <v>46062.0</v>
      </c>
      <c r="S21" s="36"/>
      <c r="T21" s="36"/>
      <c r="U21" s="36"/>
      <c r="V21" s="36"/>
      <c r="W21" s="185"/>
      <c r="X21" s="178"/>
      <c r="Y21" s="47"/>
    </row>
    <row r="22">
      <c r="A22" s="28">
        <f t="shared" si="1"/>
        <v>20</v>
      </c>
      <c r="B22" s="20"/>
      <c r="C22" s="62" t="s">
        <v>72</v>
      </c>
      <c r="D22" s="21"/>
      <c r="E22" s="187" t="s">
        <v>617</v>
      </c>
      <c r="F22" s="20"/>
      <c r="G22" s="62" t="s">
        <v>74</v>
      </c>
      <c r="H22" s="21"/>
      <c r="I22" s="187" t="s">
        <v>618</v>
      </c>
      <c r="J22" s="31"/>
      <c r="K22" s="34" t="s">
        <v>625</v>
      </c>
      <c r="L22" s="28">
        <f>IFERROR(__xludf.DUMMYFUNCTION("""COMPUTED_VALUE"""),40.0)</f>
        <v>40</v>
      </c>
      <c r="M22" s="28"/>
      <c r="N22" s="37"/>
      <c r="O22" s="92" t="s">
        <v>67</v>
      </c>
      <c r="P22" s="92" t="s">
        <v>68</v>
      </c>
      <c r="Q22" s="92" t="s">
        <v>69</v>
      </c>
      <c r="R22" s="171">
        <v>46062.0</v>
      </c>
      <c r="S22" s="34" t="s">
        <v>67</v>
      </c>
      <c r="T22" s="28" t="s">
        <v>68</v>
      </c>
      <c r="U22" s="28" t="s">
        <v>69</v>
      </c>
      <c r="V22" s="45" t="s">
        <v>76</v>
      </c>
      <c r="W22" s="185"/>
      <c r="X22" s="178"/>
      <c r="Y22" s="47"/>
    </row>
    <row r="23">
      <c r="A23" s="28">
        <f t="shared" si="1"/>
        <v>21</v>
      </c>
      <c r="B23" s="20"/>
      <c r="C23" s="20"/>
      <c r="D23" s="29" t="s">
        <v>626</v>
      </c>
      <c r="E23" s="187" t="s">
        <v>627</v>
      </c>
      <c r="F23" s="20"/>
      <c r="G23" s="20"/>
      <c r="H23" s="29" t="s">
        <v>628</v>
      </c>
      <c r="I23" s="187" t="s">
        <v>640</v>
      </c>
      <c r="J23" s="31"/>
      <c r="K23" s="34" t="s">
        <v>625</v>
      </c>
      <c r="L23" s="28">
        <f>IFERROR(__xludf.DUMMYFUNCTION("""COMPUTED_VALUE"""),40.0)</f>
        <v>40</v>
      </c>
      <c r="M23" s="28"/>
      <c r="N23" s="37"/>
      <c r="O23" s="179"/>
      <c r="P23" s="179"/>
      <c r="Q23" s="179"/>
      <c r="R23" s="180"/>
      <c r="S23" s="34" t="s">
        <v>67</v>
      </c>
      <c r="T23" s="28" t="s">
        <v>68</v>
      </c>
      <c r="U23" s="28" t="s">
        <v>69</v>
      </c>
      <c r="V23" s="45" t="s">
        <v>76</v>
      </c>
      <c r="W23" s="185"/>
      <c r="X23" s="178"/>
      <c r="Y23" s="47"/>
    </row>
    <row r="24">
      <c r="A24" s="28">
        <f t="shared" si="1"/>
        <v>22</v>
      </c>
      <c r="B24" s="21"/>
      <c r="C24" s="21"/>
      <c r="D24" s="21"/>
      <c r="E24" s="187" t="s">
        <v>641</v>
      </c>
      <c r="F24" s="21"/>
      <c r="G24" s="21"/>
      <c r="H24" s="21"/>
      <c r="I24" s="187" t="s">
        <v>642</v>
      </c>
      <c r="J24" s="31" t="s">
        <v>645</v>
      </c>
      <c r="K24" s="34" t="s">
        <v>625</v>
      </c>
      <c r="L24" s="28">
        <f>IFERROR(__xludf.DUMMYFUNCTION("""COMPUTED_VALUE"""),40.0)</f>
        <v>40</v>
      </c>
      <c r="M24" s="28"/>
      <c r="N24" s="37" t="e">
        <v>#VALUE!</v>
      </c>
      <c r="O24" s="179"/>
      <c r="P24" s="179"/>
      <c r="Q24" s="179"/>
      <c r="R24" s="180"/>
      <c r="S24" s="34" t="s">
        <v>67</v>
      </c>
      <c r="T24" s="28" t="s">
        <v>68</v>
      </c>
      <c r="U24" s="28" t="s">
        <v>69</v>
      </c>
      <c r="V24" s="45" t="s">
        <v>76</v>
      </c>
      <c r="W24" s="185"/>
      <c r="X24" s="178"/>
      <c r="Y24" s="47"/>
    </row>
    <row r="25">
      <c r="A25" s="28">
        <f t="shared" si="1"/>
        <v>23</v>
      </c>
      <c r="B25" s="173">
        <v>50.0</v>
      </c>
      <c r="C25" s="91" t="s">
        <v>630</v>
      </c>
      <c r="D25" s="59" t="s">
        <v>620</v>
      </c>
      <c r="E25" s="189" t="s">
        <v>631</v>
      </c>
      <c r="F25" s="173">
        <v>50.0</v>
      </c>
      <c r="G25" s="91" t="s">
        <v>632</v>
      </c>
      <c r="H25" s="59" t="s">
        <v>623</v>
      </c>
      <c r="I25" s="189" t="s">
        <v>633</v>
      </c>
      <c r="J25" s="37" t="str">
        <f>'参照_各種特典'!D24</f>
        <v>Mystic Matrimony◆Collection Bonus</v>
      </c>
      <c r="K25" s="34" t="s">
        <v>625</v>
      </c>
      <c r="L25" s="28">
        <f>IFERROR(__xludf.DUMMYFUNCTION("""COMPUTED_VALUE"""),50.0)</f>
        <v>50</v>
      </c>
      <c r="M25" s="34">
        <v>4.0</v>
      </c>
      <c r="N25" s="37" t="s">
        <v>634</v>
      </c>
      <c r="O25" s="92" t="s">
        <v>67</v>
      </c>
      <c r="P25" s="92" t="s">
        <v>68</v>
      </c>
      <c r="Q25" s="92" t="s">
        <v>69</v>
      </c>
      <c r="R25" s="171">
        <v>46062.0</v>
      </c>
      <c r="S25" s="36"/>
      <c r="T25" s="36"/>
      <c r="U25" s="36"/>
      <c r="V25" s="36"/>
      <c r="W25" s="185"/>
      <c r="X25" s="178"/>
      <c r="Y25" s="47"/>
    </row>
    <row r="26">
      <c r="A26" s="28">
        <f t="shared" si="1"/>
        <v>24</v>
      </c>
      <c r="B26" s="20"/>
      <c r="C26" s="20"/>
      <c r="D26" s="20"/>
      <c r="E26" s="189" t="s">
        <v>621</v>
      </c>
      <c r="F26" s="20"/>
      <c r="G26" s="20"/>
      <c r="H26" s="20"/>
      <c r="I26" s="190" t="s">
        <v>635</v>
      </c>
      <c r="J26" s="37" t="str">
        <f>'参照_各種特典'!F24</f>
        <v>Shaved Ice (+50 Stamina)</v>
      </c>
      <c r="K26" s="34" t="s">
        <v>625</v>
      </c>
      <c r="L26" s="28">
        <f>IFERROR(__xludf.DUMMYFUNCTION("""COMPUTED_VALUE"""),50.0)</f>
        <v>50</v>
      </c>
      <c r="M26" s="34">
        <v>11.0</v>
      </c>
      <c r="N26" s="37" t="s">
        <v>636</v>
      </c>
      <c r="O26" s="92" t="s">
        <v>67</v>
      </c>
      <c r="P26" s="92" t="s">
        <v>68</v>
      </c>
      <c r="Q26" s="92" t="s">
        <v>69</v>
      </c>
      <c r="R26" s="171">
        <v>46062.0</v>
      </c>
      <c r="S26" s="36"/>
      <c r="T26" s="36"/>
      <c r="U26" s="36"/>
      <c r="V26" s="36"/>
      <c r="W26" s="185"/>
      <c r="X26" s="178"/>
      <c r="Y26" s="47"/>
    </row>
    <row r="27">
      <c r="A27" s="28">
        <f t="shared" si="1"/>
        <v>25</v>
      </c>
      <c r="B27" s="20"/>
      <c r="C27" s="21"/>
      <c r="D27" s="20"/>
      <c r="E27" s="190" t="s">
        <v>637</v>
      </c>
      <c r="F27" s="20"/>
      <c r="G27" s="21"/>
      <c r="H27" s="20"/>
      <c r="I27" s="190" t="s">
        <v>292</v>
      </c>
      <c r="J27" s="37">
        <f>'参照_各種特典'!H24</f>
        <v>1</v>
      </c>
      <c r="K27" s="34" t="s">
        <v>625</v>
      </c>
      <c r="L27" s="28">
        <f>IFERROR(__xludf.DUMMYFUNCTION("""COMPUTED_VALUE"""),50.0)</f>
        <v>50</v>
      </c>
      <c r="M27" s="34">
        <v>7.0</v>
      </c>
      <c r="N27" s="37" t="s">
        <v>639</v>
      </c>
      <c r="O27" s="92" t="s">
        <v>67</v>
      </c>
      <c r="P27" s="92" t="s">
        <v>68</v>
      </c>
      <c r="Q27" s="92" t="s">
        <v>69</v>
      </c>
      <c r="R27" s="171">
        <v>46062.0</v>
      </c>
      <c r="S27" s="36"/>
      <c r="T27" s="36"/>
      <c r="U27" s="36"/>
      <c r="V27" s="36"/>
      <c r="W27" s="185"/>
      <c r="X27" s="178"/>
      <c r="Y27" s="47"/>
    </row>
    <row r="28">
      <c r="A28" s="28">
        <f t="shared" si="1"/>
        <v>26</v>
      </c>
      <c r="B28" s="20"/>
      <c r="C28" s="62" t="s">
        <v>72</v>
      </c>
      <c r="D28" s="21"/>
      <c r="E28" s="190" t="s">
        <v>617</v>
      </c>
      <c r="F28" s="20"/>
      <c r="G28" s="62" t="s">
        <v>74</v>
      </c>
      <c r="H28" s="21"/>
      <c r="I28" s="190" t="s">
        <v>618</v>
      </c>
      <c r="J28" s="37"/>
      <c r="K28" s="34" t="s">
        <v>625</v>
      </c>
      <c r="L28" s="28">
        <f>IFERROR(__xludf.DUMMYFUNCTION("""COMPUTED_VALUE"""),50.0)</f>
        <v>50</v>
      </c>
      <c r="M28" s="28"/>
      <c r="N28" s="37"/>
      <c r="O28" s="92" t="s">
        <v>67</v>
      </c>
      <c r="P28" s="92" t="s">
        <v>68</v>
      </c>
      <c r="Q28" s="92" t="s">
        <v>69</v>
      </c>
      <c r="R28" s="171">
        <v>46062.0</v>
      </c>
      <c r="S28" s="34" t="s">
        <v>67</v>
      </c>
      <c r="T28" s="28" t="s">
        <v>68</v>
      </c>
      <c r="U28" s="28" t="s">
        <v>69</v>
      </c>
      <c r="V28" s="45" t="s">
        <v>76</v>
      </c>
      <c r="W28" s="185"/>
      <c r="X28" s="178"/>
      <c r="Y28" s="47"/>
    </row>
    <row r="29">
      <c r="A29" s="28">
        <f t="shared" si="1"/>
        <v>27</v>
      </c>
      <c r="B29" s="20"/>
      <c r="C29" s="20"/>
      <c r="D29" s="59" t="s">
        <v>626</v>
      </c>
      <c r="E29" s="190" t="s">
        <v>627</v>
      </c>
      <c r="F29" s="20"/>
      <c r="G29" s="20"/>
      <c r="H29" s="59" t="s">
        <v>628</v>
      </c>
      <c r="I29" s="190" t="s">
        <v>640</v>
      </c>
      <c r="J29" s="37"/>
      <c r="K29" s="34" t="s">
        <v>625</v>
      </c>
      <c r="L29" s="28">
        <f>IFERROR(__xludf.DUMMYFUNCTION("""COMPUTED_VALUE"""),50.0)</f>
        <v>50</v>
      </c>
      <c r="M29" s="28"/>
      <c r="N29" s="37"/>
      <c r="O29" s="179"/>
      <c r="P29" s="179"/>
      <c r="Q29" s="179"/>
      <c r="R29" s="180"/>
      <c r="S29" s="34" t="s">
        <v>67</v>
      </c>
      <c r="T29" s="28" t="s">
        <v>68</v>
      </c>
      <c r="U29" s="28" t="s">
        <v>69</v>
      </c>
      <c r="V29" s="45" t="s">
        <v>76</v>
      </c>
      <c r="W29" s="185"/>
      <c r="X29" s="178"/>
      <c r="Y29" s="47"/>
    </row>
    <row r="30">
      <c r="A30" s="28">
        <f t="shared" si="1"/>
        <v>28</v>
      </c>
      <c r="B30" s="21"/>
      <c r="C30" s="21"/>
      <c r="D30" s="21"/>
      <c r="E30" s="190" t="s">
        <v>641</v>
      </c>
      <c r="F30" s="21"/>
      <c r="G30" s="21"/>
      <c r="H30" s="21"/>
      <c r="I30" s="190" t="s">
        <v>642</v>
      </c>
      <c r="J30" s="37" t="s">
        <v>645</v>
      </c>
      <c r="K30" s="34" t="s">
        <v>625</v>
      </c>
      <c r="L30" s="28">
        <f>IFERROR(__xludf.DUMMYFUNCTION("""COMPUTED_VALUE"""),50.0)</f>
        <v>50</v>
      </c>
      <c r="M30" s="28"/>
      <c r="N30" s="37" t="e">
        <v>#VALUE!</v>
      </c>
      <c r="O30" s="179"/>
      <c r="P30" s="179"/>
      <c r="Q30" s="179"/>
      <c r="R30" s="180"/>
      <c r="S30" s="34" t="s">
        <v>67</v>
      </c>
      <c r="T30" s="28" t="s">
        <v>68</v>
      </c>
      <c r="U30" s="28" t="s">
        <v>69</v>
      </c>
      <c r="V30" s="45" t="s">
        <v>76</v>
      </c>
      <c r="W30" s="185"/>
      <c r="X30" s="178"/>
      <c r="Y30" s="47"/>
    </row>
    <row r="31">
      <c r="A31" s="28">
        <f t="shared" si="1"/>
        <v>29</v>
      </c>
      <c r="B31" s="182">
        <v>60.0</v>
      </c>
      <c r="C31" s="91" t="s">
        <v>630</v>
      </c>
      <c r="D31" s="29" t="s">
        <v>620</v>
      </c>
      <c r="E31" s="183" t="s">
        <v>631</v>
      </c>
      <c r="F31" s="182">
        <v>60.0</v>
      </c>
      <c r="G31" s="96" t="s">
        <v>632</v>
      </c>
      <c r="H31" s="29" t="s">
        <v>623</v>
      </c>
      <c r="I31" s="183" t="s">
        <v>633</v>
      </c>
      <c r="J31" s="31" t="str">
        <f>'参照_各種特典'!D25</f>
        <v>Mystic Matrimony◆Collection Bonus</v>
      </c>
      <c r="K31" s="34" t="s">
        <v>625</v>
      </c>
      <c r="L31" s="28">
        <f>IFERROR(__xludf.DUMMYFUNCTION("""COMPUTED_VALUE"""),60.0)</f>
        <v>60</v>
      </c>
      <c r="M31" s="34">
        <v>4.0</v>
      </c>
      <c r="N31" s="37" t="s">
        <v>634</v>
      </c>
      <c r="O31" s="92" t="s">
        <v>67</v>
      </c>
      <c r="P31" s="92" t="s">
        <v>68</v>
      </c>
      <c r="Q31" s="92" t="s">
        <v>69</v>
      </c>
      <c r="R31" s="171">
        <v>46062.0</v>
      </c>
      <c r="S31" s="36"/>
      <c r="T31" s="36"/>
      <c r="U31" s="36"/>
      <c r="V31" s="36"/>
      <c r="W31" s="185"/>
      <c r="X31" s="178"/>
      <c r="Y31" s="47"/>
    </row>
    <row r="32">
      <c r="A32" s="28">
        <f t="shared" si="1"/>
        <v>30</v>
      </c>
      <c r="B32" s="20"/>
      <c r="C32" s="20"/>
      <c r="D32" s="20"/>
      <c r="E32" s="183" t="s">
        <v>621</v>
      </c>
      <c r="F32" s="20"/>
      <c r="G32" s="73"/>
      <c r="H32" s="20"/>
      <c r="I32" s="187" t="s">
        <v>635</v>
      </c>
      <c r="J32" s="31" t="str">
        <f>'参照_各種特典'!F25</f>
        <v>Yoshimoto with a Lantern</v>
      </c>
      <c r="K32" s="34" t="s">
        <v>625</v>
      </c>
      <c r="L32" s="28">
        <f>IFERROR(__xludf.DUMMYFUNCTION("""COMPUTED_VALUE"""),60.0)</f>
        <v>60</v>
      </c>
      <c r="M32" s="34">
        <v>11.0</v>
      </c>
      <c r="N32" s="37" t="s">
        <v>647</v>
      </c>
      <c r="O32" s="92" t="s">
        <v>67</v>
      </c>
      <c r="P32" s="92" t="s">
        <v>68</v>
      </c>
      <c r="Q32" s="92" t="s">
        <v>69</v>
      </c>
      <c r="R32" s="171">
        <v>46063.0</v>
      </c>
      <c r="S32" s="36"/>
      <c r="T32" s="36"/>
      <c r="U32" s="36"/>
      <c r="V32" s="36"/>
      <c r="W32" s="185"/>
      <c r="X32" s="178"/>
      <c r="Y32" s="47"/>
    </row>
    <row r="33">
      <c r="A33" s="28">
        <f t="shared" si="1"/>
        <v>31</v>
      </c>
      <c r="B33" s="20"/>
      <c r="C33" s="21"/>
      <c r="D33" s="20"/>
      <c r="E33" s="187" t="s">
        <v>637</v>
      </c>
      <c r="F33" s="20"/>
      <c r="G33" s="62" t="s">
        <v>74</v>
      </c>
      <c r="H33" s="20"/>
      <c r="I33" s="187" t="s">
        <v>292</v>
      </c>
      <c r="J33" s="31">
        <f>'参照_各種特典'!H25</f>
        <v>1</v>
      </c>
      <c r="K33" s="34" t="s">
        <v>625</v>
      </c>
      <c r="L33" s="28">
        <f>IFERROR(__xludf.DUMMYFUNCTION("""COMPUTED_VALUE"""),60.0)</f>
        <v>60</v>
      </c>
      <c r="M33" s="34">
        <v>7.0</v>
      </c>
      <c r="N33" s="37" t="s">
        <v>639</v>
      </c>
      <c r="O33" s="92" t="s">
        <v>67</v>
      </c>
      <c r="P33" s="92" t="s">
        <v>68</v>
      </c>
      <c r="Q33" s="92" t="s">
        <v>69</v>
      </c>
      <c r="R33" s="171">
        <v>46063.0</v>
      </c>
      <c r="S33" s="36"/>
      <c r="T33" s="36"/>
      <c r="U33" s="36"/>
      <c r="V33" s="36"/>
      <c r="W33" s="185"/>
      <c r="X33" s="178"/>
      <c r="Y33" s="47"/>
    </row>
    <row r="34">
      <c r="A34" s="28">
        <f t="shared" si="1"/>
        <v>32</v>
      </c>
      <c r="B34" s="20"/>
      <c r="C34" s="62" t="s">
        <v>72</v>
      </c>
      <c r="D34" s="21"/>
      <c r="E34" s="187" t="s">
        <v>617</v>
      </c>
      <c r="F34" s="20"/>
      <c r="G34" s="20"/>
      <c r="H34" s="21"/>
      <c r="I34" s="187" t="s">
        <v>618</v>
      </c>
      <c r="J34" s="31"/>
      <c r="K34" s="34" t="s">
        <v>625</v>
      </c>
      <c r="L34" s="28">
        <f>IFERROR(__xludf.DUMMYFUNCTION("""COMPUTED_VALUE"""),60.0)</f>
        <v>60</v>
      </c>
      <c r="M34" s="28"/>
      <c r="N34" s="37"/>
      <c r="O34" s="92" t="s">
        <v>67</v>
      </c>
      <c r="P34" s="92" t="s">
        <v>68</v>
      </c>
      <c r="Q34" s="92" t="s">
        <v>69</v>
      </c>
      <c r="R34" s="171">
        <v>46062.0</v>
      </c>
      <c r="S34" s="34" t="s">
        <v>67</v>
      </c>
      <c r="T34" s="28" t="s">
        <v>68</v>
      </c>
      <c r="U34" s="28" t="s">
        <v>69</v>
      </c>
      <c r="V34" s="45" t="s">
        <v>76</v>
      </c>
      <c r="W34" s="185"/>
      <c r="X34" s="178"/>
      <c r="Y34" s="47"/>
    </row>
    <row r="35">
      <c r="A35" s="28">
        <f t="shared" si="1"/>
        <v>33</v>
      </c>
      <c r="B35" s="20"/>
      <c r="C35" s="20"/>
      <c r="D35" s="29" t="s">
        <v>626</v>
      </c>
      <c r="E35" s="187" t="s">
        <v>627</v>
      </c>
      <c r="F35" s="20"/>
      <c r="G35" s="20"/>
      <c r="H35" s="29" t="s">
        <v>628</v>
      </c>
      <c r="I35" s="187" t="s">
        <v>640</v>
      </c>
      <c r="J35" s="31"/>
      <c r="K35" s="34" t="s">
        <v>625</v>
      </c>
      <c r="L35" s="28">
        <f>IFERROR(__xludf.DUMMYFUNCTION("""COMPUTED_VALUE"""),60.0)</f>
        <v>60</v>
      </c>
      <c r="M35" s="28"/>
      <c r="N35" s="37"/>
      <c r="O35" s="179"/>
      <c r="P35" s="179"/>
      <c r="Q35" s="179"/>
      <c r="R35" s="180"/>
      <c r="S35" s="34" t="s">
        <v>67</v>
      </c>
      <c r="T35" s="28" t="s">
        <v>68</v>
      </c>
      <c r="U35" s="28" t="s">
        <v>69</v>
      </c>
      <c r="V35" s="45" t="s">
        <v>76</v>
      </c>
      <c r="W35" s="185"/>
      <c r="X35" s="178"/>
      <c r="Y35" s="47"/>
    </row>
    <row r="36">
      <c r="A36" s="28">
        <f t="shared" si="1"/>
        <v>34</v>
      </c>
      <c r="B36" s="21"/>
      <c r="C36" s="21"/>
      <c r="D36" s="21"/>
      <c r="E36" s="187" t="s">
        <v>641</v>
      </c>
      <c r="F36" s="21"/>
      <c r="G36" s="21"/>
      <c r="H36" s="21"/>
      <c r="I36" s="187" t="s">
        <v>642</v>
      </c>
      <c r="J36" s="31" t="s">
        <v>645</v>
      </c>
      <c r="K36" s="34" t="s">
        <v>625</v>
      </c>
      <c r="L36" s="28">
        <f>IFERROR(__xludf.DUMMYFUNCTION("""COMPUTED_VALUE"""),60.0)</f>
        <v>60</v>
      </c>
      <c r="M36" s="28"/>
      <c r="N36" s="37" t="e">
        <v>#VALUE!</v>
      </c>
      <c r="O36" s="179"/>
      <c r="P36" s="179"/>
      <c r="Q36" s="179"/>
      <c r="R36" s="180"/>
      <c r="S36" s="34" t="s">
        <v>67</v>
      </c>
      <c r="T36" s="28" t="s">
        <v>68</v>
      </c>
      <c r="U36" s="28" t="s">
        <v>69</v>
      </c>
      <c r="V36" s="45" t="s">
        <v>76</v>
      </c>
      <c r="W36" s="185"/>
      <c r="X36" s="178"/>
      <c r="Y36" s="47"/>
    </row>
    <row r="37">
      <c r="A37" s="28">
        <f t="shared" si="1"/>
        <v>35</v>
      </c>
      <c r="B37" s="173">
        <v>70.0</v>
      </c>
      <c r="C37" s="91" t="s">
        <v>630</v>
      </c>
      <c r="D37" s="59" t="s">
        <v>620</v>
      </c>
      <c r="E37" s="189" t="s">
        <v>631</v>
      </c>
      <c r="F37" s="173">
        <v>70.0</v>
      </c>
      <c r="G37" s="91" t="s">
        <v>632</v>
      </c>
      <c r="H37" s="59" t="s">
        <v>623</v>
      </c>
      <c r="I37" s="189" t="s">
        <v>633</v>
      </c>
      <c r="J37" s="37" t="str">
        <f>'参照_各種特典'!D26</f>
        <v>Mystic Matrimony◆Collection Bonus</v>
      </c>
      <c r="K37" s="34" t="s">
        <v>625</v>
      </c>
      <c r="L37" s="28">
        <f>IFERROR(__xludf.DUMMYFUNCTION("""COMPUTED_VALUE"""),70.0)</f>
        <v>70</v>
      </c>
      <c r="M37" s="34">
        <v>4.0</v>
      </c>
      <c r="N37" s="37" t="s">
        <v>634</v>
      </c>
      <c r="O37" s="92" t="s">
        <v>67</v>
      </c>
      <c r="P37" s="92" t="s">
        <v>68</v>
      </c>
      <c r="Q37" s="92" t="s">
        <v>69</v>
      </c>
      <c r="R37" s="171">
        <v>46062.0</v>
      </c>
      <c r="S37" s="36"/>
      <c r="T37" s="36"/>
      <c r="U37" s="36"/>
      <c r="V37" s="36"/>
      <c r="W37" s="185"/>
      <c r="X37" s="178"/>
      <c r="Y37" s="47"/>
    </row>
    <row r="38">
      <c r="A38" s="28">
        <f t="shared" si="1"/>
        <v>36</v>
      </c>
      <c r="B38" s="20"/>
      <c r="C38" s="20"/>
      <c r="D38" s="20"/>
      <c r="E38" s="189" t="s">
        <v>621</v>
      </c>
      <c r="F38" s="20"/>
      <c r="G38" s="20"/>
      <c r="H38" s="20"/>
      <c r="I38" s="190" t="s">
        <v>635</v>
      </c>
      <c r="J38" s="37" t="str">
        <f>'参照_各種特典'!F26</f>
        <v>Shaved Ice (+50 Stamina)</v>
      </c>
      <c r="K38" s="34" t="s">
        <v>625</v>
      </c>
      <c r="L38" s="28">
        <f>IFERROR(__xludf.DUMMYFUNCTION("""COMPUTED_VALUE"""),70.0)</f>
        <v>70</v>
      </c>
      <c r="M38" s="34">
        <v>11.0</v>
      </c>
      <c r="N38" s="37" t="s">
        <v>636</v>
      </c>
      <c r="O38" s="92" t="s">
        <v>67</v>
      </c>
      <c r="P38" s="92" t="s">
        <v>68</v>
      </c>
      <c r="Q38" s="92" t="s">
        <v>69</v>
      </c>
      <c r="R38" s="171">
        <v>46062.0</v>
      </c>
      <c r="S38" s="36"/>
      <c r="T38" s="36"/>
      <c r="U38" s="36"/>
      <c r="V38" s="36"/>
      <c r="W38" s="185"/>
      <c r="X38" s="178"/>
      <c r="Y38" s="47"/>
    </row>
    <row r="39">
      <c r="A39" s="28">
        <f t="shared" si="1"/>
        <v>37</v>
      </c>
      <c r="B39" s="20"/>
      <c r="C39" s="21"/>
      <c r="D39" s="20"/>
      <c r="E39" s="190" t="s">
        <v>637</v>
      </c>
      <c r="F39" s="20"/>
      <c r="G39" s="21"/>
      <c r="H39" s="20"/>
      <c r="I39" s="190" t="s">
        <v>292</v>
      </c>
      <c r="J39" s="37">
        <f>'参照_各種特典'!H26</f>
        <v>1</v>
      </c>
      <c r="K39" s="34" t="s">
        <v>625</v>
      </c>
      <c r="L39" s="28">
        <f>IFERROR(__xludf.DUMMYFUNCTION("""COMPUTED_VALUE"""),70.0)</f>
        <v>70</v>
      </c>
      <c r="M39" s="34">
        <v>7.0</v>
      </c>
      <c r="N39" s="37" t="s">
        <v>639</v>
      </c>
      <c r="O39" s="92" t="s">
        <v>67</v>
      </c>
      <c r="P39" s="92" t="s">
        <v>68</v>
      </c>
      <c r="Q39" s="92" t="s">
        <v>69</v>
      </c>
      <c r="R39" s="171">
        <v>46062.0</v>
      </c>
      <c r="S39" s="36"/>
      <c r="T39" s="36"/>
      <c r="U39" s="36"/>
      <c r="V39" s="36"/>
      <c r="W39" s="185"/>
      <c r="X39" s="178"/>
      <c r="Y39" s="47"/>
    </row>
    <row r="40">
      <c r="A40" s="28">
        <f t="shared" si="1"/>
        <v>38</v>
      </c>
      <c r="B40" s="20"/>
      <c r="C40" s="62" t="s">
        <v>72</v>
      </c>
      <c r="D40" s="21"/>
      <c r="E40" s="190" t="s">
        <v>617</v>
      </c>
      <c r="F40" s="20"/>
      <c r="G40" s="62" t="s">
        <v>74</v>
      </c>
      <c r="H40" s="21"/>
      <c r="I40" s="190" t="s">
        <v>618</v>
      </c>
      <c r="J40" s="37"/>
      <c r="K40" s="34" t="s">
        <v>625</v>
      </c>
      <c r="L40" s="28">
        <f>IFERROR(__xludf.DUMMYFUNCTION("""COMPUTED_VALUE"""),70.0)</f>
        <v>70</v>
      </c>
      <c r="M40" s="28"/>
      <c r="N40" s="37"/>
      <c r="O40" s="92" t="s">
        <v>67</v>
      </c>
      <c r="P40" s="92" t="s">
        <v>68</v>
      </c>
      <c r="Q40" s="92" t="s">
        <v>69</v>
      </c>
      <c r="R40" s="171">
        <v>46062.0</v>
      </c>
      <c r="S40" s="34" t="s">
        <v>67</v>
      </c>
      <c r="T40" s="28" t="s">
        <v>68</v>
      </c>
      <c r="U40" s="28" t="s">
        <v>69</v>
      </c>
      <c r="V40" s="45" t="s">
        <v>76</v>
      </c>
      <c r="W40" s="185"/>
      <c r="X40" s="178"/>
      <c r="Y40" s="47"/>
    </row>
    <row r="41">
      <c r="A41" s="28">
        <f t="shared" si="1"/>
        <v>39</v>
      </c>
      <c r="B41" s="20"/>
      <c r="C41" s="20"/>
      <c r="D41" s="59" t="s">
        <v>626</v>
      </c>
      <c r="E41" s="190" t="s">
        <v>627</v>
      </c>
      <c r="F41" s="20"/>
      <c r="G41" s="20"/>
      <c r="H41" s="59" t="s">
        <v>628</v>
      </c>
      <c r="I41" s="190" t="s">
        <v>640</v>
      </c>
      <c r="J41" s="37"/>
      <c r="K41" s="34" t="s">
        <v>625</v>
      </c>
      <c r="L41" s="28">
        <f>IFERROR(__xludf.DUMMYFUNCTION("""COMPUTED_VALUE"""),70.0)</f>
        <v>70</v>
      </c>
      <c r="M41" s="28"/>
      <c r="N41" s="37"/>
      <c r="O41" s="179"/>
      <c r="P41" s="179"/>
      <c r="Q41" s="179"/>
      <c r="R41" s="180"/>
      <c r="S41" s="34" t="s">
        <v>67</v>
      </c>
      <c r="T41" s="28" t="s">
        <v>68</v>
      </c>
      <c r="U41" s="28" t="s">
        <v>69</v>
      </c>
      <c r="V41" s="45" t="s">
        <v>76</v>
      </c>
      <c r="W41" s="185"/>
      <c r="X41" s="178"/>
      <c r="Y41" s="47"/>
    </row>
    <row r="42">
      <c r="A42" s="28">
        <f t="shared" si="1"/>
        <v>40</v>
      </c>
      <c r="B42" s="21"/>
      <c r="C42" s="21"/>
      <c r="D42" s="21"/>
      <c r="E42" s="190" t="s">
        <v>641</v>
      </c>
      <c r="F42" s="21"/>
      <c r="G42" s="21"/>
      <c r="H42" s="21"/>
      <c r="I42" s="190" t="s">
        <v>642</v>
      </c>
      <c r="J42" s="37" t="s">
        <v>645</v>
      </c>
      <c r="K42" s="34" t="s">
        <v>625</v>
      </c>
      <c r="L42" s="28">
        <f>IFERROR(__xludf.DUMMYFUNCTION("""COMPUTED_VALUE"""),70.0)</f>
        <v>70</v>
      </c>
      <c r="M42" s="28"/>
      <c r="N42" s="37" t="e">
        <v>#VALUE!</v>
      </c>
      <c r="O42" s="179"/>
      <c r="P42" s="179"/>
      <c r="Q42" s="179"/>
      <c r="R42" s="180"/>
      <c r="S42" s="34" t="s">
        <v>67</v>
      </c>
      <c r="T42" s="28" t="s">
        <v>68</v>
      </c>
      <c r="U42" s="28" t="s">
        <v>69</v>
      </c>
      <c r="V42" s="45" t="s">
        <v>76</v>
      </c>
      <c r="W42" s="185"/>
      <c r="X42" s="178"/>
      <c r="Y42" s="47"/>
    </row>
    <row r="43">
      <c r="A43" s="28">
        <f t="shared" si="1"/>
        <v>41</v>
      </c>
      <c r="B43" s="182">
        <v>80.0</v>
      </c>
      <c r="C43" s="91" t="s">
        <v>630</v>
      </c>
      <c r="D43" s="29" t="s">
        <v>620</v>
      </c>
      <c r="E43" s="183" t="s">
        <v>631</v>
      </c>
      <c r="F43" s="182">
        <v>80.0</v>
      </c>
      <c r="G43" s="91" t="s">
        <v>632</v>
      </c>
      <c r="H43" s="29" t="s">
        <v>623</v>
      </c>
      <c r="I43" s="183" t="s">
        <v>633</v>
      </c>
      <c r="J43" s="31" t="str">
        <f>'参照_各種特典'!D27</f>
        <v>Mystic Matrimony◆Collection Bonus</v>
      </c>
      <c r="K43" s="34" t="s">
        <v>625</v>
      </c>
      <c r="L43" s="28">
        <f>IFERROR(__xludf.DUMMYFUNCTION("""COMPUTED_VALUE"""),80.0)</f>
        <v>80</v>
      </c>
      <c r="M43" s="34">
        <v>4.0</v>
      </c>
      <c r="N43" s="37" t="s">
        <v>634</v>
      </c>
      <c r="O43" s="92" t="s">
        <v>67</v>
      </c>
      <c r="P43" s="92" t="s">
        <v>68</v>
      </c>
      <c r="Q43" s="92" t="s">
        <v>69</v>
      </c>
      <c r="R43" s="171">
        <v>46062.0</v>
      </c>
      <c r="S43" s="36"/>
      <c r="T43" s="36"/>
      <c r="U43" s="36"/>
      <c r="V43" s="36"/>
      <c r="W43" s="185"/>
      <c r="X43" s="178"/>
      <c r="Y43" s="47"/>
    </row>
    <row r="44">
      <c r="A44" s="28">
        <f t="shared" si="1"/>
        <v>42</v>
      </c>
      <c r="B44" s="20"/>
      <c r="C44" s="20"/>
      <c r="D44" s="20"/>
      <c r="E44" s="183" t="s">
        <v>621</v>
      </c>
      <c r="F44" s="20"/>
      <c r="G44" s="20"/>
      <c r="H44" s="20"/>
      <c r="I44" s="187" t="s">
        <v>635</v>
      </c>
      <c r="J44" s="31" t="str">
        <f>'参照_各種特典'!F27</f>
        <v>500 Gold</v>
      </c>
      <c r="K44" s="34" t="s">
        <v>625</v>
      </c>
      <c r="L44" s="28">
        <f>IFERROR(__xludf.DUMMYFUNCTION("""COMPUTED_VALUE"""),80.0)</f>
        <v>80</v>
      </c>
      <c r="M44" s="34">
        <v>11.0</v>
      </c>
      <c r="N44" s="37" t="s">
        <v>644</v>
      </c>
      <c r="O44" s="92" t="s">
        <v>67</v>
      </c>
      <c r="P44" s="92" t="s">
        <v>68</v>
      </c>
      <c r="Q44" s="92" t="s">
        <v>69</v>
      </c>
      <c r="R44" s="171">
        <v>46062.0</v>
      </c>
      <c r="S44" s="36"/>
      <c r="T44" s="36"/>
      <c r="U44" s="36"/>
      <c r="V44" s="36"/>
      <c r="W44" s="185"/>
      <c r="X44" s="178"/>
      <c r="Y44" s="47"/>
    </row>
    <row r="45">
      <c r="A45" s="28">
        <f t="shared" si="1"/>
        <v>43</v>
      </c>
      <c r="B45" s="20"/>
      <c r="C45" s="21"/>
      <c r="D45" s="20"/>
      <c r="E45" s="187" t="s">
        <v>637</v>
      </c>
      <c r="F45" s="20"/>
      <c r="G45" s="21"/>
      <c r="H45" s="20"/>
      <c r="I45" s="187" t="s">
        <v>292</v>
      </c>
      <c r="J45" s="31">
        <f>'参照_各種特典'!H27</f>
        <v>1</v>
      </c>
      <c r="K45" s="34" t="s">
        <v>625</v>
      </c>
      <c r="L45" s="28">
        <f>IFERROR(__xludf.DUMMYFUNCTION("""COMPUTED_VALUE"""),80.0)</f>
        <v>80</v>
      </c>
      <c r="M45" s="34">
        <v>7.0</v>
      </c>
      <c r="N45" s="37" t="s">
        <v>639</v>
      </c>
      <c r="O45" s="92" t="s">
        <v>67</v>
      </c>
      <c r="P45" s="92" t="s">
        <v>68</v>
      </c>
      <c r="Q45" s="92" t="s">
        <v>69</v>
      </c>
      <c r="R45" s="171">
        <v>46062.0</v>
      </c>
      <c r="S45" s="36"/>
      <c r="T45" s="36"/>
      <c r="U45" s="36"/>
      <c r="V45" s="36"/>
      <c r="W45" s="185"/>
      <c r="X45" s="178"/>
      <c r="Y45" s="47"/>
    </row>
    <row r="46">
      <c r="A46" s="28">
        <f t="shared" si="1"/>
        <v>44</v>
      </c>
      <c r="B46" s="20"/>
      <c r="C46" s="62" t="s">
        <v>72</v>
      </c>
      <c r="D46" s="21"/>
      <c r="E46" s="187" t="s">
        <v>617</v>
      </c>
      <c r="F46" s="20"/>
      <c r="G46" s="62" t="s">
        <v>74</v>
      </c>
      <c r="H46" s="21"/>
      <c r="I46" s="187" t="s">
        <v>618</v>
      </c>
      <c r="J46" s="31"/>
      <c r="K46" s="34" t="s">
        <v>625</v>
      </c>
      <c r="L46" s="28">
        <f>IFERROR(__xludf.DUMMYFUNCTION("""COMPUTED_VALUE"""),80.0)</f>
        <v>80</v>
      </c>
      <c r="M46" s="28"/>
      <c r="N46" s="37"/>
      <c r="O46" s="92" t="s">
        <v>67</v>
      </c>
      <c r="P46" s="92" t="s">
        <v>68</v>
      </c>
      <c r="Q46" s="92" t="s">
        <v>69</v>
      </c>
      <c r="R46" s="171">
        <v>46062.0</v>
      </c>
      <c r="S46" s="34" t="s">
        <v>67</v>
      </c>
      <c r="T46" s="28" t="s">
        <v>68</v>
      </c>
      <c r="U46" s="28" t="s">
        <v>69</v>
      </c>
      <c r="V46" s="45" t="s">
        <v>76</v>
      </c>
      <c r="W46" s="185"/>
      <c r="X46" s="178"/>
      <c r="Y46" s="47"/>
    </row>
    <row r="47">
      <c r="A47" s="28">
        <f t="shared" si="1"/>
        <v>45</v>
      </c>
      <c r="B47" s="20"/>
      <c r="C47" s="20"/>
      <c r="D47" s="29" t="s">
        <v>626</v>
      </c>
      <c r="E47" s="187" t="s">
        <v>627</v>
      </c>
      <c r="F47" s="20"/>
      <c r="G47" s="20"/>
      <c r="H47" s="29" t="s">
        <v>628</v>
      </c>
      <c r="I47" s="187" t="s">
        <v>640</v>
      </c>
      <c r="J47" s="31"/>
      <c r="K47" s="34" t="s">
        <v>625</v>
      </c>
      <c r="L47" s="28">
        <f>IFERROR(__xludf.DUMMYFUNCTION("""COMPUTED_VALUE"""),80.0)</f>
        <v>80</v>
      </c>
      <c r="M47" s="28"/>
      <c r="N47" s="37"/>
      <c r="O47" s="179"/>
      <c r="P47" s="179"/>
      <c r="Q47" s="179"/>
      <c r="R47" s="180"/>
      <c r="S47" s="34" t="s">
        <v>67</v>
      </c>
      <c r="T47" s="28" t="s">
        <v>68</v>
      </c>
      <c r="U47" s="28" t="s">
        <v>69</v>
      </c>
      <c r="V47" s="45" t="s">
        <v>76</v>
      </c>
      <c r="W47" s="185"/>
      <c r="X47" s="178"/>
      <c r="Y47" s="47"/>
    </row>
    <row r="48">
      <c r="A48" s="28">
        <f t="shared" si="1"/>
        <v>46</v>
      </c>
      <c r="B48" s="21"/>
      <c r="C48" s="21"/>
      <c r="D48" s="21"/>
      <c r="E48" s="187" t="s">
        <v>641</v>
      </c>
      <c r="F48" s="21"/>
      <c r="G48" s="21"/>
      <c r="H48" s="21"/>
      <c r="I48" s="187" t="s">
        <v>642</v>
      </c>
      <c r="J48" s="31" t="s">
        <v>645</v>
      </c>
      <c r="K48" s="34" t="s">
        <v>625</v>
      </c>
      <c r="L48" s="28">
        <f>IFERROR(__xludf.DUMMYFUNCTION("""COMPUTED_VALUE"""),80.0)</f>
        <v>80</v>
      </c>
      <c r="M48" s="28"/>
      <c r="N48" s="37" t="e">
        <v>#VALUE!</v>
      </c>
      <c r="O48" s="179"/>
      <c r="P48" s="179"/>
      <c r="Q48" s="179"/>
      <c r="R48" s="180"/>
      <c r="S48" s="34" t="s">
        <v>67</v>
      </c>
      <c r="T48" s="28" t="s">
        <v>68</v>
      </c>
      <c r="U48" s="28" t="s">
        <v>69</v>
      </c>
      <c r="V48" s="45" t="s">
        <v>76</v>
      </c>
      <c r="W48" s="185"/>
      <c r="X48" s="178"/>
      <c r="Y48" s="47"/>
    </row>
    <row r="49">
      <c r="A49" s="28">
        <f t="shared" si="1"/>
        <v>47</v>
      </c>
      <c r="B49" s="173">
        <v>90.0</v>
      </c>
      <c r="C49" s="91" t="s">
        <v>630</v>
      </c>
      <c r="D49" s="59" t="s">
        <v>620</v>
      </c>
      <c r="E49" s="189" t="s">
        <v>631</v>
      </c>
      <c r="F49" s="173">
        <v>90.0</v>
      </c>
      <c r="G49" s="91" t="s">
        <v>632</v>
      </c>
      <c r="H49" s="59" t="s">
        <v>623</v>
      </c>
      <c r="I49" s="189" t="s">
        <v>633</v>
      </c>
      <c r="J49" s="37" t="str">
        <f>'参照_各種特典'!D28</f>
        <v>Mystic Matrimony◆Collection Bonus</v>
      </c>
      <c r="K49" s="34" t="s">
        <v>625</v>
      </c>
      <c r="L49" s="28">
        <f>IFERROR(__xludf.DUMMYFUNCTION("""COMPUTED_VALUE"""),90.0)</f>
        <v>90</v>
      </c>
      <c r="M49" s="34">
        <v>4.0</v>
      </c>
      <c r="N49" s="37" t="s">
        <v>634</v>
      </c>
      <c r="O49" s="92" t="s">
        <v>67</v>
      </c>
      <c r="P49" s="92" t="s">
        <v>68</v>
      </c>
      <c r="Q49" s="92" t="s">
        <v>69</v>
      </c>
      <c r="R49" s="171">
        <v>46062.0</v>
      </c>
      <c r="S49" s="36"/>
      <c r="T49" s="36"/>
      <c r="U49" s="36"/>
      <c r="V49" s="36"/>
      <c r="W49" s="185"/>
      <c r="X49" s="178"/>
      <c r="Y49" s="47"/>
    </row>
    <row r="50">
      <c r="A50" s="28">
        <f t="shared" si="1"/>
        <v>48</v>
      </c>
      <c r="B50" s="20"/>
      <c r="C50" s="20"/>
      <c r="D50" s="20"/>
      <c r="E50" s="189" t="s">
        <v>621</v>
      </c>
      <c r="F50" s="20"/>
      <c r="G50" s="20"/>
      <c r="H50" s="20"/>
      <c r="I50" s="190" t="s">
        <v>635</v>
      </c>
      <c r="J50" s="37" t="str">
        <f>'参照_各種特典'!F28</f>
        <v>Shaved Ice (+50 Stamina)</v>
      </c>
      <c r="K50" s="34" t="s">
        <v>625</v>
      </c>
      <c r="L50" s="28">
        <f>IFERROR(__xludf.DUMMYFUNCTION("""COMPUTED_VALUE"""),90.0)</f>
        <v>90</v>
      </c>
      <c r="M50" s="34">
        <v>11.0</v>
      </c>
      <c r="N50" s="37" t="s">
        <v>636</v>
      </c>
      <c r="O50" s="92" t="s">
        <v>67</v>
      </c>
      <c r="P50" s="92" t="s">
        <v>68</v>
      </c>
      <c r="Q50" s="92" t="s">
        <v>69</v>
      </c>
      <c r="R50" s="171">
        <v>46062.0</v>
      </c>
      <c r="S50" s="36"/>
      <c r="T50" s="36"/>
      <c r="U50" s="36"/>
      <c r="V50" s="36"/>
      <c r="W50" s="185"/>
      <c r="X50" s="176"/>
      <c r="Y50" s="40"/>
    </row>
    <row r="51">
      <c r="A51" s="28">
        <f t="shared" si="1"/>
        <v>49</v>
      </c>
      <c r="B51" s="20"/>
      <c r="C51" s="21"/>
      <c r="D51" s="20"/>
      <c r="E51" s="190" t="s">
        <v>637</v>
      </c>
      <c r="F51" s="20"/>
      <c r="G51" s="21"/>
      <c r="H51" s="20"/>
      <c r="I51" s="190" t="s">
        <v>292</v>
      </c>
      <c r="J51" s="37">
        <f>'参照_各種特典'!H28</f>
        <v>1</v>
      </c>
      <c r="K51" s="34" t="s">
        <v>625</v>
      </c>
      <c r="L51" s="28">
        <f>IFERROR(__xludf.DUMMYFUNCTION("""COMPUTED_VALUE"""),90.0)</f>
        <v>90</v>
      </c>
      <c r="M51" s="34">
        <v>7.0</v>
      </c>
      <c r="N51" s="37" t="s">
        <v>639</v>
      </c>
      <c r="O51" s="92" t="s">
        <v>67</v>
      </c>
      <c r="P51" s="92" t="s">
        <v>68</v>
      </c>
      <c r="Q51" s="92" t="s">
        <v>69</v>
      </c>
      <c r="R51" s="171">
        <v>46062.0</v>
      </c>
      <c r="S51" s="36"/>
      <c r="T51" s="36"/>
      <c r="U51" s="36"/>
      <c r="V51" s="36"/>
      <c r="W51" s="185"/>
      <c r="X51" s="176"/>
      <c r="Y51" s="40"/>
    </row>
    <row r="52">
      <c r="A52" s="28">
        <f t="shared" si="1"/>
        <v>50</v>
      </c>
      <c r="B52" s="20"/>
      <c r="C52" s="62" t="s">
        <v>72</v>
      </c>
      <c r="D52" s="21"/>
      <c r="E52" s="190" t="s">
        <v>617</v>
      </c>
      <c r="F52" s="20"/>
      <c r="G52" s="62" t="s">
        <v>74</v>
      </c>
      <c r="H52" s="21"/>
      <c r="I52" s="190" t="s">
        <v>618</v>
      </c>
      <c r="J52" s="37"/>
      <c r="K52" s="34" t="s">
        <v>625</v>
      </c>
      <c r="L52" s="28">
        <f>IFERROR(__xludf.DUMMYFUNCTION("""COMPUTED_VALUE"""),90.0)</f>
        <v>90</v>
      </c>
      <c r="M52" s="28"/>
      <c r="N52" s="37"/>
      <c r="O52" s="92" t="s">
        <v>67</v>
      </c>
      <c r="P52" s="92" t="s">
        <v>68</v>
      </c>
      <c r="Q52" s="92" t="s">
        <v>69</v>
      </c>
      <c r="R52" s="171">
        <v>46062.0</v>
      </c>
      <c r="S52" s="34" t="s">
        <v>67</v>
      </c>
      <c r="T52" s="28" t="s">
        <v>68</v>
      </c>
      <c r="U52" s="28" t="s">
        <v>69</v>
      </c>
      <c r="V52" s="45" t="s">
        <v>76</v>
      </c>
      <c r="W52" s="185"/>
      <c r="X52" s="176"/>
      <c r="Y52" s="40"/>
    </row>
    <row r="53">
      <c r="A53" s="28">
        <f t="shared" si="1"/>
        <v>51</v>
      </c>
      <c r="B53" s="20"/>
      <c r="C53" s="20"/>
      <c r="D53" s="59" t="s">
        <v>626</v>
      </c>
      <c r="E53" s="190" t="s">
        <v>627</v>
      </c>
      <c r="F53" s="20"/>
      <c r="G53" s="20"/>
      <c r="H53" s="59" t="s">
        <v>628</v>
      </c>
      <c r="I53" s="190" t="s">
        <v>640</v>
      </c>
      <c r="J53" s="37"/>
      <c r="K53" s="34" t="s">
        <v>625</v>
      </c>
      <c r="L53" s="28">
        <f>IFERROR(__xludf.DUMMYFUNCTION("""COMPUTED_VALUE"""),90.0)</f>
        <v>90</v>
      </c>
      <c r="M53" s="28"/>
      <c r="N53" s="37"/>
      <c r="O53" s="179"/>
      <c r="P53" s="179"/>
      <c r="Q53" s="179"/>
      <c r="R53" s="180"/>
      <c r="S53" s="34" t="s">
        <v>67</v>
      </c>
      <c r="T53" s="28" t="s">
        <v>68</v>
      </c>
      <c r="U53" s="28" t="s">
        <v>69</v>
      </c>
      <c r="V53" s="45" t="s">
        <v>76</v>
      </c>
      <c r="W53" s="185"/>
      <c r="X53" s="176"/>
      <c r="Y53" s="40"/>
    </row>
    <row r="54">
      <c r="A54" s="28">
        <f t="shared" si="1"/>
        <v>52</v>
      </c>
      <c r="B54" s="21"/>
      <c r="C54" s="21"/>
      <c r="D54" s="21"/>
      <c r="E54" s="190" t="s">
        <v>641</v>
      </c>
      <c r="F54" s="21"/>
      <c r="G54" s="21"/>
      <c r="H54" s="21"/>
      <c r="I54" s="190" t="s">
        <v>642</v>
      </c>
      <c r="J54" s="37" t="s">
        <v>645</v>
      </c>
      <c r="K54" s="34" t="s">
        <v>625</v>
      </c>
      <c r="L54" s="28">
        <f>IFERROR(__xludf.DUMMYFUNCTION("""COMPUTED_VALUE"""),90.0)</f>
        <v>90</v>
      </c>
      <c r="M54" s="28"/>
      <c r="N54" s="37" t="e">
        <v>#VALUE!</v>
      </c>
      <c r="O54" s="179"/>
      <c r="P54" s="179"/>
      <c r="Q54" s="179"/>
      <c r="R54" s="180"/>
      <c r="S54" s="34" t="s">
        <v>67</v>
      </c>
      <c r="T54" s="28" t="s">
        <v>68</v>
      </c>
      <c r="U54" s="28" t="s">
        <v>69</v>
      </c>
      <c r="V54" s="45" t="s">
        <v>76</v>
      </c>
      <c r="W54" s="185"/>
      <c r="X54" s="176"/>
      <c r="Y54" s="40"/>
    </row>
    <row r="55">
      <c r="A55" s="28">
        <f t="shared" si="1"/>
        <v>53</v>
      </c>
      <c r="B55" s="182">
        <v>100.0</v>
      </c>
      <c r="C55" s="96" t="s">
        <v>630</v>
      </c>
      <c r="D55" s="29" t="s">
        <v>620</v>
      </c>
      <c r="E55" s="183" t="s">
        <v>621</v>
      </c>
      <c r="F55" s="182">
        <v>100.0</v>
      </c>
      <c r="G55" s="96" t="s">
        <v>632</v>
      </c>
      <c r="H55" s="29" t="s">
        <v>623</v>
      </c>
      <c r="I55" s="187" t="s">
        <v>635</v>
      </c>
      <c r="J55" s="31" t="str">
        <f>'参照_各種特典'!F29</f>
        <v>Mystic Matrimony Bonus Story ～Yoshimoto～</v>
      </c>
      <c r="K55" s="34" t="s">
        <v>625</v>
      </c>
      <c r="L55" s="28">
        <f>IFERROR(__xludf.DUMMYFUNCTION("""COMPUTED_VALUE"""),100.0)</f>
        <v>100</v>
      </c>
      <c r="M55" s="34">
        <v>11.0</v>
      </c>
      <c r="N55" s="37" t="s">
        <v>648</v>
      </c>
      <c r="O55" s="92" t="s">
        <v>67</v>
      </c>
      <c r="P55" s="92" t="s">
        <v>68</v>
      </c>
      <c r="Q55" s="92" t="s">
        <v>69</v>
      </c>
      <c r="R55" s="171">
        <v>46062.0</v>
      </c>
      <c r="S55" s="36"/>
      <c r="T55" s="36"/>
      <c r="U55" s="36"/>
      <c r="V55" s="36"/>
      <c r="W55" s="185"/>
      <c r="X55" s="176"/>
      <c r="Y55" s="40"/>
    </row>
    <row r="56">
      <c r="A56" s="28">
        <f t="shared" si="1"/>
        <v>54</v>
      </c>
      <c r="B56" s="20"/>
      <c r="C56" s="62" t="s">
        <v>72</v>
      </c>
      <c r="D56" s="21"/>
      <c r="E56" s="187" t="s">
        <v>617</v>
      </c>
      <c r="F56" s="20"/>
      <c r="G56" s="62" t="s">
        <v>74</v>
      </c>
      <c r="H56" s="21"/>
      <c r="I56" s="187" t="s">
        <v>618</v>
      </c>
      <c r="J56" s="31"/>
      <c r="K56" s="34" t="s">
        <v>625</v>
      </c>
      <c r="L56" s="28">
        <f>IFERROR(__xludf.DUMMYFUNCTION("""COMPUTED_VALUE"""),100.0)</f>
        <v>100</v>
      </c>
      <c r="M56" s="28"/>
      <c r="N56" s="37"/>
      <c r="O56" s="92" t="s">
        <v>67</v>
      </c>
      <c r="P56" s="92" t="s">
        <v>68</v>
      </c>
      <c r="Q56" s="92" t="s">
        <v>69</v>
      </c>
      <c r="R56" s="171">
        <v>46062.0</v>
      </c>
      <c r="S56" s="34" t="s">
        <v>67</v>
      </c>
      <c r="T56" s="28" t="s">
        <v>68</v>
      </c>
      <c r="U56" s="28" t="s">
        <v>69</v>
      </c>
      <c r="V56" s="45" t="s">
        <v>76</v>
      </c>
      <c r="W56" s="185"/>
      <c r="X56" s="178"/>
      <c r="Y56" s="47"/>
    </row>
    <row r="57">
      <c r="A57" s="28">
        <f t="shared" si="1"/>
        <v>55</v>
      </c>
      <c r="B57" s="21"/>
      <c r="C57" s="21"/>
      <c r="D57" s="31" t="s">
        <v>626</v>
      </c>
      <c r="E57" s="187" t="s">
        <v>627</v>
      </c>
      <c r="F57" s="21"/>
      <c r="G57" s="21"/>
      <c r="H57" s="31" t="s">
        <v>628</v>
      </c>
      <c r="I57" s="187" t="s">
        <v>640</v>
      </c>
      <c r="J57" s="31" t="s">
        <v>645</v>
      </c>
      <c r="K57" s="34" t="s">
        <v>625</v>
      </c>
      <c r="L57" s="28">
        <f>IFERROR(__xludf.DUMMYFUNCTION("""COMPUTED_VALUE"""),100.0)</f>
        <v>100</v>
      </c>
      <c r="M57" s="28"/>
      <c r="N57" s="37" t="e">
        <v>#VALUE!</v>
      </c>
      <c r="O57" s="179"/>
      <c r="P57" s="179"/>
      <c r="Q57" s="179"/>
      <c r="R57" s="180"/>
      <c r="S57" s="34" t="s">
        <v>67</v>
      </c>
      <c r="T57" s="28" t="s">
        <v>68</v>
      </c>
      <c r="U57" s="28" t="s">
        <v>69</v>
      </c>
      <c r="V57" s="45" t="s">
        <v>76</v>
      </c>
      <c r="W57" s="185"/>
      <c r="X57" s="178"/>
      <c r="Y57" s="47"/>
    </row>
    <row r="58">
      <c r="A58" s="28">
        <f t="shared" si="1"/>
        <v>56</v>
      </c>
      <c r="B58" s="173">
        <v>110.0</v>
      </c>
      <c r="C58" s="91" t="s">
        <v>630</v>
      </c>
      <c r="D58" s="59" t="s">
        <v>620</v>
      </c>
      <c r="E58" s="189" t="s">
        <v>631</v>
      </c>
      <c r="F58" s="173">
        <v>110.0</v>
      </c>
      <c r="G58" s="91" t="s">
        <v>632</v>
      </c>
      <c r="H58" s="59" t="s">
        <v>623</v>
      </c>
      <c r="I58" s="189" t="s">
        <v>633</v>
      </c>
      <c r="J58" s="37" t="str">
        <f>'参照_各種特典'!D30</f>
        <v>Mystic Matrimony◆Collection Bonus</v>
      </c>
      <c r="K58" s="34" t="s">
        <v>625</v>
      </c>
      <c r="L58" s="28">
        <f>IFERROR(__xludf.DUMMYFUNCTION("""COMPUTED_VALUE"""),110.0)</f>
        <v>110</v>
      </c>
      <c r="M58" s="34">
        <v>4.0</v>
      </c>
      <c r="N58" s="37" t="s">
        <v>634</v>
      </c>
      <c r="O58" s="92" t="s">
        <v>67</v>
      </c>
      <c r="P58" s="92" t="s">
        <v>68</v>
      </c>
      <c r="Q58" s="92" t="s">
        <v>69</v>
      </c>
      <c r="R58" s="171">
        <v>46062.0</v>
      </c>
      <c r="S58" s="36"/>
      <c r="T58" s="36"/>
      <c r="U58" s="36"/>
      <c r="V58" s="36"/>
      <c r="W58" s="185"/>
      <c r="X58" s="178"/>
      <c r="Y58" s="47"/>
    </row>
    <row r="59">
      <c r="A59" s="28"/>
      <c r="B59" s="20"/>
      <c r="C59" s="20"/>
      <c r="D59" s="20"/>
      <c r="E59" s="189" t="s">
        <v>621</v>
      </c>
      <c r="F59" s="20"/>
      <c r="G59" s="20"/>
      <c r="H59" s="20"/>
      <c r="I59" s="190" t="s">
        <v>635</v>
      </c>
      <c r="J59" s="37" t="str">
        <f>'参照_各種特典'!F30</f>
        <v>Makeup (+100 Glamour)</v>
      </c>
      <c r="K59" s="34" t="s">
        <v>625</v>
      </c>
      <c r="L59" s="28">
        <f>IFERROR(__xludf.DUMMYFUNCTION("""COMPUTED_VALUE"""),110.0)</f>
        <v>110</v>
      </c>
      <c r="M59" s="34">
        <v>11.0</v>
      </c>
      <c r="N59" s="37" t="s">
        <v>649</v>
      </c>
      <c r="O59" s="92" t="s">
        <v>67</v>
      </c>
      <c r="P59" s="92" t="s">
        <v>68</v>
      </c>
      <c r="Q59" s="92" t="s">
        <v>69</v>
      </c>
      <c r="R59" s="171">
        <v>46062.0</v>
      </c>
      <c r="S59" s="36"/>
      <c r="T59" s="36"/>
      <c r="U59" s="36"/>
      <c r="V59" s="36"/>
      <c r="W59" s="185"/>
      <c r="X59" s="178"/>
      <c r="Y59" s="47"/>
    </row>
    <row r="60">
      <c r="A60" s="28"/>
      <c r="B60" s="20"/>
      <c r="C60" s="21"/>
      <c r="D60" s="20"/>
      <c r="E60" s="190" t="s">
        <v>637</v>
      </c>
      <c r="F60" s="20"/>
      <c r="G60" s="21"/>
      <c r="H60" s="20"/>
      <c r="I60" s="190" t="s">
        <v>292</v>
      </c>
      <c r="J60" s="37">
        <f>'参照_各種特典'!H30</f>
        <v>1</v>
      </c>
      <c r="K60" s="34" t="s">
        <v>625</v>
      </c>
      <c r="L60" s="28">
        <f>IFERROR(__xludf.DUMMYFUNCTION("""COMPUTED_VALUE"""),110.0)</f>
        <v>110</v>
      </c>
      <c r="M60" s="34">
        <v>7.0</v>
      </c>
      <c r="N60" s="37" t="s">
        <v>639</v>
      </c>
      <c r="O60" s="92" t="s">
        <v>67</v>
      </c>
      <c r="P60" s="92" t="s">
        <v>68</v>
      </c>
      <c r="Q60" s="92" t="s">
        <v>69</v>
      </c>
      <c r="R60" s="171">
        <v>46062.0</v>
      </c>
      <c r="S60" s="36"/>
      <c r="T60" s="36"/>
      <c r="U60" s="36"/>
      <c r="V60" s="36"/>
      <c r="W60" s="185"/>
      <c r="X60" s="178"/>
      <c r="Y60" s="47"/>
    </row>
    <row r="61">
      <c r="A61" s="28">
        <f>ROW()-2</f>
        <v>59</v>
      </c>
      <c r="B61" s="20"/>
      <c r="C61" s="62" t="s">
        <v>72</v>
      </c>
      <c r="D61" s="21"/>
      <c r="E61" s="190" t="s">
        <v>617</v>
      </c>
      <c r="F61" s="20"/>
      <c r="G61" s="62" t="s">
        <v>74</v>
      </c>
      <c r="H61" s="21"/>
      <c r="I61" s="190" t="s">
        <v>618</v>
      </c>
      <c r="J61" s="37"/>
      <c r="K61" s="34" t="s">
        <v>625</v>
      </c>
      <c r="L61" s="28">
        <f>IFERROR(__xludf.DUMMYFUNCTION("""COMPUTED_VALUE"""),110.0)</f>
        <v>110</v>
      </c>
      <c r="M61" s="28"/>
      <c r="N61" s="37"/>
      <c r="O61" s="92" t="s">
        <v>67</v>
      </c>
      <c r="P61" s="92" t="s">
        <v>68</v>
      </c>
      <c r="Q61" s="92" t="s">
        <v>69</v>
      </c>
      <c r="R61" s="171">
        <v>46062.0</v>
      </c>
      <c r="S61" s="34" t="s">
        <v>67</v>
      </c>
      <c r="T61" s="28" t="s">
        <v>68</v>
      </c>
      <c r="U61" s="28" t="s">
        <v>69</v>
      </c>
      <c r="V61" s="45" t="s">
        <v>76</v>
      </c>
      <c r="W61" s="185"/>
      <c r="X61" s="178"/>
      <c r="Y61" s="47"/>
    </row>
    <row r="62">
      <c r="A62" s="28"/>
      <c r="B62" s="20"/>
      <c r="C62" s="20"/>
      <c r="D62" s="59" t="s">
        <v>626</v>
      </c>
      <c r="E62" s="190" t="s">
        <v>627</v>
      </c>
      <c r="F62" s="20"/>
      <c r="G62" s="20"/>
      <c r="H62" s="59" t="s">
        <v>628</v>
      </c>
      <c r="I62" s="190" t="s">
        <v>640</v>
      </c>
      <c r="J62" s="37"/>
      <c r="K62" s="34" t="s">
        <v>625</v>
      </c>
      <c r="L62" s="28">
        <f>IFERROR(__xludf.DUMMYFUNCTION("""COMPUTED_VALUE"""),110.0)</f>
        <v>110</v>
      </c>
      <c r="M62" s="28"/>
      <c r="N62" s="37"/>
      <c r="O62" s="179"/>
      <c r="P62" s="179"/>
      <c r="Q62" s="179"/>
      <c r="R62" s="180"/>
      <c r="S62" s="34" t="s">
        <v>67</v>
      </c>
      <c r="T62" s="28" t="s">
        <v>68</v>
      </c>
      <c r="U62" s="28" t="s">
        <v>69</v>
      </c>
      <c r="V62" s="45" t="s">
        <v>76</v>
      </c>
      <c r="W62" s="185"/>
      <c r="X62" s="178"/>
      <c r="Y62" s="47"/>
    </row>
    <row r="63">
      <c r="A63" s="28">
        <f t="shared" ref="A63:A69" si="2">ROW()-2</f>
        <v>61</v>
      </c>
      <c r="B63" s="21"/>
      <c r="C63" s="21"/>
      <c r="D63" s="21"/>
      <c r="E63" s="190" t="s">
        <v>641</v>
      </c>
      <c r="F63" s="21"/>
      <c r="G63" s="21"/>
      <c r="H63" s="21"/>
      <c r="I63" s="190" t="s">
        <v>642</v>
      </c>
      <c r="J63" s="37" t="s">
        <v>645</v>
      </c>
      <c r="K63" s="34" t="s">
        <v>625</v>
      </c>
      <c r="L63" s="28">
        <f>IFERROR(__xludf.DUMMYFUNCTION("""COMPUTED_VALUE"""),110.0)</f>
        <v>110</v>
      </c>
      <c r="M63" s="28"/>
      <c r="N63" s="37" t="e">
        <v>#VALUE!</v>
      </c>
      <c r="O63" s="179"/>
      <c r="P63" s="179"/>
      <c r="Q63" s="179"/>
      <c r="R63" s="180"/>
      <c r="S63" s="34" t="s">
        <v>67</v>
      </c>
      <c r="T63" s="28" t="s">
        <v>68</v>
      </c>
      <c r="U63" s="28" t="s">
        <v>69</v>
      </c>
      <c r="V63" s="45" t="s">
        <v>76</v>
      </c>
      <c r="W63" s="185"/>
      <c r="X63" s="178"/>
      <c r="Y63" s="47"/>
    </row>
    <row r="64">
      <c r="A64" s="28">
        <f t="shared" si="2"/>
        <v>62</v>
      </c>
      <c r="B64" s="182">
        <v>120.0</v>
      </c>
      <c r="C64" s="91" t="s">
        <v>630</v>
      </c>
      <c r="D64" s="29" t="s">
        <v>620</v>
      </c>
      <c r="E64" s="183" t="s">
        <v>631</v>
      </c>
      <c r="F64" s="182">
        <v>120.0</v>
      </c>
      <c r="G64" s="91" t="s">
        <v>632</v>
      </c>
      <c r="H64" s="29" t="s">
        <v>623</v>
      </c>
      <c r="I64" s="183" t="s">
        <v>633</v>
      </c>
      <c r="J64" s="31" t="str">
        <f>'参照_各種特典'!D31</f>
        <v>Mystic Matrimony◆Collection Bonus</v>
      </c>
      <c r="K64" s="34" t="s">
        <v>625</v>
      </c>
      <c r="L64" s="28">
        <f>IFERROR(__xludf.DUMMYFUNCTION("""COMPUTED_VALUE"""),120.0)</f>
        <v>120</v>
      </c>
      <c r="M64" s="34">
        <v>4.0</v>
      </c>
      <c r="N64" s="37" t="s">
        <v>634</v>
      </c>
      <c r="O64" s="92" t="s">
        <v>67</v>
      </c>
      <c r="P64" s="92" t="s">
        <v>68</v>
      </c>
      <c r="Q64" s="92" t="s">
        <v>69</v>
      </c>
      <c r="R64" s="171">
        <v>46062.0</v>
      </c>
      <c r="S64" s="36"/>
      <c r="T64" s="36"/>
      <c r="U64" s="36"/>
      <c r="V64" s="36"/>
      <c r="W64" s="185"/>
      <c r="X64" s="178"/>
      <c r="Y64" s="47"/>
    </row>
    <row r="65">
      <c r="A65" s="28">
        <f t="shared" si="2"/>
        <v>63</v>
      </c>
      <c r="B65" s="20"/>
      <c r="C65" s="20"/>
      <c r="D65" s="20"/>
      <c r="E65" s="183" t="s">
        <v>621</v>
      </c>
      <c r="F65" s="20"/>
      <c r="G65" s="20"/>
      <c r="H65" s="20"/>
      <c r="I65" s="187" t="s">
        <v>635</v>
      </c>
      <c r="J65" s="31" t="str">
        <f>'参照_各種特典'!F31</f>
        <v>Castle Storage</v>
      </c>
      <c r="K65" s="34" t="s">
        <v>625</v>
      </c>
      <c r="L65" s="28">
        <f>IFERROR(__xludf.DUMMYFUNCTION("""COMPUTED_VALUE"""),120.0)</f>
        <v>120</v>
      </c>
      <c r="M65" s="34">
        <v>11.0</v>
      </c>
      <c r="N65" s="37" t="s">
        <v>650</v>
      </c>
      <c r="O65" s="92" t="s">
        <v>67</v>
      </c>
      <c r="P65" s="92" t="s">
        <v>68</v>
      </c>
      <c r="Q65" s="92" t="s">
        <v>69</v>
      </c>
      <c r="R65" s="171">
        <v>46062.0</v>
      </c>
      <c r="S65" s="36"/>
      <c r="T65" s="36"/>
      <c r="U65" s="36"/>
      <c r="V65" s="36"/>
      <c r="W65" s="185"/>
      <c r="X65" s="178"/>
      <c r="Y65" s="47"/>
    </row>
    <row r="66">
      <c r="A66" s="28">
        <f t="shared" si="2"/>
        <v>64</v>
      </c>
      <c r="B66" s="20"/>
      <c r="C66" s="21"/>
      <c r="D66" s="20"/>
      <c r="E66" s="187" t="s">
        <v>637</v>
      </c>
      <c r="F66" s="20"/>
      <c r="G66" s="21"/>
      <c r="H66" s="20"/>
      <c r="I66" s="187" t="s">
        <v>292</v>
      </c>
      <c r="J66" s="31">
        <f>'参照_各種特典'!H31</f>
        <v>1</v>
      </c>
      <c r="K66" s="34" t="s">
        <v>625</v>
      </c>
      <c r="L66" s="28">
        <f>IFERROR(__xludf.DUMMYFUNCTION("""COMPUTED_VALUE"""),120.0)</f>
        <v>120</v>
      </c>
      <c r="M66" s="34">
        <v>7.0</v>
      </c>
      <c r="N66" s="37" t="s">
        <v>639</v>
      </c>
      <c r="O66" s="92" t="s">
        <v>67</v>
      </c>
      <c r="P66" s="92" t="s">
        <v>68</v>
      </c>
      <c r="Q66" s="92" t="s">
        <v>69</v>
      </c>
      <c r="R66" s="171">
        <v>46062.0</v>
      </c>
      <c r="S66" s="36"/>
      <c r="T66" s="36"/>
      <c r="U66" s="36"/>
      <c r="V66" s="36"/>
      <c r="W66" s="185"/>
      <c r="X66" s="178"/>
      <c r="Y66" s="47"/>
    </row>
    <row r="67">
      <c r="A67" s="28">
        <f t="shared" si="2"/>
        <v>65</v>
      </c>
      <c r="B67" s="20"/>
      <c r="C67" s="62" t="s">
        <v>72</v>
      </c>
      <c r="D67" s="21"/>
      <c r="E67" s="187" t="s">
        <v>617</v>
      </c>
      <c r="F67" s="20"/>
      <c r="G67" s="62" t="s">
        <v>74</v>
      </c>
      <c r="H67" s="21"/>
      <c r="I67" s="187" t="s">
        <v>618</v>
      </c>
      <c r="J67" s="31"/>
      <c r="K67" s="34" t="s">
        <v>625</v>
      </c>
      <c r="L67" s="28">
        <f>IFERROR(__xludf.DUMMYFUNCTION("""COMPUTED_VALUE"""),120.0)</f>
        <v>120</v>
      </c>
      <c r="M67" s="28"/>
      <c r="N67" s="37"/>
      <c r="O67" s="92" t="s">
        <v>67</v>
      </c>
      <c r="P67" s="92" t="s">
        <v>68</v>
      </c>
      <c r="Q67" s="92" t="s">
        <v>69</v>
      </c>
      <c r="R67" s="171">
        <v>46062.0</v>
      </c>
      <c r="S67" s="34" t="s">
        <v>67</v>
      </c>
      <c r="T67" s="28" t="s">
        <v>68</v>
      </c>
      <c r="U67" s="28" t="s">
        <v>69</v>
      </c>
      <c r="V67" s="45" t="s">
        <v>76</v>
      </c>
      <c r="W67" s="185"/>
      <c r="X67" s="178"/>
      <c r="Y67" s="47"/>
    </row>
    <row r="68">
      <c r="A68" s="28">
        <f t="shared" si="2"/>
        <v>66</v>
      </c>
      <c r="B68" s="20"/>
      <c r="C68" s="20"/>
      <c r="D68" s="29" t="s">
        <v>626</v>
      </c>
      <c r="E68" s="187" t="s">
        <v>627</v>
      </c>
      <c r="F68" s="20"/>
      <c r="G68" s="20"/>
      <c r="H68" s="29" t="s">
        <v>628</v>
      </c>
      <c r="I68" s="187" t="s">
        <v>640</v>
      </c>
      <c r="J68" s="31"/>
      <c r="K68" s="34" t="s">
        <v>625</v>
      </c>
      <c r="L68" s="28">
        <f>IFERROR(__xludf.DUMMYFUNCTION("""COMPUTED_VALUE"""),120.0)</f>
        <v>120</v>
      </c>
      <c r="M68" s="28"/>
      <c r="N68" s="37"/>
      <c r="O68" s="179"/>
      <c r="P68" s="179"/>
      <c r="Q68" s="179"/>
      <c r="R68" s="180"/>
      <c r="S68" s="34" t="s">
        <v>67</v>
      </c>
      <c r="T68" s="28" t="s">
        <v>68</v>
      </c>
      <c r="U68" s="28" t="s">
        <v>69</v>
      </c>
      <c r="V68" s="45" t="s">
        <v>76</v>
      </c>
      <c r="W68" s="185"/>
      <c r="X68" s="178"/>
      <c r="Y68" s="47"/>
    </row>
    <row r="69">
      <c r="A69" s="28">
        <f t="shared" si="2"/>
        <v>67</v>
      </c>
      <c r="B69" s="21"/>
      <c r="C69" s="21"/>
      <c r="D69" s="21"/>
      <c r="E69" s="187" t="s">
        <v>641</v>
      </c>
      <c r="F69" s="21"/>
      <c r="G69" s="21"/>
      <c r="H69" s="21"/>
      <c r="I69" s="187" t="s">
        <v>642</v>
      </c>
      <c r="J69" s="31" t="s">
        <v>645</v>
      </c>
      <c r="K69" s="34" t="s">
        <v>625</v>
      </c>
      <c r="L69" s="28">
        <f>IFERROR(__xludf.DUMMYFUNCTION("""COMPUTED_VALUE"""),120.0)</f>
        <v>120</v>
      </c>
      <c r="M69" s="28"/>
      <c r="N69" s="37" t="e">
        <v>#VALUE!</v>
      </c>
      <c r="O69" s="179"/>
      <c r="P69" s="179"/>
      <c r="Q69" s="179"/>
      <c r="R69" s="180"/>
      <c r="S69" s="34" t="s">
        <v>67</v>
      </c>
      <c r="T69" s="28" t="s">
        <v>68</v>
      </c>
      <c r="U69" s="28" t="s">
        <v>69</v>
      </c>
      <c r="V69" s="45" t="s">
        <v>76</v>
      </c>
      <c r="W69" s="185"/>
      <c r="X69" s="178"/>
      <c r="Y69" s="47"/>
    </row>
    <row r="70">
      <c r="A70" s="28"/>
      <c r="B70" s="173">
        <v>130.0</v>
      </c>
      <c r="C70" s="91" t="s">
        <v>630</v>
      </c>
      <c r="D70" s="59" t="s">
        <v>620</v>
      </c>
      <c r="E70" s="189" t="s">
        <v>631</v>
      </c>
      <c r="F70" s="173">
        <v>130.0</v>
      </c>
      <c r="G70" s="91" t="s">
        <v>632</v>
      </c>
      <c r="H70" s="59" t="s">
        <v>623</v>
      </c>
      <c r="I70" s="189" t="s">
        <v>633</v>
      </c>
      <c r="J70" s="37" t="str">
        <f>'参照_各種特典'!D32</f>
        <v>Mystic Matrimony◆Collection Bonus</v>
      </c>
      <c r="K70" s="34" t="s">
        <v>625</v>
      </c>
      <c r="L70" s="28">
        <f>IFERROR(__xludf.DUMMYFUNCTION("""COMPUTED_VALUE"""),130.0)</f>
        <v>130</v>
      </c>
      <c r="M70" s="34">
        <v>4.0</v>
      </c>
      <c r="N70" s="37" t="s">
        <v>634</v>
      </c>
      <c r="O70" s="92" t="s">
        <v>67</v>
      </c>
      <c r="P70" s="92" t="s">
        <v>68</v>
      </c>
      <c r="Q70" s="92" t="s">
        <v>69</v>
      </c>
      <c r="R70" s="171">
        <v>46062.0</v>
      </c>
      <c r="S70" s="36"/>
      <c r="T70" s="36"/>
      <c r="U70" s="36"/>
      <c r="V70" s="36"/>
      <c r="W70" s="185"/>
      <c r="X70" s="178"/>
      <c r="Y70" s="47"/>
    </row>
    <row r="71">
      <c r="A71" s="28">
        <f>ROW()-2</f>
        <v>69</v>
      </c>
      <c r="B71" s="20"/>
      <c r="C71" s="20"/>
      <c r="D71" s="20"/>
      <c r="E71" s="189" t="s">
        <v>621</v>
      </c>
      <c r="F71" s="20"/>
      <c r="G71" s="20"/>
      <c r="H71" s="20"/>
      <c r="I71" s="190" t="s">
        <v>635</v>
      </c>
      <c r="J71" s="37" t="str">
        <f>'参照_各種特典'!F32</f>
        <v>Shaved Ice (+50 Stamina)</v>
      </c>
      <c r="K71" s="34" t="s">
        <v>625</v>
      </c>
      <c r="L71" s="28">
        <f>IFERROR(__xludf.DUMMYFUNCTION("""COMPUTED_VALUE"""),130.0)</f>
        <v>130</v>
      </c>
      <c r="M71" s="34">
        <v>11.0</v>
      </c>
      <c r="N71" s="37" t="s">
        <v>636</v>
      </c>
      <c r="O71" s="92" t="s">
        <v>67</v>
      </c>
      <c r="P71" s="92" t="s">
        <v>68</v>
      </c>
      <c r="Q71" s="92" t="s">
        <v>69</v>
      </c>
      <c r="R71" s="171">
        <v>46062.0</v>
      </c>
      <c r="S71" s="36"/>
      <c r="T71" s="36"/>
      <c r="U71" s="36"/>
      <c r="V71" s="36"/>
      <c r="W71" s="185"/>
      <c r="X71" s="178"/>
      <c r="Y71" s="47"/>
    </row>
    <row r="72">
      <c r="A72" s="28"/>
      <c r="B72" s="20"/>
      <c r="C72" s="21"/>
      <c r="D72" s="20"/>
      <c r="E72" s="190" t="s">
        <v>637</v>
      </c>
      <c r="F72" s="20"/>
      <c r="G72" s="21"/>
      <c r="H72" s="20"/>
      <c r="I72" s="190" t="s">
        <v>292</v>
      </c>
      <c r="J72" s="37">
        <f>'参照_各種特典'!H32</f>
        <v>1</v>
      </c>
      <c r="K72" s="34" t="s">
        <v>625</v>
      </c>
      <c r="L72" s="28">
        <f>IFERROR(__xludf.DUMMYFUNCTION("""COMPUTED_VALUE"""),130.0)</f>
        <v>130</v>
      </c>
      <c r="M72" s="34">
        <v>7.0</v>
      </c>
      <c r="N72" s="37" t="s">
        <v>639</v>
      </c>
      <c r="O72" s="92" t="s">
        <v>67</v>
      </c>
      <c r="P72" s="92" t="s">
        <v>68</v>
      </c>
      <c r="Q72" s="92" t="s">
        <v>69</v>
      </c>
      <c r="R72" s="171">
        <v>46062.0</v>
      </c>
      <c r="S72" s="36"/>
      <c r="T72" s="36"/>
      <c r="U72" s="36"/>
      <c r="V72" s="36"/>
      <c r="W72" s="185"/>
      <c r="X72" s="178"/>
      <c r="Y72" s="47"/>
    </row>
    <row r="73">
      <c r="A73" s="28">
        <f t="shared" ref="A73:A74" si="3">ROW()-2</f>
        <v>71</v>
      </c>
      <c r="B73" s="20"/>
      <c r="C73" s="62" t="s">
        <v>72</v>
      </c>
      <c r="D73" s="21"/>
      <c r="E73" s="190" t="s">
        <v>617</v>
      </c>
      <c r="F73" s="20"/>
      <c r="G73" s="62" t="s">
        <v>74</v>
      </c>
      <c r="H73" s="21"/>
      <c r="I73" s="190" t="s">
        <v>618</v>
      </c>
      <c r="J73" s="37"/>
      <c r="K73" s="34" t="s">
        <v>625</v>
      </c>
      <c r="L73" s="28">
        <f>IFERROR(__xludf.DUMMYFUNCTION("""COMPUTED_VALUE"""),130.0)</f>
        <v>130</v>
      </c>
      <c r="M73" s="28"/>
      <c r="N73" s="37"/>
      <c r="O73" s="92" t="s">
        <v>67</v>
      </c>
      <c r="P73" s="92" t="s">
        <v>68</v>
      </c>
      <c r="Q73" s="92" t="s">
        <v>69</v>
      </c>
      <c r="R73" s="171">
        <v>46062.0</v>
      </c>
      <c r="S73" s="34" t="s">
        <v>67</v>
      </c>
      <c r="T73" s="28" t="s">
        <v>68</v>
      </c>
      <c r="U73" s="28" t="s">
        <v>69</v>
      </c>
      <c r="V73" s="45" t="s">
        <v>76</v>
      </c>
      <c r="W73" s="185"/>
      <c r="X73" s="178"/>
      <c r="Y73" s="47"/>
    </row>
    <row r="74">
      <c r="A74" s="28">
        <f t="shared" si="3"/>
        <v>72</v>
      </c>
      <c r="B74" s="20"/>
      <c r="C74" s="20"/>
      <c r="D74" s="59" t="s">
        <v>626</v>
      </c>
      <c r="E74" s="190" t="s">
        <v>627</v>
      </c>
      <c r="F74" s="20"/>
      <c r="G74" s="20"/>
      <c r="H74" s="59" t="s">
        <v>628</v>
      </c>
      <c r="I74" s="190" t="s">
        <v>640</v>
      </c>
      <c r="J74" s="37"/>
      <c r="K74" s="34" t="s">
        <v>625</v>
      </c>
      <c r="L74" s="28">
        <f>IFERROR(__xludf.DUMMYFUNCTION("""COMPUTED_VALUE"""),130.0)</f>
        <v>130</v>
      </c>
      <c r="M74" s="28"/>
      <c r="N74" s="37"/>
      <c r="O74" s="179"/>
      <c r="P74" s="179"/>
      <c r="Q74" s="179"/>
      <c r="R74" s="180"/>
      <c r="S74" s="34" t="s">
        <v>67</v>
      </c>
      <c r="T74" s="28" t="s">
        <v>68</v>
      </c>
      <c r="U74" s="28" t="s">
        <v>69</v>
      </c>
      <c r="V74" s="45" t="s">
        <v>76</v>
      </c>
      <c r="W74" s="185"/>
      <c r="X74" s="178"/>
      <c r="Y74" s="47"/>
    </row>
    <row r="75">
      <c r="A75" s="28"/>
      <c r="B75" s="21"/>
      <c r="C75" s="21"/>
      <c r="D75" s="21"/>
      <c r="E75" s="190" t="s">
        <v>641</v>
      </c>
      <c r="F75" s="21"/>
      <c r="G75" s="21"/>
      <c r="H75" s="21"/>
      <c r="I75" s="190" t="s">
        <v>642</v>
      </c>
      <c r="J75" s="37" t="s">
        <v>645</v>
      </c>
      <c r="K75" s="34" t="s">
        <v>625</v>
      </c>
      <c r="L75" s="28">
        <f>IFERROR(__xludf.DUMMYFUNCTION("""COMPUTED_VALUE"""),130.0)</f>
        <v>130</v>
      </c>
      <c r="M75" s="28"/>
      <c r="N75" s="37" t="e">
        <v>#VALUE!</v>
      </c>
      <c r="O75" s="179"/>
      <c r="P75" s="179"/>
      <c r="Q75" s="179"/>
      <c r="R75" s="180"/>
      <c r="S75" s="34" t="s">
        <v>67</v>
      </c>
      <c r="T75" s="28" t="s">
        <v>68</v>
      </c>
      <c r="U75" s="28" t="s">
        <v>69</v>
      </c>
      <c r="V75" s="45" t="s">
        <v>76</v>
      </c>
      <c r="W75" s="185"/>
      <c r="X75" s="178"/>
      <c r="Y75" s="47"/>
    </row>
    <row r="76">
      <c r="A76" s="28">
        <f t="shared" ref="A76:A83" si="4">ROW()-2</f>
        <v>74</v>
      </c>
      <c r="B76" s="182">
        <v>140.0</v>
      </c>
      <c r="C76" s="91" t="s">
        <v>630</v>
      </c>
      <c r="D76" s="29" t="s">
        <v>620</v>
      </c>
      <c r="E76" s="183" t="s">
        <v>631</v>
      </c>
      <c r="F76" s="182">
        <v>140.0</v>
      </c>
      <c r="G76" s="91" t="s">
        <v>632</v>
      </c>
      <c r="H76" s="29" t="s">
        <v>623</v>
      </c>
      <c r="I76" s="183" t="s">
        <v>633</v>
      </c>
      <c r="J76" s="31" t="str">
        <f>'参照_各種特典'!D33</f>
        <v>Mystic Matrimony◆Collection Bonus</v>
      </c>
      <c r="K76" s="34" t="s">
        <v>625</v>
      </c>
      <c r="L76" s="28">
        <f>IFERROR(__xludf.DUMMYFUNCTION("""COMPUTED_VALUE"""),140.0)</f>
        <v>140</v>
      </c>
      <c r="M76" s="34">
        <v>4.0</v>
      </c>
      <c r="N76" s="37" t="s">
        <v>634</v>
      </c>
      <c r="O76" s="92" t="s">
        <v>67</v>
      </c>
      <c r="P76" s="92" t="s">
        <v>68</v>
      </c>
      <c r="Q76" s="92" t="s">
        <v>69</v>
      </c>
      <c r="R76" s="171">
        <v>46062.0</v>
      </c>
      <c r="S76" s="36"/>
      <c r="T76" s="36"/>
      <c r="U76" s="36"/>
      <c r="V76" s="36"/>
      <c r="W76" s="185"/>
      <c r="X76" s="178"/>
      <c r="Y76" s="47"/>
    </row>
    <row r="77">
      <c r="A77" s="28">
        <f t="shared" si="4"/>
        <v>75</v>
      </c>
      <c r="B77" s="20"/>
      <c r="C77" s="20"/>
      <c r="D77" s="20"/>
      <c r="E77" s="183" t="s">
        <v>621</v>
      </c>
      <c r="F77" s="20"/>
      <c r="G77" s="20"/>
      <c r="H77" s="20"/>
      <c r="I77" s="187" t="s">
        <v>635</v>
      </c>
      <c r="J77" s="31" t="str">
        <f>'参照_各種特典'!F33</f>
        <v>Motonari with a Lantern</v>
      </c>
      <c r="K77" s="34" t="s">
        <v>625</v>
      </c>
      <c r="L77" s="28">
        <f>IFERROR(__xludf.DUMMYFUNCTION("""COMPUTED_VALUE"""),140.0)</f>
        <v>140</v>
      </c>
      <c r="M77" s="34">
        <v>11.0</v>
      </c>
      <c r="N77" s="37" t="s">
        <v>651</v>
      </c>
      <c r="O77" s="92" t="s">
        <v>67</v>
      </c>
      <c r="P77" s="92" t="s">
        <v>68</v>
      </c>
      <c r="Q77" s="92" t="s">
        <v>69</v>
      </c>
      <c r="R77" s="171">
        <v>46062.0</v>
      </c>
      <c r="S77" s="36"/>
      <c r="T77" s="36"/>
      <c r="U77" s="36"/>
      <c r="V77" s="36"/>
      <c r="W77" s="185"/>
      <c r="X77" s="178"/>
      <c r="Y77" s="47"/>
    </row>
    <row r="78">
      <c r="A78" s="28">
        <f t="shared" si="4"/>
        <v>76</v>
      </c>
      <c r="B78" s="20"/>
      <c r="C78" s="21"/>
      <c r="D78" s="20"/>
      <c r="E78" s="187" t="s">
        <v>637</v>
      </c>
      <c r="F78" s="20"/>
      <c r="G78" s="21"/>
      <c r="H78" s="20"/>
      <c r="I78" s="187" t="s">
        <v>292</v>
      </c>
      <c r="J78" s="31">
        <f>'参照_各種特典'!H33</f>
        <v>1</v>
      </c>
      <c r="K78" s="34" t="s">
        <v>625</v>
      </c>
      <c r="L78" s="28">
        <f>IFERROR(__xludf.DUMMYFUNCTION("""COMPUTED_VALUE"""),140.0)</f>
        <v>140</v>
      </c>
      <c r="M78" s="34">
        <v>7.0</v>
      </c>
      <c r="N78" s="37" t="s">
        <v>639</v>
      </c>
      <c r="O78" s="92" t="s">
        <v>67</v>
      </c>
      <c r="P78" s="92" t="s">
        <v>68</v>
      </c>
      <c r="Q78" s="92" t="s">
        <v>69</v>
      </c>
      <c r="R78" s="171">
        <v>46062.0</v>
      </c>
      <c r="S78" s="36"/>
      <c r="T78" s="36"/>
      <c r="U78" s="36"/>
      <c r="V78" s="36"/>
      <c r="W78" s="185"/>
      <c r="X78" s="178"/>
      <c r="Y78" s="47"/>
    </row>
    <row r="79">
      <c r="A79" s="28">
        <f t="shared" si="4"/>
        <v>77</v>
      </c>
      <c r="B79" s="20"/>
      <c r="C79" s="62" t="s">
        <v>72</v>
      </c>
      <c r="D79" s="21"/>
      <c r="E79" s="187" t="s">
        <v>617</v>
      </c>
      <c r="F79" s="20"/>
      <c r="G79" s="62" t="s">
        <v>74</v>
      </c>
      <c r="H79" s="21"/>
      <c r="I79" s="187" t="s">
        <v>618</v>
      </c>
      <c r="J79" s="31"/>
      <c r="K79" s="34" t="s">
        <v>625</v>
      </c>
      <c r="L79" s="28">
        <f>IFERROR(__xludf.DUMMYFUNCTION("""COMPUTED_VALUE"""),140.0)</f>
        <v>140</v>
      </c>
      <c r="M79" s="28"/>
      <c r="N79" s="37"/>
      <c r="O79" s="92" t="s">
        <v>67</v>
      </c>
      <c r="P79" s="92" t="s">
        <v>68</v>
      </c>
      <c r="Q79" s="92" t="s">
        <v>69</v>
      </c>
      <c r="R79" s="171">
        <v>46062.0</v>
      </c>
      <c r="S79" s="34" t="s">
        <v>67</v>
      </c>
      <c r="T79" s="28" t="s">
        <v>68</v>
      </c>
      <c r="U79" s="28" t="s">
        <v>69</v>
      </c>
      <c r="V79" s="45" t="s">
        <v>76</v>
      </c>
      <c r="W79" s="185"/>
      <c r="X79" s="178"/>
      <c r="Y79" s="47"/>
    </row>
    <row r="80">
      <c r="A80" s="28">
        <f t="shared" si="4"/>
        <v>78</v>
      </c>
      <c r="B80" s="20"/>
      <c r="C80" s="20"/>
      <c r="D80" s="29" t="s">
        <v>626</v>
      </c>
      <c r="E80" s="187" t="s">
        <v>627</v>
      </c>
      <c r="F80" s="20"/>
      <c r="G80" s="20"/>
      <c r="H80" s="29" t="s">
        <v>628</v>
      </c>
      <c r="I80" s="187" t="s">
        <v>640</v>
      </c>
      <c r="J80" s="31"/>
      <c r="K80" s="34" t="s">
        <v>625</v>
      </c>
      <c r="L80" s="28">
        <f>IFERROR(__xludf.DUMMYFUNCTION("""COMPUTED_VALUE"""),140.0)</f>
        <v>140</v>
      </c>
      <c r="M80" s="28"/>
      <c r="N80" s="37"/>
      <c r="O80" s="179"/>
      <c r="P80" s="179"/>
      <c r="Q80" s="179"/>
      <c r="R80" s="180"/>
      <c r="S80" s="34" t="s">
        <v>67</v>
      </c>
      <c r="T80" s="28" t="s">
        <v>68</v>
      </c>
      <c r="U80" s="28" t="s">
        <v>69</v>
      </c>
      <c r="V80" s="45" t="s">
        <v>76</v>
      </c>
      <c r="W80" s="185"/>
      <c r="X80" s="178"/>
      <c r="Y80" s="47"/>
    </row>
    <row r="81">
      <c r="A81" s="28">
        <f t="shared" si="4"/>
        <v>79</v>
      </c>
      <c r="B81" s="20"/>
      <c r="C81" s="20"/>
      <c r="D81" s="20"/>
      <c r="E81" s="187" t="s">
        <v>641</v>
      </c>
      <c r="F81" s="20"/>
      <c r="G81" s="20"/>
      <c r="H81" s="20"/>
      <c r="I81" s="187" t="s">
        <v>642</v>
      </c>
      <c r="J81" s="31" t="s">
        <v>645</v>
      </c>
      <c r="K81" s="34" t="s">
        <v>625</v>
      </c>
      <c r="L81" s="28">
        <f>IFERROR(__xludf.DUMMYFUNCTION("""COMPUTED_VALUE"""),140.0)</f>
        <v>140</v>
      </c>
      <c r="M81" s="28"/>
      <c r="N81" s="37" t="e">
        <v>#VALUE!</v>
      </c>
      <c r="O81" s="179"/>
      <c r="P81" s="179"/>
      <c r="Q81" s="179"/>
      <c r="R81" s="180"/>
      <c r="S81" s="34" t="s">
        <v>67</v>
      </c>
      <c r="T81" s="28" t="s">
        <v>68</v>
      </c>
      <c r="U81" s="28" t="s">
        <v>69</v>
      </c>
      <c r="V81" s="45" t="s">
        <v>76</v>
      </c>
      <c r="W81" s="191"/>
      <c r="X81" s="47"/>
      <c r="Y81" s="47"/>
    </row>
    <row r="82">
      <c r="A82" s="28">
        <f t="shared" si="4"/>
        <v>80</v>
      </c>
      <c r="B82" s="21"/>
      <c r="C82" s="21"/>
      <c r="D82" s="21"/>
      <c r="E82" s="187" t="s">
        <v>627</v>
      </c>
      <c r="F82" s="21"/>
      <c r="G82" s="21"/>
      <c r="H82" s="21"/>
      <c r="I82" s="187" t="s">
        <v>640</v>
      </c>
      <c r="J82" s="31" t="str">
        <f>'参照_各種特典'!F12</f>
        <v>Blue Anemone Hair Clip</v>
      </c>
      <c r="K82" s="34" t="s">
        <v>625</v>
      </c>
      <c r="L82" s="28">
        <f>IFERROR(__xludf.DUMMYFUNCTION("""COMPUTED_VALUE"""),140.0)</f>
        <v>140</v>
      </c>
      <c r="M82" s="28"/>
      <c r="N82" s="37" t="e">
        <v>#VALUE!</v>
      </c>
      <c r="O82" s="179"/>
      <c r="P82" s="179"/>
      <c r="Q82" s="179"/>
      <c r="R82" s="180"/>
      <c r="S82" s="34" t="s">
        <v>67</v>
      </c>
      <c r="T82" s="28" t="s">
        <v>68</v>
      </c>
      <c r="U82" s="28" t="s">
        <v>69</v>
      </c>
      <c r="V82" s="45" t="s">
        <v>76</v>
      </c>
      <c r="W82" s="191"/>
      <c r="X82" s="47"/>
      <c r="Y82" s="47"/>
    </row>
    <row r="83">
      <c r="A83" s="28">
        <f t="shared" si="4"/>
        <v>81</v>
      </c>
      <c r="B83" s="173">
        <v>150.0</v>
      </c>
      <c r="C83" s="91" t="s">
        <v>630</v>
      </c>
      <c r="D83" s="59" t="s">
        <v>620</v>
      </c>
      <c r="E83" s="189" t="s">
        <v>631</v>
      </c>
      <c r="F83" s="173">
        <v>150.0</v>
      </c>
      <c r="G83" s="91" t="s">
        <v>632</v>
      </c>
      <c r="H83" s="59" t="s">
        <v>623</v>
      </c>
      <c r="I83" s="189" t="s">
        <v>633</v>
      </c>
      <c r="J83" s="37" t="str">
        <f>'参照_各種特典'!D34</f>
        <v>Mystic Matrimony◆Collection Bonus</v>
      </c>
      <c r="K83" s="34" t="s">
        <v>625</v>
      </c>
      <c r="L83" s="28">
        <f>IFERROR(__xludf.DUMMYFUNCTION("""COMPUTED_VALUE"""),150.0)</f>
        <v>150</v>
      </c>
      <c r="M83" s="34">
        <v>4.0</v>
      </c>
      <c r="N83" s="37" t="s">
        <v>634</v>
      </c>
      <c r="O83" s="92" t="s">
        <v>67</v>
      </c>
      <c r="P83" s="92" t="s">
        <v>68</v>
      </c>
      <c r="Q83" s="92" t="s">
        <v>69</v>
      </c>
      <c r="R83" s="171">
        <v>46062.0</v>
      </c>
      <c r="S83" s="36"/>
      <c r="T83" s="36"/>
      <c r="U83" s="36"/>
      <c r="V83" s="36"/>
      <c r="W83" s="191"/>
      <c r="X83" s="47"/>
      <c r="Y83" s="47"/>
    </row>
    <row r="84">
      <c r="A84" s="28"/>
      <c r="B84" s="20"/>
      <c r="C84" s="20"/>
      <c r="D84" s="20"/>
      <c r="E84" s="189" t="s">
        <v>621</v>
      </c>
      <c r="F84" s="20"/>
      <c r="G84" s="20"/>
      <c r="H84" s="20"/>
      <c r="I84" s="190" t="s">
        <v>635</v>
      </c>
      <c r="J84" s="37" t="str">
        <f>'参照_各種特典'!F34</f>
        <v>500 Gold</v>
      </c>
      <c r="K84" s="34" t="s">
        <v>625</v>
      </c>
      <c r="L84" s="28">
        <f>IFERROR(__xludf.DUMMYFUNCTION("""COMPUTED_VALUE"""),150.0)</f>
        <v>150</v>
      </c>
      <c r="M84" s="34">
        <v>11.0</v>
      </c>
      <c r="N84" s="37" t="s">
        <v>644</v>
      </c>
      <c r="O84" s="92" t="s">
        <v>67</v>
      </c>
      <c r="P84" s="92" t="s">
        <v>68</v>
      </c>
      <c r="Q84" s="92" t="s">
        <v>69</v>
      </c>
      <c r="R84" s="171">
        <v>46062.0</v>
      </c>
      <c r="S84" s="36"/>
      <c r="T84" s="36"/>
      <c r="U84" s="36"/>
      <c r="V84" s="36"/>
      <c r="W84" s="191"/>
      <c r="X84" s="47"/>
      <c r="Y84" s="47"/>
    </row>
    <row r="85">
      <c r="A85" s="28"/>
      <c r="B85" s="20"/>
      <c r="C85" s="21"/>
      <c r="D85" s="20"/>
      <c r="E85" s="190" t="s">
        <v>637</v>
      </c>
      <c r="F85" s="20"/>
      <c r="G85" s="21"/>
      <c r="H85" s="20"/>
      <c r="I85" s="190" t="s">
        <v>292</v>
      </c>
      <c r="J85" s="37">
        <f>'参照_各種特典'!H34</f>
        <v>1</v>
      </c>
      <c r="K85" s="34" t="s">
        <v>625</v>
      </c>
      <c r="L85" s="28">
        <f>IFERROR(__xludf.DUMMYFUNCTION("""COMPUTED_VALUE"""),150.0)</f>
        <v>150</v>
      </c>
      <c r="M85" s="34">
        <v>7.0</v>
      </c>
      <c r="N85" s="37" t="s">
        <v>639</v>
      </c>
      <c r="O85" s="92" t="s">
        <v>67</v>
      </c>
      <c r="P85" s="92" t="s">
        <v>68</v>
      </c>
      <c r="Q85" s="92" t="s">
        <v>69</v>
      </c>
      <c r="R85" s="171">
        <v>46062.0</v>
      </c>
      <c r="S85" s="36"/>
      <c r="T85" s="36"/>
      <c r="U85" s="36"/>
      <c r="V85" s="36"/>
      <c r="W85" s="191"/>
      <c r="X85" s="47"/>
      <c r="Y85" s="47"/>
    </row>
    <row r="86">
      <c r="A86" s="28">
        <f>ROW()-2</f>
        <v>84</v>
      </c>
      <c r="B86" s="20"/>
      <c r="C86" s="62" t="s">
        <v>72</v>
      </c>
      <c r="D86" s="21"/>
      <c r="E86" s="190" t="s">
        <v>617</v>
      </c>
      <c r="F86" s="20"/>
      <c r="G86" s="62" t="s">
        <v>74</v>
      </c>
      <c r="H86" s="21"/>
      <c r="I86" s="190" t="s">
        <v>618</v>
      </c>
      <c r="J86" s="37"/>
      <c r="K86" s="34" t="s">
        <v>625</v>
      </c>
      <c r="L86" s="28">
        <f>IFERROR(__xludf.DUMMYFUNCTION("""COMPUTED_VALUE"""),150.0)</f>
        <v>150</v>
      </c>
      <c r="M86" s="28"/>
      <c r="N86" s="37"/>
      <c r="O86" s="92" t="s">
        <v>67</v>
      </c>
      <c r="P86" s="92" t="s">
        <v>68</v>
      </c>
      <c r="Q86" s="92" t="s">
        <v>69</v>
      </c>
      <c r="R86" s="171">
        <v>46062.0</v>
      </c>
      <c r="S86" s="34" t="s">
        <v>67</v>
      </c>
      <c r="T86" s="28" t="s">
        <v>68</v>
      </c>
      <c r="U86" s="28" t="s">
        <v>69</v>
      </c>
      <c r="V86" s="45" t="s">
        <v>76</v>
      </c>
      <c r="W86" s="191"/>
      <c r="X86" s="47"/>
      <c r="Y86" s="47"/>
    </row>
    <row r="87">
      <c r="A87" s="28"/>
      <c r="B87" s="20"/>
      <c r="C87" s="20"/>
      <c r="D87" s="59" t="s">
        <v>626</v>
      </c>
      <c r="E87" s="190" t="s">
        <v>627</v>
      </c>
      <c r="F87" s="20"/>
      <c r="G87" s="20"/>
      <c r="H87" s="59" t="s">
        <v>628</v>
      </c>
      <c r="I87" s="190" t="s">
        <v>640</v>
      </c>
      <c r="J87" s="37"/>
      <c r="K87" s="34" t="s">
        <v>625</v>
      </c>
      <c r="L87" s="28">
        <f>IFERROR(__xludf.DUMMYFUNCTION("""COMPUTED_VALUE"""),150.0)</f>
        <v>150</v>
      </c>
      <c r="M87" s="28"/>
      <c r="N87" s="37"/>
      <c r="O87" s="179"/>
      <c r="P87" s="179"/>
      <c r="Q87" s="179"/>
      <c r="R87" s="180"/>
      <c r="S87" s="34" t="s">
        <v>67</v>
      </c>
      <c r="T87" s="28" t="s">
        <v>68</v>
      </c>
      <c r="U87" s="28" t="s">
        <v>69</v>
      </c>
      <c r="V87" s="45" t="s">
        <v>76</v>
      </c>
      <c r="W87" s="191"/>
      <c r="X87" s="47"/>
      <c r="Y87" s="47"/>
    </row>
    <row r="88">
      <c r="A88" s="28">
        <f t="shared" ref="A88:A128" si="5">ROW()-2</f>
        <v>86</v>
      </c>
      <c r="B88" s="21"/>
      <c r="C88" s="21"/>
      <c r="D88" s="21"/>
      <c r="E88" s="190" t="s">
        <v>641</v>
      </c>
      <c r="F88" s="21"/>
      <c r="G88" s="21"/>
      <c r="H88" s="21"/>
      <c r="I88" s="190" t="s">
        <v>642</v>
      </c>
      <c r="J88" s="37" t="s">
        <v>645</v>
      </c>
      <c r="K88" s="34" t="s">
        <v>625</v>
      </c>
      <c r="L88" s="28">
        <f>IFERROR(__xludf.DUMMYFUNCTION("""COMPUTED_VALUE"""),150.0)</f>
        <v>150</v>
      </c>
      <c r="M88" s="28"/>
      <c r="N88" s="37" t="e">
        <v>#VALUE!</v>
      </c>
      <c r="O88" s="179"/>
      <c r="P88" s="179"/>
      <c r="Q88" s="179"/>
      <c r="R88" s="180"/>
      <c r="S88" s="34" t="s">
        <v>67</v>
      </c>
      <c r="T88" s="28" t="s">
        <v>68</v>
      </c>
      <c r="U88" s="28" t="s">
        <v>69</v>
      </c>
      <c r="V88" s="45" t="s">
        <v>76</v>
      </c>
      <c r="W88" s="191"/>
      <c r="X88" s="47"/>
      <c r="Y88" s="47"/>
    </row>
    <row r="89">
      <c r="A89" s="28">
        <f t="shared" si="5"/>
        <v>87</v>
      </c>
      <c r="B89" s="182">
        <v>160.0</v>
      </c>
      <c r="C89" s="91" t="s">
        <v>630</v>
      </c>
      <c r="D89" s="29" t="s">
        <v>620</v>
      </c>
      <c r="E89" s="183" t="s">
        <v>631</v>
      </c>
      <c r="F89" s="182">
        <v>160.0</v>
      </c>
      <c r="G89" s="91" t="s">
        <v>632</v>
      </c>
      <c r="H89" s="29" t="s">
        <v>623</v>
      </c>
      <c r="I89" s="183" t="s">
        <v>633</v>
      </c>
      <c r="J89" s="31" t="str">
        <f>'参照_各種特典'!D35</f>
        <v>Mystic Matrimony◆Collection Bonus</v>
      </c>
      <c r="K89" s="34" t="s">
        <v>625</v>
      </c>
      <c r="L89" s="28">
        <f>IFERROR(__xludf.DUMMYFUNCTION("""COMPUTED_VALUE"""),160.0)</f>
        <v>160</v>
      </c>
      <c r="M89" s="34">
        <v>4.0</v>
      </c>
      <c r="N89" s="37" t="s">
        <v>634</v>
      </c>
      <c r="O89" s="92" t="s">
        <v>67</v>
      </c>
      <c r="P89" s="92" t="s">
        <v>68</v>
      </c>
      <c r="Q89" s="92" t="s">
        <v>69</v>
      </c>
      <c r="R89" s="171">
        <v>46062.0</v>
      </c>
      <c r="S89" s="36"/>
      <c r="T89" s="36"/>
      <c r="U89" s="36"/>
      <c r="V89" s="36"/>
      <c r="W89" s="191"/>
      <c r="X89" s="47"/>
      <c r="Y89" s="47"/>
    </row>
    <row r="90">
      <c r="A90" s="28">
        <f t="shared" si="5"/>
        <v>88</v>
      </c>
      <c r="B90" s="20"/>
      <c r="C90" s="20"/>
      <c r="D90" s="20"/>
      <c r="E90" s="183" t="s">
        <v>621</v>
      </c>
      <c r="F90" s="20"/>
      <c r="G90" s="20"/>
      <c r="H90" s="20"/>
      <c r="I90" s="187" t="s">
        <v>635</v>
      </c>
      <c r="J90" s="31" t="str">
        <f>'参照_各種特典'!F35</f>
        <v>Closet Storage</v>
      </c>
      <c r="K90" s="34" t="s">
        <v>625</v>
      </c>
      <c r="L90" s="28">
        <f>IFERROR(__xludf.DUMMYFUNCTION("""COMPUTED_VALUE"""),160.0)</f>
        <v>160</v>
      </c>
      <c r="M90" s="34">
        <v>11.0</v>
      </c>
      <c r="N90" s="37" t="s">
        <v>646</v>
      </c>
      <c r="O90" s="92" t="s">
        <v>67</v>
      </c>
      <c r="P90" s="92" t="s">
        <v>68</v>
      </c>
      <c r="Q90" s="92" t="s">
        <v>69</v>
      </c>
      <c r="R90" s="171">
        <v>46062.0</v>
      </c>
      <c r="S90" s="36"/>
      <c r="T90" s="36"/>
      <c r="U90" s="36"/>
      <c r="V90" s="36"/>
      <c r="W90" s="191"/>
      <c r="X90" s="47"/>
      <c r="Y90" s="47"/>
    </row>
    <row r="91">
      <c r="A91" s="28">
        <f t="shared" si="5"/>
        <v>89</v>
      </c>
      <c r="B91" s="20"/>
      <c r="C91" s="21"/>
      <c r="D91" s="20"/>
      <c r="E91" s="187" t="s">
        <v>637</v>
      </c>
      <c r="F91" s="20"/>
      <c r="G91" s="21"/>
      <c r="H91" s="20"/>
      <c r="I91" s="187" t="s">
        <v>292</v>
      </c>
      <c r="J91" s="31">
        <f>'参照_各種特典'!H35</f>
        <v>1</v>
      </c>
      <c r="K91" s="34" t="s">
        <v>625</v>
      </c>
      <c r="L91" s="28">
        <f>IFERROR(__xludf.DUMMYFUNCTION("""COMPUTED_VALUE"""),160.0)</f>
        <v>160</v>
      </c>
      <c r="M91" s="34">
        <v>7.0</v>
      </c>
      <c r="N91" s="37" t="s">
        <v>639</v>
      </c>
      <c r="O91" s="92" t="s">
        <v>67</v>
      </c>
      <c r="P91" s="92" t="s">
        <v>68</v>
      </c>
      <c r="Q91" s="92" t="s">
        <v>69</v>
      </c>
      <c r="R91" s="171">
        <v>46062.0</v>
      </c>
      <c r="S91" s="36"/>
      <c r="T91" s="36"/>
      <c r="U91" s="36"/>
      <c r="V91" s="36"/>
      <c r="W91" s="191"/>
      <c r="X91" s="47"/>
      <c r="Y91" s="47"/>
    </row>
    <row r="92">
      <c r="A92" s="28">
        <f t="shared" si="5"/>
        <v>90</v>
      </c>
      <c r="B92" s="20"/>
      <c r="C92" s="62" t="s">
        <v>72</v>
      </c>
      <c r="D92" s="21"/>
      <c r="E92" s="187" t="s">
        <v>617</v>
      </c>
      <c r="F92" s="20"/>
      <c r="G92" s="62" t="s">
        <v>74</v>
      </c>
      <c r="H92" s="21"/>
      <c r="I92" s="187" t="s">
        <v>618</v>
      </c>
      <c r="J92" s="31"/>
      <c r="K92" s="34" t="s">
        <v>625</v>
      </c>
      <c r="L92" s="28">
        <f>IFERROR(__xludf.DUMMYFUNCTION("""COMPUTED_VALUE"""),160.0)</f>
        <v>160</v>
      </c>
      <c r="M92" s="28"/>
      <c r="N92" s="37"/>
      <c r="O92" s="92" t="s">
        <v>67</v>
      </c>
      <c r="P92" s="92" t="s">
        <v>68</v>
      </c>
      <c r="Q92" s="92" t="s">
        <v>69</v>
      </c>
      <c r="R92" s="171">
        <v>46062.0</v>
      </c>
      <c r="S92" s="34" t="s">
        <v>67</v>
      </c>
      <c r="T92" s="28" t="s">
        <v>68</v>
      </c>
      <c r="U92" s="28" t="s">
        <v>69</v>
      </c>
      <c r="V92" s="45" t="s">
        <v>76</v>
      </c>
      <c r="W92" s="191"/>
      <c r="X92" s="47"/>
      <c r="Y92" s="47"/>
    </row>
    <row r="93">
      <c r="A93" s="28">
        <f t="shared" si="5"/>
        <v>91</v>
      </c>
      <c r="B93" s="20"/>
      <c r="C93" s="20"/>
      <c r="D93" s="29" t="s">
        <v>626</v>
      </c>
      <c r="E93" s="187" t="s">
        <v>627</v>
      </c>
      <c r="F93" s="20"/>
      <c r="G93" s="20"/>
      <c r="H93" s="29" t="s">
        <v>628</v>
      </c>
      <c r="I93" s="187" t="s">
        <v>640</v>
      </c>
      <c r="J93" s="31"/>
      <c r="K93" s="34" t="s">
        <v>625</v>
      </c>
      <c r="L93" s="28">
        <f>IFERROR(__xludf.DUMMYFUNCTION("""COMPUTED_VALUE"""),160.0)</f>
        <v>160</v>
      </c>
      <c r="M93" s="28"/>
      <c r="N93" s="37"/>
      <c r="O93" s="179"/>
      <c r="P93" s="179"/>
      <c r="Q93" s="179"/>
      <c r="R93" s="180"/>
      <c r="S93" s="34" t="s">
        <v>67</v>
      </c>
      <c r="T93" s="28" t="s">
        <v>68</v>
      </c>
      <c r="U93" s="28" t="s">
        <v>69</v>
      </c>
      <c r="V93" s="45" t="s">
        <v>76</v>
      </c>
      <c r="W93" s="191"/>
      <c r="X93" s="47"/>
      <c r="Y93" s="47"/>
    </row>
    <row r="94">
      <c r="A94" s="28">
        <f t="shared" si="5"/>
        <v>92</v>
      </c>
      <c r="B94" s="21"/>
      <c r="C94" s="21"/>
      <c r="D94" s="21"/>
      <c r="E94" s="187" t="s">
        <v>641</v>
      </c>
      <c r="F94" s="21"/>
      <c r="G94" s="21"/>
      <c r="H94" s="21"/>
      <c r="I94" s="187" t="s">
        <v>642</v>
      </c>
      <c r="J94" s="31" t="s">
        <v>645</v>
      </c>
      <c r="K94" s="34" t="s">
        <v>625</v>
      </c>
      <c r="L94" s="28">
        <f>IFERROR(__xludf.DUMMYFUNCTION("""COMPUTED_VALUE"""),160.0)</f>
        <v>160</v>
      </c>
      <c r="M94" s="28"/>
      <c r="N94" s="37" t="e">
        <v>#VALUE!</v>
      </c>
      <c r="O94" s="179"/>
      <c r="P94" s="179"/>
      <c r="Q94" s="179"/>
      <c r="R94" s="180"/>
      <c r="S94" s="34" t="s">
        <v>67</v>
      </c>
      <c r="T94" s="28" t="s">
        <v>68</v>
      </c>
      <c r="U94" s="28" t="s">
        <v>69</v>
      </c>
      <c r="V94" s="45" t="s">
        <v>76</v>
      </c>
      <c r="W94" s="191"/>
      <c r="X94" s="47"/>
      <c r="Y94" s="47"/>
    </row>
    <row r="95">
      <c r="A95" s="28">
        <f t="shared" si="5"/>
        <v>93</v>
      </c>
      <c r="B95" s="173">
        <v>170.0</v>
      </c>
      <c r="C95" s="91" t="s">
        <v>630</v>
      </c>
      <c r="D95" s="59" t="s">
        <v>620</v>
      </c>
      <c r="E95" s="189" t="s">
        <v>631</v>
      </c>
      <c r="F95" s="173">
        <v>170.0</v>
      </c>
      <c r="G95" s="91" t="s">
        <v>632</v>
      </c>
      <c r="H95" s="59" t="s">
        <v>623</v>
      </c>
      <c r="I95" s="189" t="s">
        <v>633</v>
      </c>
      <c r="J95" s="37" t="str">
        <f>'参照_各種特典'!D36</f>
        <v>Mystic Matrimony◆Collection Bonus</v>
      </c>
      <c r="K95" s="34" t="s">
        <v>625</v>
      </c>
      <c r="L95" s="28">
        <f>IFERROR(__xludf.DUMMYFUNCTION("""COMPUTED_VALUE"""),170.0)</f>
        <v>170</v>
      </c>
      <c r="M95" s="34">
        <v>4.0</v>
      </c>
      <c r="N95" s="37" t="s">
        <v>634</v>
      </c>
      <c r="O95" s="92" t="s">
        <v>67</v>
      </c>
      <c r="P95" s="92" t="s">
        <v>68</v>
      </c>
      <c r="Q95" s="92" t="s">
        <v>69</v>
      </c>
      <c r="R95" s="171">
        <v>46062.0</v>
      </c>
      <c r="S95" s="36"/>
      <c r="T95" s="36"/>
      <c r="U95" s="36"/>
      <c r="V95" s="36"/>
      <c r="W95" s="191"/>
      <c r="X95" s="47"/>
      <c r="Y95" s="47"/>
    </row>
    <row r="96">
      <c r="A96" s="28">
        <f t="shared" si="5"/>
        <v>94</v>
      </c>
      <c r="B96" s="20"/>
      <c r="C96" s="20"/>
      <c r="D96" s="20"/>
      <c r="E96" s="189" t="s">
        <v>621</v>
      </c>
      <c r="F96" s="20"/>
      <c r="G96" s="20"/>
      <c r="H96" s="20"/>
      <c r="I96" s="190" t="s">
        <v>635</v>
      </c>
      <c r="J96" s="37" t="str">
        <f>'参照_各種特典'!F36</f>
        <v>Shaved Ice (+50 Stamina)</v>
      </c>
      <c r="K96" s="34" t="s">
        <v>625</v>
      </c>
      <c r="L96" s="28">
        <f>IFERROR(__xludf.DUMMYFUNCTION("""COMPUTED_VALUE"""),170.0)</f>
        <v>170</v>
      </c>
      <c r="M96" s="34">
        <v>11.0</v>
      </c>
      <c r="N96" s="37" t="s">
        <v>636</v>
      </c>
      <c r="O96" s="92" t="s">
        <v>67</v>
      </c>
      <c r="P96" s="92" t="s">
        <v>68</v>
      </c>
      <c r="Q96" s="92" t="s">
        <v>69</v>
      </c>
      <c r="R96" s="171">
        <v>46062.0</v>
      </c>
      <c r="S96" s="36"/>
      <c r="T96" s="36"/>
      <c r="U96" s="36"/>
      <c r="V96" s="36"/>
      <c r="W96" s="191"/>
      <c r="X96" s="47"/>
      <c r="Y96" s="47"/>
    </row>
    <row r="97">
      <c r="A97" s="28">
        <f t="shared" si="5"/>
        <v>95</v>
      </c>
      <c r="B97" s="20"/>
      <c r="C97" s="21"/>
      <c r="D97" s="20"/>
      <c r="E97" s="190" t="s">
        <v>637</v>
      </c>
      <c r="F97" s="20"/>
      <c r="G97" s="21"/>
      <c r="H97" s="20"/>
      <c r="I97" s="190" t="s">
        <v>292</v>
      </c>
      <c r="J97" s="37">
        <f>'参照_各種特典'!H36</f>
        <v>1</v>
      </c>
      <c r="K97" s="34" t="s">
        <v>625</v>
      </c>
      <c r="L97" s="28">
        <f>IFERROR(__xludf.DUMMYFUNCTION("""COMPUTED_VALUE"""),170.0)</f>
        <v>170</v>
      </c>
      <c r="M97" s="34">
        <v>7.0</v>
      </c>
      <c r="N97" s="37" t="s">
        <v>639</v>
      </c>
      <c r="O97" s="92" t="s">
        <v>67</v>
      </c>
      <c r="P97" s="92" t="s">
        <v>68</v>
      </c>
      <c r="Q97" s="92" t="s">
        <v>69</v>
      </c>
      <c r="R97" s="171">
        <v>46062.0</v>
      </c>
      <c r="S97" s="36"/>
      <c r="T97" s="36"/>
      <c r="U97" s="36"/>
      <c r="V97" s="36"/>
      <c r="W97" s="191"/>
      <c r="X97" s="47"/>
      <c r="Y97" s="47"/>
    </row>
    <row r="98">
      <c r="A98" s="28">
        <f t="shared" si="5"/>
        <v>96</v>
      </c>
      <c r="B98" s="20"/>
      <c r="C98" s="62" t="s">
        <v>72</v>
      </c>
      <c r="D98" s="21"/>
      <c r="E98" s="190" t="s">
        <v>617</v>
      </c>
      <c r="F98" s="20"/>
      <c r="G98" s="62" t="s">
        <v>74</v>
      </c>
      <c r="H98" s="21"/>
      <c r="I98" s="190" t="s">
        <v>618</v>
      </c>
      <c r="J98" s="37"/>
      <c r="K98" s="34" t="s">
        <v>625</v>
      </c>
      <c r="L98" s="28">
        <f>IFERROR(__xludf.DUMMYFUNCTION("""COMPUTED_VALUE"""),170.0)</f>
        <v>170</v>
      </c>
      <c r="M98" s="28"/>
      <c r="N98" s="37"/>
      <c r="O98" s="92" t="s">
        <v>67</v>
      </c>
      <c r="P98" s="92" t="s">
        <v>68</v>
      </c>
      <c r="Q98" s="92" t="s">
        <v>69</v>
      </c>
      <c r="R98" s="171">
        <v>46062.0</v>
      </c>
      <c r="S98" s="34" t="s">
        <v>67</v>
      </c>
      <c r="T98" s="28" t="s">
        <v>68</v>
      </c>
      <c r="U98" s="28" t="s">
        <v>69</v>
      </c>
      <c r="V98" s="45" t="s">
        <v>76</v>
      </c>
      <c r="W98" s="191"/>
      <c r="X98" s="47"/>
      <c r="Y98" s="47"/>
    </row>
    <row r="99">
      <c r="A99" s="28">
        <f t="shared" si="5"/>
        <v>97</v>
      </c>
      <c r="B99" s="20"/>
      <c r="C99" s="20"/>
      <c r="D99" s="59" t="s">
        <v>626</v>
      </c>
      <c r="E99" s="190" t="s">
        <v>627</v>
      </c>
      <c r="F99" s="20"/>
      <c r="G99" s="20"/>
      <c r="H99" s="59" t="s">
        <v>628</v>
      </c>
      <c r="I99" s="190" t="s">
        <v>640</v>
      </c>
      <c r="J99" s="37"/>
      <c r="K99" s="34" t="s">
        <v>625</v>
      </c>
      <c r="L99" s="28">
        <f>IFERROR(__xludf.DUMMYFUNCTION("""COMPUTED_VALUE"""),170.0)</f>
        <v>170</v>
      </c>
      <c r="M99" s="28"/>
      <c r="N99" s="37"/>
      <c r="O99" s="179"/>
      <c r="P99" s="179"/>
      <c r="Q99" s="179"/>
      <c r="R99" s="180"/>
      <c r="S99" s="34" t="s">
        <v>67</v>
      </c>
      <c r="T99" s="28" t="s">
        <v>68</v>
      </c>
      <c r="U99" s="28" t="s">
        <v>69</v>
      </c>
      <c r="V99" s="45" t="s">
        <v>76</v>
      </c>
      <c r="W99" s="191"/>
      <c r="X99" s="47"/>
      <c r="Y99" s="47"/>
    </row>
    <row r="100">
      <c r="A100" s="28">
        <f t="shared" si="5"/>
        <v>98</v>
      </c>
      <c r="B100" s="21"/>
      <c r="C100" s="21"/>
      <c r="D100" s="21"/>
      <c r="E100" s="190" t="s">
        <v>641</v>
      </c>
      <c r="F100" s="21"/>
      <c r="G100" s="21"/>
      <c r="H100" s="21"/>
      <c r="I100" s="190" t="s">
        <v>642</v>
      </c>
      <c r="J100" s="37" t="s">
        <v>645</v>
      </c>
      <c r="K100" s="34" t="s">
        <v>625</v>
      </c>
      <c r="L100" s="28">
        <f>IFERROR(__xludf.DUMMYFUNCTION("""COMPUTED_VALUE"""),170.0)</f>
        <v>170</v>
      </c>
      <c r="M100" s="28"/>
      <c r="N100" s="37" t="e">
        <v>#VALUE!</v>
      </c>
      <c r="O100" s="179"/>
      <c r="P100" s="179"/>
      <c r="Q100" s="179"/>
      <c r="R100" s="180"/>
      <c r="S100" s="34" t="s">
        <v>67</v>
      </c>
      <c r="T100" s="28" t="s">
        <v>68</v>
      </c>
      <c r="U100" s="28" t="s">
        <v>69</v>
      </c>
      <c r="V100" s="45" t="s">
        <v>76</v>
      </c>
      <c r="W100" s="191"/>
      <c r="X100" s="47"/>
      <c r="Y100" s="47"/>
    </row>
    <row r="101">
      <c r="A101" s="28">
        <f t="shared" si="5"/>
        <v>99</v>
      </c>
      <c r="B101" s="182">
        <v>180.0</v>
      </c>
      <c r="C101" s="91" t="s">
        <v>630</v>
      </c>
      <c r="D101" s="29" t="s">
        <v>620</v>
      </c>
      <c r="E101" s="183" t="s">
        <v>631</v>
      </c>
      <c r="F101" s="182">
        <v>180.0</v>
      </c>
      <c r="G101" s="91" t="s">
        <v>632</v>
      </c>
      <c r="H101" s="29" t="s">
        <v>623</v>
      </c>
      <c r="I101" s="183" t="s">
        <v>633</v>
      </c>
      <c r="J101" s="31" t="str">
        <f>'参照_各種特典'!D37</f>
        <v>Mystic Matrimony◆Collection Bonus</v>
      </c>
      <c r="K101" s="34" t="s">
        <v>625</v>
      </c>
      <c r="L101" s="28">
        <f>IFERROR(__xludf.DUMMYFUNCTION("""COMPUTED_VALUE"""),180.0)</f>
        <v>180</v>
      </c>
      <c r="M101" s="34">
        <v>4.0</v>
      </c>
      <c r="N101" s="37" t="s">
        <v>634</v>
      </c>
      <c r="O101" s="92" t="s">
        <v>67</v>
      </c>
      <c r="P101" s="92" t="s">
        <v>68</v>
      </c>
      <c r="Q101" s="92" t="s">
        <v>69</v>
      </c>
      <c r="R101" s="171">
        <v>46062.0</v>
      </c>
      <c r="S101" s="36"/>
      <c r="T101" s="36"/>
      <c r="U101" s="36"/>
      <c r="V101" s="36"/>
      <c r="W101" s="191"/>
      <c r="X101" s="47"/>
      <c r="Y101" s="47"/>
    </row>
    <row r="102">
      <c r="A102" s="28">
        <f t="shared" si="5"/>
        <v>100</v>
      </c>
      <c r="B102" s="20"/>
      <c r="C102" s="20"/>
      <c r="D102" s="20"/>
      <c r="E102" s="183" t="s">
        <v>621</v>
      </c>
      <c r="F102" s="20"/>
      <c r="G102" s="20"/>
      <c r="H102" s="20"/>
      <c r="I102" s="187" t="s">
        <v>635</v>
      </c>
      <c r="J102" s="31" t="str">
        <f>'参照_各種特典'!F37</f>
        <v>Perfume (+100 Grace)</v>
      </c>
      <c r="K102" s="34" t="s">
        <v>625</v>
      </c>
      <c r="L102" s="28">
        <f>IFERROR(__xludf.DUMMYFUNCTION("""COMPUTED_VALUE"""),180.0)</f>
        <v>180</v>
      </c>
      <c r="M102" s="34">
        <v>11.0</v>
      </c>
      <c r="N102" s="37" t="s">
        <v>652</v>
      </c>
      <c r="O102" s="92" t="s">
        <v>67</v>
      </c>
      <c r="P102" s="92" t="s">
        <v>68</v>
      </c>
      <c r="Q102" s="92" t="s">
        <v>69</v>
      </c>
      <c r="R102" s="171">
        <v>46062.0</v>
      </c>
      <c r="S102" s="36"/>
      <c r="T102" s="36"/>
      <c r="U102" s="36"/>
      <c r="V102" s="36"/>
      <c r="W102" s="191"/>
      <c r="X102" s="47"/>
      <c r="Y102" s="47"/>
    </row>
    <row r="103">
      <c r="A103" s="28">
        <f t="shared" si="5"/>
        <v>101</v>
      </c>
      <c r="B103" s="20"/>
      <c r="C103" s="21"/>
      <c r="D103" s="20"/>
      <c r="E103" s="187" t="s">
        <v>637</v>
      </c>
      <c r="F103" s="20"/>
      <c r="G103" s="21"/>
      <c r="H103" s="20"/>
      <c r="I103" s="187" t="s">
        <v>292</v>
      </c>
      <c r="J103" s="31">
        <f>'参照_各種特典'!H37</f>
        <v>1</v>
      </c>
      <c r="K103" s="34" t="s">
        <v>625</v>
      </c>
      <c r="L103" s="28">
        <f>IFERROR(__xludf.DUMMYFUNCTION("""COMPUTED_VALUE"""),180.0)</f>
        <v>180</v>
      </c>
      <c r="M103" s="34">
        <v>7.0</v>
      </c>
      <c r="N103" s="37" t="s">
        <v>639</v>
      </c>
      <c r="O103" s="92" t="s">
        <v>67</v>
      </c>
      <c r="P103" s="92" t="s">
        <v>68</v>
      </c>
      <c r="Q103" s="92" t="s">
        <v>69</v>
      </c>
      <c r="R103" s="171">
        <v>46062.0</v>
      </c>
      <c r="S103" s="36"/>
      <c r="T103" s="36"/>
      <c r="U103" s="36"/>
      <c r="V103" s="36"/>
      <c r="W103" s="191"/>
      <c r="X103" s="47"/>
      <c r="Y103" s="47"/>
    </row>
    <row r="104">
      <c r="A104" s="28">
        <f t="shared" si="5"/>
        <v>102</v>
      </c>
      <c r="B104" s="20"/>
      <c r="C104" s="62" t="s">
        <v>72</v>
      </c>
      <c r="D104" s="21"/>
      <c r="E104" s="187" t="s">
        <v>617</v>
      </c>
      <c r="F104" s="20"/>
      <c r="G104" s="62" t="s">
        <v>74</v>
      </c>
      <c r="H104" s="21"/>
      <c r="I104" s="187" t="s">
        <v>618</v>
      </c>
      <c r="J104" s="31"/>
      <c r="K104" s="34" t="s">
        <v>625</v>
      </c>
      <c r="L104" s="28">
        <f>IFERROR(__xludf.DUMMYFUNCTION("""COMPUTED_VALUE"""),180.0)</f>
        <v>180</v>
      </c>
      <c r="M104" s="28"/>
      <c r="N104" s="37"/>
      <c r="O104" s="92" t="s">
        <v>67</v>
      </c>
      <c r="P104" s="92" t="s">
        <v>68</v>
      </c>
      <c r="Q104" s="92" t="s">
        <v>69</v>
      </c>
      <c r="R104" s="171">
        <v>46062.0</v>
      </c>
      <c r="S104" s="34" t="s">
        <v>67</v>
      </c>
      <c r="T104" s="28" t="s">
        <v>68</v>
      </c>
      <c r="U104" s="28" t="s">
        <v>69</v>
      </c>
      <c r="V104" s="45" t="s">
        <v>76</v>
      </c>
      <c r="W104" s="191"/>
      <c r="X104" s="47"/>
      <c r="Y104" s="47"/>
    </row>
    <row r="105">
      <c r="A105" s="28">
        <f t="shared" si="5"/>
        <v>103</v>
      </c>
      <c r="B105" s="20"/>
      <c r="C105" s="20"/>
      <c r="D105" s="29" t="s">
        <v>626</v>
      </c>
      <c r="E105" s="187" t="s">
        <v>627</v>
      </c>
      <c r="F105" s="20"/>
      <c r="G105" s="20"/>
      <c r="H105" s="29" t="s">
        <v>628</v>
      </c>
      <c r="I105" s="187" t="s">
        <v>640</v>
      </c>
      <c r="J105" s="31"/>
      <c r="K105" s="34" t="s">
        <v>625</v>
      </c>
      <c r="L105" s="28">
        <f>IFERROR(__xludf.DUMMYFUNCTION("""COMPUTED_VALUE"""),180.0)</f>
        <v>180</v>
      </c>
      <c r="M105" s="28"/>
      <c r="N105" s="37"/>
      <c r="O105" s="179"/>
      <c r="P105" s="179"/>
      <c r="Q105" s="179"/>
      <c r="R105" s="180"/>
      <c r="S105" s="34" t="s">
        <v>67</v>
      </c>
      <c r="T105" s="28" t="s">
        <v>68</v>
      </c>
      <c r="U105" s="28" t="s">
        <v>69</v>
      </c>
      <c r="V105" s="45" t="s">
        <v>76</v>
      </c>
      <c r="W105" s="191"/>
      <c r="X105" s="47"/>
      <c r="Y105" s="47"/>
    </row>
    <row r="106">
      <c r="A106" s="28">
        <f t="shared" si="5"/>
        <v>104</v>
      </c>
      <c r="B106" s="21"/>
      <c r="C106" s="21"/>
      <c r="D106" s="21"/>
      <c r="E106" s="187" t="s">
        <v>641</v>
      </c>
      <c r="F106" s="21"/>
      <c r="G106" s="21"/>
      <c r="H106" s="21"/>
      <c r="I106" s="187" t="s">
        <v>642</v>
      </c>
      <c r="J106" s="31" t="s">
        <v>645</v>
      </c>
      <c r="K106" s="34" t="s">
        <v>625</v>
      </c>
      <c r="L106" s="28">
        <f>IFERROR(__xludf.DUMMYFUNCTION("""COMPUTED_VALUE"""),180.0)</f>
        <v>180</v>
      </c>
      <c r="M106" s="28"/>
      <c r="N106" s="37" t="e">
        <v>#VALUE!</v>
      </c>
      <c r="O106" s="179"/>
      <c r="P106" s="179"/>
      <c r="Q106" s="179"/>
      <c r="R106" s="180"/>
      <c r="S106" s="34" t="s">
        <v>67</v>
      </c>
      <c r="T106" s="28" t="s">
        <v>68</v>
      </c>
      <c r="U106" s="28" t="s">
        <v>69</v>
      </c>
      <c r="V106" s="45" t="s">
        <v>76</v>
      </c>
      <c r="W106" s="191"/>
      <c r="X106" s="47"/>
      <c r="Y106" s="47"/>
    </row>
    <row r="107">
      <c r="A107" s="28">
        <f t="shared" si="5"/>
        <v>105</v>
      </c>
      <c r="B107" s="173">
        <v>190.0</v>
      </c>
      <c r="C107" s="96" t="s">
        <v>630</v>
      </c>
      <c r="D107" s="59" t="s">
        <v>620</v>
      </c>
      <c r="E107" s="189" t="s">
        <v>621</v>
      </c>
      <c r="F107" s="173">
        <v>190.0</v>
      </c>
      <c r="G107" s="96" t="s">
        <v>632</v>
      </c>
      <c r="H107" s="59" t="s">
        <v>623</v>
      </c>
      <c r="I107" s="190" t="s">
        <v>635</v>
      </c>
      <c r="J107" s="37" t="str">
        <f>'参照_各種特典'!$F$38</f>
        <v>Mystic Matrimony Bonus Story ～Motonari～</v>
      </c>
      <c r="K107" s="34" t="s">
        <v>625</v>
      </c>
      <c r="L107" s="28">
        <f>IFERROR(__xludf.DUMMYFUNCTION("""COMPUTED_VALUE"""),190.0)</f>
        <v>190</v>
      </c>
      <c r="M107" s="34">
        <v>11.0</v>
      </c>
      <c r="N107" s="37" t="s">
        <v>653</v>
      </c>
      <c r="O107" s="92" t="s">
        <v>67</v>
      </c>
      <c r="P107" s="92" t="s">
        <v>68</v>
      </c>
      <c r="Q107" s="92" t="s">
        <v>69</v>
      </c>
      <c r="R107" s="171">
        <v>46062.0</v>
      </c>
      <c r="S107" s="36"/>
      <c r="T107" s="36"/>
      <c r="U107" s="36"/>
      <c r="V107" s="36"/>
      <c r="W107" s="191"/>
      <c r="X107" s="47"/>
      <c r="Y107" s="47"/>
    </row>
    <row r="108">
      <c r="A108" s="28">
        <f t="shared" si="5"/>
        <v>106</v>
      </c>
      <c r="B108" s="20"/>
      <c r="C108" s="62" t="s">
        <v>72</v>
      </c>
      <c r="D108" s="21"/>
      <c r="E108" s="190" t="s">
        <v>617</v>
      </c>
      <c r="F108" s="20"/>
      <c r="G108" s="62" t="s">
        <v>74</v>
      </c>
      <c r="H108" s="21"/>
      <c r="I108" s="190" t="s">
        <v>618</v>
      </c>
      <c r="J108" s="37"/>
      <c r="K108" s="34" t="s">
        <v>625</v>
      </c>
      <c r="L108" s="28">
        <f>IFERROR(__xludf.DUMMYFUNCTION("""COMPUTED_VALUE"""),190.0)</f>
        <v>190</v>
      </c>
      <c r="M108" s="28"/>
      <c r="N108" s="37"/>
      <c r="O108" s="92" t="s">
        <v>67</v>
      </c>
      <c r="P108" s="92" t="s">
        <v>68</v>
      </c>
      <c r="Q108" s="92" t="s">
        <v>69</v>
      </c>
      <c r="R108" s="171">
        <v>46062.0</v>
      </c>
      <c r="S108" s="34" t="s">
        <v>67</v>
      </c>
      <c r="T108" s="28" t="s">
        <v>68</v>
      </c>
      <c r="U108" s="28" t="s">
        <v>69</v>
      </c>
      <c r="V108" s="45" t="s">
        <v>76</v>
      </c>
      <c r="W108" s="191"/>
      <c r="X108" s="47"/>
      <c r="Y108" s="47"/>
    </row>
    <row r="109">
      <c r="A109" s="28">
        <f t="shared" si="5"/>
        <v>107</v>
      </c>
      <c r="B109" s="21"/>
      <c r="C109" s="21"/>
      <c r="D109" s="37" t="s">
        <v>626</v>
      </c>
      <c r="E109" s="190" t="s">
        <v>627</v>
      </c>
      <c r="F109" s="21"/>
      <c r="G109" s="21"/>
      <c r="H109" s="37" t="s">
        <v>628</v>
      </c>
      <c r="I109" s="190" t="s">
        <v>640</v>
      </c>
      <c r="J109" s="37"/>
      <c r="K109" s="34" t="s">
        <v>625</v>
      </c>
      <c r="L109" s="28">
        <f>IFERROR(__xludf.DUMMYFUNCTION("""COMPUTED_VALUE"""),190.0)</f>
        <v>190</v>
      </c>
      <c r="M109" s="28"/>
      <c r="N109" s="37"/>
      <c r="O109" s="179"/>
      <c r="P109" s="179"/>
      <c r="Q109" s="179"/>
      <c r="R109" s="180"/>
      <c r="S109" s="34" t="s">
        <v>67</v>
      </c>
      <c r="T109" s="28" t="s">
        <v>68</v>
      </c>
      <c r="U109" s="28" t="s">
        <v>69</v>
      </c>
      <c r="V109" s="45" t="s">
        <v>76</v>
      </c>
      <c r="W109" s="191"/>
      <c r="X109" s="47"/>
      <c r="Y109" s="47"/>
    </row>
    <row r="110">
      <c r="A110" s="28">
        <f t="shared" si="5"/>
        <v>108</v>
      </c>
      <c r="B110" s="182">
        <v>200.0</v>
      </c>
      <c r="C110" s="91" t="s">
        <v>630</v>
      </c>
      <c r="D110" s="29" t="s">
        <v>620</v>
      </c>
      <c r="E110" s="183" t="s">
        <v>631</v>
      </c>
      <c r="F110" s="182">
        <v>200.0</v>
      </c>
      <c r="G110" s="91" t="s">
        <v>632</v>
      </c>
      <c r="H110" s="29" t="s">
        <v>623</v>
      </c>
      <c r="I110" s="183" t="s">
        <v>633</v>
      </c>
      <c r="J110" s="31" t="str">
        <f>'参照_各種特典'!D39</f>
        <v>Mystic Matrimony◆Collection Bonus</v>
      </c>
      <c r="K110" s="34" t="s">
        <v>625</v>
      </c>
      <c r="L110" s="28">
        <f>IFERROR(__xludf.DUMMYFUNCTION("""COMPUTED_VALUE"""),200.0)</f>
        <v>200</v>
      </c>
      <c r="M110" s="34">
        <v>4.0</v>
      </c>
      <c r="N110" s="37" t="s">
        <v>634</v>
      </c>
      <c r="O110" s="92" t="s">
        <v>67</v>
      </c>
      <c r="P110" s="92" t="s">
        <v>68</v>
      </c>
      <c r="Q110" s="92" t="s">
        <v>69</v>
      </c>
      <c r="R110" s="171">
        <v>46062.0</v>
      </c>
      <c r="S110" s="36"/>
      <c r="T110" s="36"/>
      <c r="U110" s="36"/>
      <c r="V110" s="36"/>
      <c r="W110" s="191"/>
      <c r="X110" s="47"/>
      <c r="Y110" s="47"/>
    </row>
    <row r="111">
      <c r="A111" s="28">
        <f t="shared" si="5"/>
        <v>109</v>
      </c>
      <c r="B111" s="20"/>
      <c r="C111" s="20"/>
      <c r="D111" s="20"/>
      <c r="E111" s="183" t="s">
        <v>621</v>
      </c>
      <c r="F111" s="20"/>
      <c r="G111" s="20"/>
      <c r="H111" s="20"/>
      <c r="I111" s="187" t="s">
        <v>635</v>
      </c>
      <c r="J111" s="31" t="str">
        <f>'参照_各種特典'!F39</f>
        <v>Limited Chapter Ticket</v>
      </c>
      <c r="K111" s="34" t="s">
        <v>625</v>
      </c>
      <c r="L111" s="28">
        <f>IFERROR(__xludf.DUMMYFUNCTION("""COMPUTED_VALUE"""),200.0)</f>
        <v>200</v>
      </c>
      <c r="M111" s="34">
        <v>11.0</v>
      </c>
      <c r="N111" s="37" t="s">
        <v>654</v>
      </c>
      <c r="O111" s="92" t="s">
        <v>67</v>
      </c>
      <c r="P111" s="92" t="s">
        <v>68</v>
      </c>
      <c r="Q111" s="92" t="s">
        <v>69</v>
      </c>
      <c r="R111" s="171">
        <v>46062.0</v>
      </c>
      <c r="S111" s="36"/>
      <c r="T111" s="36"/>
      <c r="U111" s="36"/>
      <c r="V111" s="36"/>
      <c r="W111" s="191"/>
      <c r="X111" s="47"/>
      <c r="Y111" s="47"/>
    </row>
    <row r="112">
      <c r="A112" s="28">
        <f t="shared" si="5"/>
        <v>110</v>
      </c>
      <c r="B112" s="20"/>
      <c r="C112" s="21"/>
      <c r="D112" s="20"/>
      <c r="E112" s="187" t="s">
        <v>637</v>
      </c>
      <c r="F112" s="20"/>
      <c r="G112" s="21"/>
      <c r="H112" s="20"/>
      <c r="I112" s="187" t="s">
        <v>292</v>
      </c>
      <c r="J112" s="31">
        <f>'参照_各種特典'!H39</f>
        <v>1</v>
      </c>
      <c r="K112" s="34" t="s">
        <v>625</v>
      </c>
      <c r="L112" s="28">
        <f>IFERROR(__xludf.DUMMYFUNCTION("""COMPUTED_VALUE"""),200.0)</f>
        <v>200</v>
      </c>
      <c r="M112" s="34">
        <v>7.0</v>
      </c>
      <c r="N112" s="37" t="s">
        <v>639</v>
      </c>
      <c r="O112" s="92" t="s">
        <v>67</v>
      </c>
      <c r="P112" s="92" t="s">
        <v>68</v>
      </c>
      <c r="Q112" s="92" t="s">
        <v>69</v>
      </c>
      <c r="R112" s="171">
        <v>46062.0</v>
      </c>
      <c r="S112" s="36"/>
      <c r="T112" s="36"/>
      <c r="U112" s="36"/>
      <c r="V112" s="36"/>
      <c r="W112" s="191"/>
      <c r="X112" s="47"/>
      <c r="Y112" s="47"/>
    </row>
    <row r="113">
      <c r="A113" s="28">
        <f t="shared" si="5"/>
        <v>111</v>
      </c>
      <c r="B113" s="20"/>
      <c r="C113" s="62" t="s">
        <v>72</v>
      </c>
      <c r="D113" s="21"/>
      <c r="E113" s="187" t="s">
        <v>617</v>
      </c>
      <c r="F113" s="20"/>
      <c r="G113" s="62" t="s">
        <v>74</v>
      </c>
      <c r="H113" s="21"/>
      <c r="I113" s="187" t="s">
        <v>618</v>
      </c>
      <c r="J113" s="31"/>
      <c r="K113" s="34" t="s">
        <v>625</v>
      </c>
      <c r="L113" s="28">
        <f>IFERROR(__xludf.DUMMYFUNCTION("""COMPUTED_VALUE"""),200.0)</f>
        <v>200</v>
      </c>
      <c r="M113" s="28"/>
      <c r="N113" s="37"/>
      <c r="O113" s="92" t="s">
        <v>67</v>
      </c>
      <c r="P113" s="92" t="s">
        <v>68</v>
      </c>
      <c r="Q113" s="92" t="s">
        <v>69</v>
      </c>
      <c r="R113" s="171">
        <v>46062.0</v>
      </c>
      <c r="S113" s="34" t="s">
        <v>67</v>
      </c>
      <c r="T113" s="28" t="s">
        <v>68</v>
      </c>
      <c r="U113" s="28" t="s">
        <v>69</v>
      </c>
      <c r="V113" s="45" t="s">
        <v>76</v>
      </c>
      <c r="W113" s="191"/>
      <c r="X113" s="47"/>
      <c r="Y113" s="47"/>
    </row>
    <row r="114">
      <c r="A114" s="28">
        <f t="shared" si="5"/>
        <v>112</v>
      </c>
      <c r="B114" s="20"/>
      <c r="C114" s="20"/>
      <c r="D114" s="29" t="s">
        <v>626</v>
      </c>
      <c r="E114" s="187" t="s">
        <v>627</v>
      </c>
      <c r="F114" s="20"/>
      <c r="G114" s="20"/>
      <c r="H114" s="29" t="s">
        <v>628</v>
      </c>
      <c r="I114" s="187" t="s">
        <v>640</v>
      </c>
      <c r="J114" s="31"/>
      <c r="K114" s="34" t="s">
        <v>625</v>
      </c>
      <c r="L114" s="28">
        <f>IFERROR(__xludf.DUMMYFUNCTION("""COMPUTED_VALUE"""),200.0)</f>
        <v>200</v>
      </c>
      <c r="M114" s="28"/>
      <c r="N114" s="37"/>
      <c r="O114" s="179"/>
      <c r="P114" s="179"/>
      <c r="Q114" s="179"/>
      <c r="R114" s="180"/>
      <c r="S114" s="34" t="s">
        <v>67</v>
      </c>
      <c r="T114" s="28" t="s">
        <v>68</v>
      </c>
      <c r="U114" s="28" t="s">
        <v>69</v>
      </c>
      <c r="V114" s="45" t="s">
        <v>76</v>
      </c>
      <c r="W114" s="191"/>
      <c r="X114" s="47"/>
      <c r="Y114" s="47"/>
    </row>
    <row r="115">
      <c r="A115" s="28">
        <f t="shared" si="5"/>
        <v>113</v>
      </c>
      <c r="B115" s="21"/>
      <c r="C115" s="21"/>
      <c r="D115" s="21"/>
      <c r="E115" s="187" t="s">
        <v>641</v>
      </c>
      <c r="F115" s="21"/>
      <c r="G115" s="21"/>
      <c r="H115" s="21"/>
      <c r="I115" s="187" t="s">
        <v>642</v>
      </c>
      <c r="J115" s="31" t="s">
        <v>645</v>
      </c>
      <c r="K115" s="34" t="s">
        <v>625</v>
      </c>
      <c r="L115" s="28">
        <f>IFERROR(__xludf.DUMMYFUNCTION("""COMPUTED_VALUE"""),200.0)</f>
        <v>200</v>
      </c>
      <c r="M115" s="28"/>
      <c r="N115" s="37" t="e">
        <v>#VALUE!</v>
      </c>
      <c r="O115" s="179"/>
      <c r="P115" s="179"/>
      <c r="Q115" s="179"/>
      <c r="R115" s="180"/>
      <c r="S115" s="34" t="s">
        <v>67</v>
      </c>
      <c r="T115" s="28" t="s">
        <v>68</v>
      </c>
      <c r="U115" s="28" t="s">
        <v>69</v>
      </c>
      <c r="V115" s="45" t="s">
        <v>76</v>
      </c>
      <c r="W115" s="191"/>
      <c r="X115" s="47"/>
      <c r="Y115" s="47"/>
    </row>
    <row r="116">
      <c r="A116" s="28">
        <f t="shared" si="5"/>
        <v>114</v>
      </c>
      <c r="B116" s="173">
        <v>210.0</v>
      </c>
      <c r="C116" s="91" t="s">
        <v>630</v>
      </c>
      <c r="D116" s="59" t="s">
        <v>620</v>
      </c>
      <c r="E116" s="189" t="s">
        <v>631</v>
      </c>
      <c r="F116" s="173">
        <v>210.0</v>
      </c>
      <c r="G116" s="91" t="s">
        <v>632</v>
      </c>
      <c r="H116" s="59" t="s">
        <v>623</v>
      </c>
      <c r="I116" s="189" t="s">
        <v>633</v>
      </c>
      <c r="J116" s="37" t="str">
        <f>'参照_各種特典'!D40</f>
        <v>Mystic Matrimony◆Collection Bonus</v>
      </c>
      <c r="K116" s="34" t="s">
        <v>625</v>
      </c>
      <c r="L116" s="28">
        <f>IFERROR(__xludf.DUMMYFUNCTION("""COMPUTED_VALUE"""),210.0)</f>
        <v>210</v>
      </c>
      <c r="M116" s="34">
        <v>4.0</v>
      </c>
      <c r="N116" s="37" t="s">
        <v>634</v>
      </c>
      <c r="O116" s="92" t="s">
        <v>67</v>
      </c>
      <c r="P116" s="92" t="s">
        <v>68</v>
      </c>
      <c r="Q116" s="92" t="s">
        <v>69</v>
      </c>
      <c r="R116" s="171">
        <v>46062.0</v>
      </c>
      <c r="S116" s="36"/>
      <c r="T116" s="36"/>
      <c r="U116" s="36"/>
      <c r="V116" s="36"/>
      <c r="W116" s="191"/>
      <c r="X116" s="47"/>
      <c r="Y116" s="47"/>
    </row>
    <row r="117">
      <c r="A117" s="28">
        <f t="shared" si="5"/>
        <v>115</v>
      </c>
      <c r="B117" s="20"/>
      <c r="C117" s="20"/>
      <c r="D117" s="20"/>
      <c r="E117" s="189" t="s">
        <v>621</v>
      </c>
      <c r="F117" s="20"/>
      <c r="G117" s="20"/>
      <c r="H117" s="20"/>
      <c r="I117" s="190" t="s">
        <v>635</v>
      </c>
      <c r="J117" s="37" t="str">
        <f>'参照_各種特典'!F40</f>
        <v>500 Gold</v>
      </c>
      <c r="K117" s="34" t="s">
        <v>625</v>
      </c>
      <c r="L117" s="28">
        <f>IFERROR(__xludf.DUMMYFUNCTION("""COMPUTED_VALUE"""),210.0)</f>
        <v>210</v>
      </c>
      <c r="M117" s="34">
        <v>11.0</v>
      </c>
      <c r="N117" s="37" t="s">
        <v>644</v>
      </c>
      <c r="O117" s="92" t="s">
        <v>67</v>
      </c>
      <c r="P117" s="92" t="s">
        <v>68</v>
      </c>
      <c r="Q117" s="92" t="s">
        <v>69</v>
      </c>
      <c r="R117" s="171">
        <v>46062.0</v>
      </c>
      <c r="S117" s="36"/>
      <c r="T117" s="36"/>
      <c r="U117" s="36"/>
      <c r="V117" s="36"/>
      <c r="W117" s="191"/>
      <c r="X117" s="47"/>
      <c r="Y117" s="47"/>
    </row>
    <row r="118">
      <c r="A118" s="28">
        <f t="shared" si="5"/>
        <v>116</v>
      </c>
      <c r="B118" s="20"/>
      <c r="C118" s="21"/>
      <c r="D118" s="20"/>
      <c r="E118" s="190" t="s">
        <v>637</v>
      </c>
      <c r="F118" s="20"/>
      <c r="G118" s="21"/>
      <c r="H118" s="20"/>
      <c r="I118" s="190" t="s">
        <v>292</v>
      </c>
      <c r="J118" s="37">
        <f>'参照_各種特典'!H40</f>
        <v>1</v>
      </c>
      <c r="K118" s="34" t="s">
        <v>625</v>
      </c>
      <c r="L118" s="28">
        <f>IFERROR(__xludf.DUMMYFUNCTION("""COMPUTED_VALUE"""),210.0)</f>
        <v>210</v>
      </c>
      <c r="M118" s="34">
        <v>7.0</v>
      </c>
      <c r="N118" s="37" t="s">
        <v>639</v>
      </c>
      <c r="O118" s="92" t="s">
        <v>67</v>
      </c>
      <c r="P118" s="92" t="s">
        <v>68</v>
      </c>
      <c r="Q118" s="92" t="s">
        <v>69</v>
      </c>
      <c r="R118" s="171">
        <v>46062.0</v>
      </c>
      <c r="S118" s="36"/>
      <c r="T118" s="36"/>
      <c r="U118" s="36"/>
      <c r="V118" s="36"/>
      <c r="W118" s="191"/>
      <c r="X118" s="47"/>
      <c r="Y118" s="47"/>
    </row>
    <row r="119">
      <c r="A119" s="28">
        <f t="shared" si="5"/>
        <v>117</v>
      </c>
      <c r="B119" s="20"/>
      <c r="C119" s="62" t="s">
        <v>72</v>
      </c>
      <c r="D119" s="21"/>
      <c r="E119" s="190" t="s">
        <v>617</v>
      </c>
      <c r="F119" s="20"/>
      <c r="G119" s="62" t="s">
        <v>74</v>
      </c>
      <c r="H119" s="21"/>
      <c r="I119" s="190" t="s">
        <v>618</v>
      </c>
      <c r="J119" s="37"/>
      <c r="K119" s="34" t="s">
        <v>625</v>
      </c>
      <c r="L119" s="28">
        <f>IFERROR(__xludf.DUMMYFUNCTION("""COMPUTED_VALUE"""),210.0)</f>
        <v>210</v>
      </c>
      <c r="M119" s="28"/>
      <c r="N119" s="37"/>
      <c r="O119" s="92" t="s">
        <v>67</v>
      </c>
      <c r="P119" s="92" t="s">
        <v>68</v>
      </c>
      <c r="Q119" s="92" t="s">
        <v>69</v>
      </c>
      <c r="R119" s="171">
        <v>46062.0</v>
      </c>
      <c r="S119" s="34" t="s">
        <v>67</v>
      </c>
      <c r="T119" s="28" t="s">
        <v>68</v>
      </c>
      <c r="U119" s="28" t="s">
        <v>69</v>
      </c>
      <c r="V119" s="45" t="s">
        <v>76</v>
      </c>
      <c r="W119" s="191"/>
      <c r="X119" s="47"/>
      <c r="Y119" s="47"/>
    </row>
    <row r="120">
      <c r="A120" s="28">
        <f t="shared" si="5"/>
        <v>118</v>
      </c>
      <c r="B120" s="20"/>
      <c r="C120" s="20"/>
      <c r="D120" s="59" t="s">
        <v>626</v>
      </c>
      <c r="E120" s="190" t="s">
        <v>627</v>
      </c>
      <c r="F120" s="20"/>
      <c r="G120" s="20"/>
      <c r="H120" s="59" t="s">
        <v>628</v>
      </c>
      <c r="I120" s="190" t="s">
        <v>640</v>
      </c>
      <c r="J120" s="37"/>
      <c r="K120" s="34" t="s">
        <v>625</v>
      </c>
      <c r="L120" s="28">
        <f>IFERROR(__xludf.DUMMYFUNCTION("""COMPUTED_VALUE"""),210.0)</f>
        <v>210</v>
      </c>
      <c r="M120" s="28"/>
      <c r="N120" s="37"/>
      <c r="O120" s="179"/>
      <c r="P120" s="179"/>
      <c r="Q120" s="179"/>
      <c r="R120" s="180"/>
      <c r="S120" s="34" t="s">
        <v>67</v>
      </c>
      <c r="T120" s="28" t="s">
        <v>68</v>
      </c>
      <c r="U120" s="28" t="s">
        <v>69</v>
      </c>
      <c r="V120" s="45" t="s">
        <v>76</v>
      </c>
      <c r="W120" s="191"/>
      <c r="X120" s="47"/>
      <c r="Y120" s="47"/>
    </row>
    <row r="121">
      <c r="A121" s="28">
        <f t="shared" si="5"/>
        <v>119</v>
      </c>
      <c r="B121" s="21"/>
      <c r="C121" s="21"/>
      <c r="D121" s="21"/>
      <c r="E121" s="190" t="s">
        <v>641</v>
      </c>
      <c r="F121" s="21"/>
      <c r="G121" s="21"/>
      <c r="H121" s="21"/>
      <c r="I121" s="190" t="s">
        <v>642</v>
      </c>
      <c r="J121" s="37" t="s">
        <v>645</v>
      </c>
      <c r="K121" s="34" t="s">
        <v>625</v>
      </c>
      <c r="L121" s="28">
        <f>IFERROR(__xludf.DUMMYFUNCTION("""COMPUTED_VALUE"""),210.0)</f>
        <v>210</v>
      </c>
      <c r="M121" s="28"/>
      <c r="N121" s="37" t="e">
        <v>#VALUE!</v>
      </c>
      <c r="O121" s="179"/>
      <c r="P121" s="179"/>
      <c r="Q121" s="179"/>
      <c r="R121" s="180"/>
      <c r="S121" s="34" t="s">
        <v>67</v>
      </c>
      <c r="T121" s="28" t="s">
        <v>68</v>
      </c>
      <c r="U121" s="28" t="s">
        <v>69</v>
      </c>
      <c r="V121" s="45" t="s">
        <v>76</v>
      </c>
      <c r="W121" s="191"/>
      <c r="X121" s="47"/>
      <c r="Y121" s="47"/>
    </row>
    <row r="122">
      <c r="A122" s="28">
        <f t="shared" si="5"/>
        <v>120</v>
      </c>
      <c r="B122" s="182">
        <v>220.0</v>
      </c>
      <c r="C122" s="91" t="s">
        <v>630</v>
      </c>
      <c r="D122" s="29" t="s">
        <v>620</v>
      </c>
      <c r="E122" s="183" t="s">
        <v>631</v>
      </c>
      <c r="F122" s="182">
        <v>220.0</v>
      </c>
      <c r="G122" s="91" t="s">
        <v>632</v>
      </c>
      <c r="H122" s="29" t="s">
        <v>623</v>
      </c>
      <c r="I122" s="183" t="s">
        <v>633</v>
      </c>
      <c r="J122" s="31" t="str">
        <f>'参照_各種特典'!D41</f>
        <v>Mystic Matrimony◆Collection Bonus</v>
      </c>
      <c r="K122" s="34" t="s">
        <v>625</v>
      </c>
      <c r="L122" s="28">
        <f>IFERROR(__xludf.DUMMYFUNCTION("""COMPUTED_VALUE"""),220.0)</f>
        <v>220</v>
      </c>
      <c r="M122" s="34">
        <v>4.0</v>
      </c>
      <c r="N122" s="37" t="s">
        <v>634</v>
      </c>
      <c r="O122" s="92" t="s">
        <v>67</v>
      </c>
      <c r="P122" s="92" t="s">
        <v>68</v>
      </c>
      <c r="Q122" s="92" t="s">
        <v>69</v>
      </c>
      <c r="R122" s="171">
        <v>46062.0</v>
      </c>
      <c r="S122" s="36"/>
      <c r="T122" s="36"/>
      <c r="U122" s="36"/>
      <c r="V122" s="36"/>
      <c r="W122" s="191"/>
      <c r="X122" s="47"/>
      <c r="Y122" s="47"/>
    </row>
    <row r="123">
      <c r="A123" s="28">
        <f t="shared" si="5"/>
        <v>121</v>
      </c>
      <c r="B123" s="20"/>
      <c r="C123" s="20"/>
      <c r="D123" s="20"/>
      <c r="E123" s="183" t="s">
        <v>621</v>
      </c>
      <c r="F123" s="20"/>
      <c r="G123" s="20"/>
      <c r="H123" s="20"/>
      <c r="I123" s="187" t="s">
        <v>635</v>
      </c>
      <c r="J123" s="31" t="str">
        <f>'参照_各種特典'!F41</f>
        <v>Castle Storage</v>
      </c>
      <c r="K123" s="34" t="s">
        <v>625</v>
      </c>
      <c r="L123" s="28">
        <f>IFERROR(__xludf.DUMMYFUNCTION("""COMPUTED_VALUE"""),220.0)</f>
        <v>220</v>
      </c>
      <c r="M123" s="34">
        <v>11.0</v>
      </c>
      <c r="N123" s="37" t="s">
        <v>650</v>
      </c>
      <c r="O123" s="92" t="s">
        <v>67</v>
      </c>
      <c r="P123" s="92" t="s">
        <v>68</v>
      </c>
      <c r="Q123" s="92" t="s">
        <v>69</v>
      </c>
      <c r="R123" s="171">
        <v>46062.0</v>
      </c>
      <c r="S123" s="36"/>
      <c r="T123" s="36"/>
      <c r="U123" s="36"/>
      <c r="V123" s="36"/>
      <c r="W123" s="191"/>
      <c r="X123" s="47"/>
      <c r="Y123" s="47"/>
    </row>
    <row r="124">
      <c r="A124" s="28">
        <f t="shared" si="5"/>
        <v>122</v>
      </c>
      <c r="B124" s="20"/>
      <c r="C124" s="21"/>
      <c r="D124" s="20"/>
      <c r="E124" s="187" t="s">
        <v>637</v>
      </c>
      <c r="F124" s="20"/>
      <c r="G124" s="21"/>
      <c r="H124" s="20"/>
      <c r="I124" s="187" t="s">
        <v>292</v>
      </c>
      <c r="J124" s="31">
        <f>'参照_各種特典'!H41</f>
        <v>1</v>
      </c>
      <c r="K124" s="34" t="s">
        <v>625</v>
      </c>
      <c r="L124" s="28">
        <f>IFERROR(__xludf.DUMMYFUNCTION("""COMPUTED_VALUE"""),220.0)</f>
        <v>220</v>
      </c>
      <c r="M124" s="34">
        <v>7.0</v>
      </c>
      <c r="N124" s="37" t="s">
        <v>639</v>
      </c>
      <c r="O124" s="92" t="s">
        <v>67</v>
      </c>
      <c r="P124" s="92" t="s">
        <v>68</v>
      </c>
      <c r="Q124" s="92" t="s">
        <v>69</v>
      </c>
      <c r="R124" s="171">
        <v>46062.0</v>
      </c>
      <c r="S124" s="36"/>
      <c r="T124" s="36"/>
      <c r="U124" s="36"/>
      <c r="V124" s="36"/>
      <c r="W124" s="191"/>
      <c r="X124" s="47"/>
      <c r="Y124" s="47"/>
    </row>
    <row r="125">
      <c r="A125" s="28">
        <f t="shared" si="5"/>
        <v>123</v>
      </c>
      <c r="B125" s="20"/>
      <c r="C125" s="62" t="s">
        <v>72</v>
      </c>
      <c r="D125" s="21"/>
      <c r="E125" s="187" t="s">
        <v>617</v>
      </c>
      <c r="F125" s="20"/>
      <c r="G125" s="62" t="s">
        <v>74</v>
      </c>
      <c r="H125" s="21"/>
      <c r="I125" s="187" t="s">
        <v>618</v>
      </c>
      <c r="J125" s="31"/>
      <c r="K125" s="34" t="s">
        <v>625</v>
      </c>
      <c r="L125" s="28">
        <f>IFERROR(__xludf.DUMMYFUNCTION("""COMPUTED_VALUE"""),220.0)</f>
        <v>220</v>
      </c>
      <c r="M125" s="28"/>
      <c r="N125" s="37"/>
      <c r="O125" s="92" t="s">
        <v>67</v>
      </c>
      <c r="P125" s="92" t="s">
        <v>68</v>
      </c>
      <c r="Q125" s="92" t="s">
        <v>69</v>
      </c>
      <c r="R125" s="171">
        <v>46062.0</v>
      </c>
      <c r="S125" s="34" t="s">
        <v>67</v>
      </c>
      <c r="T125" s="28" t="s">
        <v>68</v>
      </c>
      <c r="U125" s="28" t="s">
        <v>69</v>
      </c>
      <c r="V125" s="45" t="s">
        <v>76</v>
      </c>
      <c r="W125" s="191"/>
      <c r="X125" s="47"/>
      <c r="Y125" s="47"/>
    </row>
    <row r="126">
      <c r="A126" s="28">
        <f t="shared" si="5"/>
        <v>124</v>
      </c>
      <c r="B126" s="20"/>
      <c r="C126" s="20"/>
      <c r="D126" s="29" t="s">
        <v>626</v>
      </c>
      <c r="E126" s="187" t="s">
        <v>627</v>
      </c>
      <c r="F126" s="20"/>
      <c r="G126" s="20"/>
      <c r="H126" s="29" t="s">
        <v>628</v>
      </c>
      <c r="I126" s="187" t="s">
        <v>640</v>
      </c>
      <c r="J126" s="31"/>
      <c r="K126" s="34" t="s">
        <v>625</v>
      </c>
      <c r="L126" s="28">
        <f>IFERROR(__xludf.DUMMYFUNCTION("""COMPUTED_VALUE"""),220.0)</f>
        <v>220</v>
      </c>
      <c r="M126" s="28"/>
      <c r="N126" s="37"/>
      <c r="O126" s="179"/>
      <c r="P126" s="179"/>
      <c r="Q126" s="179"/>
      <c r="R126" s="180"/>
      <c r="S126" s="34" t="s">
        <v>67</v>
      </c>
      <c r="T126" s="28" t="s">
        <v>68</v>
      </c>
      <c r="U126" s="28" t="s">
        <v>69</v>
      </c>
      <c r="V126" s="45" t="s">
        <v>76</v>
      </c>
      <c r="W126" s="191"/>
      <c r="X126" s="47"/>
      <c r="Y126" s="47"/>
    </row>
    <row r="127">
      <c r="A127" s="28">
        <f t="shared" si="5"/>
        <v>125</v>
      </c>
      <c r="B127" s="21"/>
      <c r="C127" s="21"/>
      <c r="D127" s="21"/>
      <c r="E127" s="187" t="s">
        <v>641</v>
      </c>
      <c r="F127" s="21"/>
      <c r="G127" s="21"/>
      <c r="H127" s="21"/>
      <c r="I127" s="187" t="s">
        <v>642</v>
      </c>
      <c r="J127" s="31" t="s">
        <v>645</v>
      </c>
      <c r="K127" s="34" t="s">
        <v>625</v>
      </c>
      <c r="L127" s="28">
        <f>IFERROR(__xludf.DUMMYFUNCTION("""COMPUTED_VALUE"""),220.0)</f>
        <v>220</v>
      </c>
      <c r="M127" s="28"/>
      <c r="N127" s="37" t="e">
        <v>#VALUE!</v>
      </c>
      <c r="O127" s="179"/>
      <c r="P127" s="179"/>
      <c r="Q127" s="179"/>
      <c r="R127" s="180"/>
      <c r="S127" s="34" t="s">
        <v>67</v>
      </c>
      <c r="T127" s="28" t="s">
        <v>68</v>
      </c>
      <c r="U127" s="28" t="s">
        <v>69</v>
      </c>
      <c r="V127" s="45" t="s">
        <v>76</v>
      </c>
      <c r="W127" s="191"/>
      <c r="X127" s="47"/>
      <c r="Y127" s="47"/>
    </row>
    <row r="128">
      <c r="A128" s="28">
        <f t="shared" si="5"/>
        <v>126</v>
      </c>
      <c r="B128" s="173">
        <v>230.0</v>
      </c>
      <c r="C128" s="91" t="s">
        <v>630</v>
      </c>
      <c r="D128" s="59" t="s">
        <v>620</v>
      </c>
      <c r="E128" s="189" t="s">
        <v>631</v>
      </c>
      <c r="F128" s="173">
        <v>230.0</v>
      </c>
      <c r="G128" s="91" t="s">
        <v>632</v>
      </c>
      <c r="H128" s="59" t="s">
        <v>623</v>
      </c>
      <c r="I128" s="189" t="s">
        <v>633</v>
      </c>
      <c r="J128" s="37" t="str">
        <f>'参照_各種特典'!D42</f>
        <v>Mystic Matrimony◆Collection Bonus</v>
      </c>
      <c r="K128" s="34" t="s">
        <v>625</v>
      </c>
      <c r="L128" s="28">
        <f>IFERROR(__xludf.DUMMYFUNCTION("""COMPUTED_VALUE"""),230.0)</f>
        <v>230</v>
      </c>
      <c r="M128" s="34">
        <v>4.0</v>
      </c>
      <c r="N128" s="37" t="s">
        <v>634</v>
      </c>
      <c r="O128" s="92" t="s">
        <v>67</v>
      </c>
      <c r="P128" s="92" t="s">
        <v>68</v>
      </c>
      <c r="Q128" s="92" t="s">
        <v>69</v>
      </c>
      <c r="R128" s="171">
        <v>46062.0</v>
      </c>
      <c r="S128" s="36"/>
      <c r="T128" s="36"/>
      <c r="U128" s="36"/>
      <c r="V128" s="36"/>
      <c r="W128" s="191"/>
      <c r="X128" s="47"/>
      <c r="Y128" s="47"/>
    </row>
    <row r="129">
      <c r="A129" s="28"/>
      <c r="B129" s="20"/>
      <c r="C129" s="20"/>
      <c r="D129" s="20"/>
      <c r="E129" s="189" t="s">
        <v>621</v>
      </c>
      <c r="F129" s="20"/>
      <c r="G129" s="20"/>
      <c r="H129" s="20"/>
      <c r="I129" s="190" t="s">
        <v>635</v>
      </c>
      <c r="J129" s="37" t="str">
        <f>'参照_各種特典'!F42</f>
        <v>Kicho with a Lantern</v>
      </c>
      <c r="K129" s="34" t="s">
        <v>625</v>
      </c>
      <c r="L129" s="28">
        <f>IFERROR(__xludf.DUMMYFUNCTION("""COMPUTED_VALUE"""),230.0)</f>
        <v>230</v>
      </c>
      <c r="M129" s="34">
        <v>11.0</v>
      </c>
      <c r="N129" s="37" t="s">
        <v>655</v>
      </c>
      <c r="O129" s="92" t="s">
        <v>67</v>
      </c>
      <c r="P129" s="92" t="s">
        <v>68</v>
      </c>
      <c r="Q129" s="92" t="s">
        <v>69</v>
      </c>
      <c r="R129" s="171">
        <v>46062.0</v>
      </c>
      <c r="S129" s="36"/>
      <c r="T129" s="36"/>
      <c r="U129" s="36"/>
      <c r="V129" s="36"/>
      <c r="W129" s="191"/>
      <c r="X129" s="47"/>
      <c r="Y129" s="47"/>
    </row>
    <row r="130">
      <c r="A130" s="28"/>
      <c r="B130" s="20"/>
      <c r="C130" s="21"/>
      <c r="D130" s="20"/>
      <c r="E130" s="190" t="s">
        <v>637</v>
      </c>
      <c r="F130" s="20"/>
      <c r="G130" s="21"/>
      <c r="H130" s="20"/>
      <c r="I130" s="190" t="s">
        <v>292</v>
      </c>
      <c r="J130" s="37">
        <f>'参照_各種特典'!H42</f>
        <v>1</v>
      </c>
      <c r="K130" s="34" t="s">
        <v>625</v>
      </c>
      <c r="L130" s="28">
        <f>IFERROR(__xludf.DUMMYFUNCTION("""COMPUTED_VALUE"""),230.0)</f>
        <v>230</v>
      </c>
      <c r="M130" s="34">
        <v>7.0</v>
      </c>
      <c r="N130" s="37" t="s">
        <v>639</v>
      </c>
      <c r="O130" s="92" t="s">
        <v>67</v>
      </c>
      <c r="P130" s="92" t="s">
        <v>68</v>
      </c>
      <c r="Q130" s="92" t="s">
        <v>69</v>
      </c>
      <c r="R130" s="171">
        <v>46062.0</v>
      </c>
      <c r="S130" s="36"/>
      <c r="T130" s="36"/>
      <c r="U130" s="36"/>
      <c r="V130" s="36"/>
      <c r="W130" s="191"/>
      <c r="X130" s="47"/>
      <c r="Y130" s="47"/>
    </row>
    <row r="131">
      <c r="A131" s="28">
        <f>ROW()-2</f>
        <v>129</v>
      </c>
      <c r="B131" s="20"/>
      <c r="C131" s="62" t="s">
        <v>72</v>
      </c>
      <c r="D131" s="21"/>
      <c r="E131" s="190" t="s">
        <v>617</v>
      </c>
      <c r="F131" s="20"/>
      <c r="G131" s="62" t="s">
        <v>74</v>
      </c>
      <c r="H131" s="21"/>
      <c r="I131" s="190" t="s">
        <v>618</v>
      </c>
      <c r="J131" s="37"/>
      <c r="K131" s="34" t="s">
        <v>625</v>
      </c>
      <c r="L131" s="28">
        <f>IFERROR(__xludf.DUMMYFUNCTION("""COMPUTED_VALUE"""),230.0)</f>
        <v>230</v>
      </c>
      <c r="M131" s="28"/>
      <c r="N131" s="37"/>
      <c r="O131" s="92" t="s">
        <v>67</v>
      </c>
      <c r="P131" s="92" t="s">
        <v>68</v>
      </c>
      <c r="Q131" s="92" t="s">
        <v>69</v>
      </c>
      <c r="R131" s="171">
        <v>46062.0</v>
      </c>
      <c r="S131" s="34" t="s">
        <v>67</v>
      </c>
      <c r="T131" s="28" t="s">
        <v>68</v>
      </c>
      <c r="U131" s="28" t="s">
        <v>69</v>
      </c>
      <c r="V131" s="45" t="s">
        <v>76</v>
      </c>
      <c r="W131" s="191"/>
      <c r="X131" s="47"/>
      <c r="Y131" s="47"/>
    </row>
    <row r="132">
      <c r="A132" s="28"/>
      <c r="B132" s="20"/>
      <c r="C132" s="20"/>
      <c r="D132" s="59" t="s">
        <v>626</v>
      </c>
      <c r="E132" s="190" t="s">
        <v>627</v>
      </c>
      <c r="F132" s="20"/>
      <c r="G132" s="20"/>
      <c r="H132" s="59" t="s">
        <v>628</v>
      </c>
      <c r="I132" s="190" t="s">
        <v>640</v>
      </c>
      <c r="J132" s="37"/>
      <c r="K132" s="34" t="s">
        <v>625</v>
      </c>
      <c r="L132" s="28">
        <f>IFERROR(__xludf.DUMMYFUNCTION("""COMPUTED_VALUE"""),230.0)</f>
        <v>230</v>
      </c>
      <c r="M132" s="28"/>
      <c r="N132" s="37"/>
      <c r="O132" s="179"/>
      <c r="P132" s="179"/>
      <c r="Q132" s="179"/>
      <c r="R132" s="180"/>
      <c r="S132" s="34" t="s">
        <v>67</v>
      </c>
      <c r="T132" s="28" t="s">
        <v>68</v>
      </c>
      <c r="U132" s="28" t="s">
        <v>69</v>
      </c>
      <c r="V132" s="45" t="s">
        <v>76</v>
      </c>
      <c r="W132" s="191"/>
      <c r="X132" s="47"/>
      <c r="Y132" s="47"/>
    </row>
    <row r="133">
      <c r="A133" s="28">
        <f t="shared" ref="A133:A153" si="6">ROW()-2</f>
        <v>131</v>
      </c>
      <c r="B133" s="21"/>
      <c r="C133" s="21"/>
      <c r="D133" s="21"/>
      <c r="E133" s="190" t="s">
        <v>641</v>
      </c>
      <c r="F133" s="21"/>
      <c r="G133" s="21"/>
      <c r="H133" s="21"/>
      <c r="I133" s="190" t="s">
        <v>642</v>
      </c>
      <c r="J133" s="37" t="s">
        <v>645</v>
      </c>
      <c r="K133" s="34" t="s">
        <v>625</v>
      </c>
      <c r="L133" s="28">
        <f>IFERROR(__xludf.DUMMYFUNCTION("""COMPUTED_VALUE"""),230.0)</f>
        <v>230</v>
      </c>
      <c r="M133" s="28"/>
      <c r="N133" s="37" t="e">
        <v>#VALUE!</v>
      </c>
      <c r="O133" s="179"/>
      <c r="P133" s="179"/>
      <c r="Q133" s="179"/>
      <c r="R133" s="180"/>
      <c r="S133" s="34" t="s">
        <v>67</v>
      </c>
      <c r="T133" s="28" t="s">
        <v>68</v>
      </c>
      <c r="U133" s="28" t="s">
        <v>69</v>
      </c>
      <c r="V133" s="45" t="s">
        <v>76</v>
      </c>
      <c r="W133" s="191"/>
      <c r="X133" s="47"/>
      <c r="Y133" s="47"/>
    </row>
    <row r="134">
      <c r="A134" s="28">
        <f t="shared" si="6"/>
        <v>132</v>
      </c>
      <c r="B134" s="182">
        <v>240.0</v>
      </c>
      <c r="C134" s="91" t="s">
        <v>630</v>
      </c>
      <c r="D134" s="29" t="s">
        <v>620</v>
      </c>
      <c r="E134" s="183" t="s">
        <v>631</v>
      </c>
      <c r="F134" s="182">
        <v>240.0</v>
      </c>
      <c r="G134" s="91" t="s">
        <v>632</v>
      </c>
      <c r="H134" s="29" t="s">
        <v>623</v>
      </c>
      <c r="I134" s="184" t="s">
        <v>633</v>
      </c>
      <c r="J134" s="31" t="str">
        <f>'参照_各種特典'!D43</f>
        <v>Mystic Matrimony◆Collection Bonus</v>
      </c>
      <c r="K134" s="34" t="s">
        <v>625</v>
      </c>
      <c r="L134" s="28">
        <f>IFERROR(__xludf.DUMMYFUNCTION("""COMPUTED_VALUE"""),240.0)</f>
        <v>240</v>
      </c>
      <c r="M134" s="34">
        <v>4.0</v>
      </c>
      <c r="N134" s="37" t="s">
        <v>634</v>
      </c>
      <c r="O134" s="92" t="s">
        <v>67</v>
      </c>
      <c r="P134" s="92" t="s">
        <v>68</v>
      </c>
      <c r="Q134" s="92" t="s">
        <v>69</v>
      </c>
      <c r="R134" s="171">
        <v>46062.0</v>
      </c>
      <c r="S134" s="36"/>
      <c r="T134" s="36"/>
      <c r="U134" s="36"/>
      <c r="V134" s="36"/>
      <c r="W134" s="191"/>
      <c r="X134" s="47"/>
      <c r="Y134" s="47"/>
    </row>
    <row r="135">
      <c r="A135" s="28">
        <f t="shared" si="6"/>
        <v>133</v>
      </c>
      <c r="B135" s="20"/>
      <c r="C135" s="20"/>
      <c r="D135" s="20"/>
      <c r="E135" s="183" t="s">
        <v>621</v>
      </c>
      <c r="F135" s="20"/>
      <c r="G135" s="20"/>
      <c r="H135" s="20"/>
      <c r="I135" s="187" t="s">
        <v>635</v>
      </c>
      <c r="J135" s="31" t="str">
        <f>'参照_各種特典'!F43</f>
        <v>Perfume (+100 Grace)</v>
      </c>
      <c r="K135" s="34" t="s">
        <v>625</v>
      </c>
      <c r="L135" s="28">
        <f>IFERROR(__xludf.DUMMYFUNCTION("""COMPUTED_VALUE"""),240.0)</f>
        <v>240</v>
      </c>
      <c r="M135" s="34">
        <v>11.0</v>
      </c>
      <c r="N135" s="37" t="s">
        <v>652</v>
      </c>
      <c r="O135" s="92" t="s">
        <v>67</v>
      </c>
      <c r="P135" s="92" t="s">
        <v>68</v>
      </c>
      <c r="Q135" s="92" t="s">
        <v>69</v>
      </c>
      <c r="R135" s="171">
        <v>46062.0</v>
      </c>
      <c r="S135" s="36"/>
      <c r="T135" s="36"/>
      <c r="U135" s="36"/>
      <c r="V135" s="36"/>
      <c r="W135" s="191"/>
      <c r="X135" s="47"/>
      <c r="Y135" s="47"/>
    </row>
    <row r="136">
      <c r="A136" s="28">
        <f t="shared" si="6"/>
        <v>134</v>
      </c>
      <c r="B136" s="20"/>
      <c r="C136" s="21"/>
      <c r="D136" s="20"/>
      <c r="E136" s="187" t="s">
        <v>637</v>
      </c>
      <c r="F136" s="20"/>
      <c r="G136" s="21"/>
      <c r="H136" s="20"/>
      <c r="I136" s="187" t="s">
        <v>292</v>
      </c>
      <c r="J136" s="31">
        <f>'参照_各種特典'!H43</f>
        <v>1</v>
      </c>
      <c r="K136" s="34" t="s">
        <v>625</v>
      </c>
      <c r="L136" s="28">
        <f>IFERROR(__xludf.DUMMYFUNCTION("""COMPUTED_VALUE"""),240.0)</f>
        <v>240</v>
      </c>
      <c r="M136" s="34">
        <v>7.0</v>
      </c>
      <c r="N136" s="37" t="s">
        <v>639</v>
      </c>
      <c r="O136" s="92" t="s">
        <v>67</v>
      </c>
      <c r="P136" s="92" t="s">
        <v>68</v>
      </c>
      <c r="Q136" s="92" t="s">
        <v>69</v>
      </c>
      <c r="R136" s="171">
        <v>46062.0</v>
      </c>
      <c r="S136" s="36"/>
      <c r="T136" s="36"/>
      <c r="U136" s="36"/>
      <c r="V136" s="36"/>
      <c r="W136" s="191"/>
      <c r="X136" s="47"/>
      <c r="Y136" s="47"/>
    </row>
    <row r="137">
      <c r="A137" s="28">
        <f t="shared" si="6"/>
        <v>135</v>
      </c>
      <c r="B137" s="20"/>
      <c r="C137" s="62" t="s">
        <v>72</v>
      </c>
      <c r="D137" s="21"/>
      <c r="E137" s="187" t="s">
        <v>617</v>
      </c>
      <c r="F137" s="20"/>
      <c r="G137" s="62" t="s">
        <v>74</v>
      </c>
      <c r="H137" s="21"/>
      <c r="I137" s="187" t="s">
        <v>618</v>
      </c>
      <c r="J137" s="31"/>
      <c r="K137" s="34" t="s">
        <v>625</v>
      </c>
      <c r="L137" s="28">
        <f>IFERROR(__xludf.DUMMYFUNCTION("""COMPUTED_VALUE"""),240.0)</f>
        <v>240</v>
      </c>
      <c r="M137" s="28"/>
      <c r="N137" s="37"/>
      <c r="O137" s="92" t="s">
        <v>67</v>
      </c>
      <c r="P137" s="92" t="s">
        <v>68</v>
      </c>
      <c r="Q137" s="92" t="s">
        <v>69</v>
      </c>
      <c r="R137" s="171">
        <v>46062.0</v>
      </c>
      <c r="S137" s="34" t="s">
        <v>67</v>
      </c>
      <c r="T137" s="28" t="s">
        <v>68</v>
      </c>
      <c r="U137" s="28" t="s">
        <v>69</v>
      </c>
      <c r="V137" s="45" t="s">
        <v>76</v>
      </c>
      <c r="W137" s="191"/>
      <c r="X137" s="47"/>
      <c r="Y137" s="47"/>
    </row>
    <row r="138">
      <c r="A138" s="28">
        <f t="shared" si="6"/>
        <v>136</v>
      </c>
      <c r="B138" s="20"/>
      <c r="C138" s="20"/>
      <c r="D138" s="29" t="s">
        <v>626</v>
      </c>
      <c r="E138" s="187" t="s">
        <v>627</v>
      </c>
      <c r="F138" s="20"/>
      <c r="G138" s="20"/>
      <c r="H138" s="29" t="s">
        <v>628</v>
      </c>
      <c r="I138" s="187" t="s">
        <v>640</v>
      </c>
      <c r="J138" s="31"/>
      <c r="K138" s="34" t="s">
        <v>625</v>
      </c>
      <c r="L138" s="28">
        <f>IFERROR(__xludf.DUMMYFUNCTION("""COMPUTED_VALUE"""),240.0)</f>
        <v>240</v>
      </c>
      <c r="M138" s="28"/>
      <c r="N138" s="37"/>
      <c r="O138" s="179"/>
      <c r="P138" s="179"/>
      <c r="Q138" s="179"/>
      <c r="R138" s="180"/>
      <c r="S138" s="34" t="s">
        <v>67</v>
      </c>
      <c r="T138" s="28" t="s">
        <v>68</v>
      </c>
      <c r="U138" s="28" t="s">
        <v>69</v>
      </c>
      <c r="V138" s="45" t="s">
        <v>76</v>
      </c>
      <c r="W138" s="191"/>
      <c r="X138" s="47"/>
      <c r="Y138" s="47"/>
    </row>
    <row r="139">
      <c r="A139" s="28">
        <f t="shared" si="6"/>
        <v>137</v>
      </c>
      <c r="B139" s="20"/>
      <c r="C139" s="20"/>
      <c r="D139" s="20"/>
      <c r="E139" s="187" t="s">
        <v>641</v>
      </c>
      <c r="F139" s="20"/>
      <c r="G139" s="20"/>
      <c r="H139" s="20"/>
      <c r="I139" s="187" t="s">
        <v>642</v>
      </c>
      <c r="J139" s="31" t="s">
        <v>645</v>
      </c>
      <c r="K139" s="34" t="s">
        <v>625</v>
      </c>
      <c r="L139" s="28">
        <f>IFERROR(__xludf.DUMMYFUNCTION("""COMPUTED_VALUE"""),240.0)</f>
        <v>240</v>
      </c>
      <c r="M139" s="28"/>
      <c r="N139" s="37" t="e">
        <v>#VALUE!</v>
      </c>
      <c r="O139" s="179"/>
      <c r="P139" s="179"/>
      <c r="Q139" s="179"/>
      <c r="R139" s="180"/>
      <c r="S139" s="34" t="s">
        <v>67</v>
      </c>
      <c r="T139" s="28" t="s">
        <v>68</v>
      </c>
      <c r="U139" s="28" t="s">
        <v>69</v>
      </c>
      <c r="V139" s="45" t="s">
        <v>76</v>
      </c>
      <c r="W139" s="191"/>
      <c r="X139" s="47"/>
      <c r="Y139" s="47"/>
    </row>
    <row r="140">
      <c r="A140" s="28">
        <f t="shared" si="6"/>
        <v>138</v>
      </c>
      <c r="B140" s="21"/>
      <c r="C140" s="21"/>
      <c r="D140" s="21"/>
      <c r="E140" s="187" t="s">
        <v>627</v>
      </c>
      <c r="F140" s="21"/>
      <c r="G140" s="21"/>
      <c r="H140" s="21"/>
      <c r="I140" s="187" t="s">
        <v>640</v>
      </c>
      <c r="J140" s="31" t="str">
        <f>'参照_各種特典'!F14</f>
        <v>Shining Silver Ash Hair</v>
      </c>
      <c r="K140" s="34" t="s">
        <v>625</v>
      </c>
      <c r="L140" s="28">
        <f>IFERROR(__xludf.DUMMYFUNCTION("""COMPUTED_VALUE"""),240.0)</f>
        <v>240</v>
      </c>
      <c r="M140" s="28"/>
      <c r="N140" s="37" t="e">
        <v>#VALUE!</v>
      </c>
      <c r="O140" s="105"/>
      <c r="P140" s="105"/>
      <c r="Q140" s="105"/>
      <c r="R140" s="192"/>
      <c r="S140" s="36"/>
      <c r="T140" s="36"/>
      <c r="U140" s="36"/>
      <c r="V140" s="36"/>
      <c r="W140" s="191"/>
      <c r="X140" s="47"/>
      <c r="Y140" s="47"/>
    </row>
    <row r="141">
      <c r="A141" s="28">
        <f t="shared" si="6"/>
        <v>139</v>
      </c>
      <c r="B141" s="173">
        <v>250.0</v>
      </c>
      <c r="C141" s="91" t="s">
        <v>630</v>
      </c>
      <c r="D141" s="59" t="s">
        <v>620</v>
      </c>
      <c r="E141" s="189" t="s">
        <v>631</v>
      </c>
      <c r="F141" s="173">
        <v>250.0</v>
      </c>
      <c r="G141" s="91" t="s">
        <v>632</v>
      </c>
      <c r="H141" s="59" t="s">
        <v>623</v>
      </c>
      <c r="I141" s="189" t="s">
        <v>633</v>
      </c>
      <c r="J141" s="37" t="str">
        <f>'参照_各種特典'!D44</f>
        <v>Mystic Matrimony◆Collection Bonus</v>
      </c>
      <c r="K141" s="34" t="s">
        <v>625</v>
      </c>
      <c r="L141" s="28">
        <f>IFERROR(__xludf.DUMMYFUNCTION("""COMPUTED_VALUE"""),250.0)</f>
        <v>250</v>
      </c>
      <c r="M141" s="34">
        <v>4.0</v>
      </c>
      <c r="N141" s="37" t="s">
        <v>634</v>
      </c>
      <c r="O141" s="92" t="s">
        <v>67</v>
      </c>
      <c r="P141" s="92" t="s">
        <v>68</v>
      </c>
      <c r="Q141" s="92" t="s">
        <v>69</v>
      </c>
      <c r="R141" s="171">
        <v>46062.0</v>
      </c>
      <c r="S141" s="36"/>
      <c r="T141" s="36"/>
      <c r="U141" s="36"/>
      <c r="V141" s="36"/>
      <c r="W141" s="191"/>
      <c r="X141" s="47"/>
      <c r="Y141" s="47"/>
    </row>
    <row r="142">
      <c r="A142" s="28">
        <f t="shared" si="6"/>
        <v>140</v>
      </c>
      <c r="B142" s="20"/>
      <c r="C142" s="20"/>
      <c r="D142" s="20"/>
      <c r="E142" s="189" t="s">
        <v>621</v>
      </c>
      <c r="F142" s="20"/>
      <c r="G142" s="20"/>
      <c r="H142" s="20"/>
      <c r="I142" s="190" t="s">
        <v>635</v>
      </c>
      <c r="J142" s="37" t="str">
        <f>'参照_各種特典'!F44</f>
        <v>500 Gold</v>
      </c>
      <c r="K142" s="34" t="s">
        <v>625</v>
      </c>
      <c r="L142" s="28">
        <f>IFERROR(__xludf.DUMMYFUNCTION("""COMPUTED_VALUE"""),250.0)</f>
        <v>250</v>
      </c>
      <c r="M142" s="34">
        <v>11.0</v>
      </c>
      <c r="N142" s="37" t="s">
        <v>644</v>
      </c>
      <c r="O142" s="92" t="s">
        <v>67</v>
      </c>
      <c r="P142" s="92" t="s">
        <v>68</v>
      </c>
      <c r="Q142" s="92" t="s">
        <v>69</v>
      </c>
      <c r="R142" s="171">
        <v>46062.0</v>
      </c>
      <c r="S142" s="36"/>
      <c r="T142" s="36"/>
      <c r="U142" s="36"/>
      <c r="V142" s="36"/>
      <c r="W142" s="191"/>
      <c r="X142" s="47"/>
      <c r="Y142" s="47"/>
    </row>
    <row r="143">
      <c r="A143" s="28">
        <f t="shared" si="6"/>
        <v>141</v>
      </c>
      <c r="B143" s="20"/>
      <c r="C143" s="21"/>
      <c r="D143" s="20"/>
      <c r="E143" s="190" t="s">
        <v>637</v>
      </c>
      <c r="F143" s="20"/>
      <c r="G143" s="21"/>
      <c r="H143" s="20"/>
      <c r="I143" s="190" t="s">
        <v>292</v>
      </c>
      <c r="J143" s="37">
        <f>'参照_各種特典'!H44</f>
        <v>1</v>
      </c>
      <c r="K143" s="34" t="s">
        <v>625</v>
      </c>
      <c r="L143" s="28">
        <f>IFERROR(__xludf.DUMMYFUNCTION("""COMPUTED_VALUE"""),250.0)</f>
        <v>250</v>
      </c>
      <c r="M143" s="34">
        <v>7.0</v>
      </c>
      <c r="N143" s="37" t="s">
        <v>639</v>
      </c>
      <c r="O143" s="92" t="s">
        <v>67</v>
      </c>
      <c r="P143" s="92" t="s">
        <v>68</v>
      </c>
      <c r="Q143" s="92" t="s">
        <v>69</v>
      </c>
      <c r="R143" s="171">
        <v>46062.0</v>
      </c>
      <c r="S143" s="36"/>
      <c r="T143" s="36"/>
      <c r="U143" s="36"/>
      <c r="V143" s="36"/>
      <c r="W143" s="191"/>
      <c r="X143" s="47"/>
      <c r="Y143" s="47"/>
    </row>
    <row r="144">
      <c r="A144" s="28">
        <f t="shared" si="6"/>
        <v>142</v>
      </c>
      <c r="B144" s="20"/>
      <c r="C144" s="62" t="s">
        <v>72</v>
      </c>
      <c r="D144" s="21"/>
      <c r="E144" s="190" t="s">
        <v>617</v>
      </c>
      <c r="F144" s="20"/>
      <c r="G144" s="62" t="s">
        <v>74</v>
      </c>
      <c r="H144" s="21"/>
      <c r="I144" s="190" t="s">
        <v>618</v>
      </c>
      <c r="J144" s="37"/>
      <c r="K144" s="34" t="s">
        <v>625</v>
      </c>
      <c r="L144" s="28">
        <f>IFERROR(__xludf.DUMMYFUNCTION("""COMPUTED_VALUE"""),250.0)</f>
        <v>250</v>
      </c>
      <c r="M144" s="28"/>
      <c r="N144" s="37"/>
      <c r="O144" s="92" t="s">
        <v>67</v>
      </c>
      <c r="P144" s="92" t="s">
        <v>68</v>
      </c>
      <c r="Q144" s="92" t="s">
        <v>69</v>
      </c>
      <c r="R144" s="171">
        <v>46062.0</v>
      </c>
      <c r="S144" s="34" t="s">
        <v>67</v>
      </c>
      <c r="T144" s="28" t="s">
        <v>68</v>
      </c>
      <c r="U144" s="28" t="s">
        <v>69</v>
      </c>
      <c r="V144" s="45" t="s">
        <v>76</v>
      </c>
      <c r="W144" s="191"/>
      <c r="X144" s="47"/>
      <c r="Y144" s="47"/>
    </row>
    <row r="145">
      <c r="A145" s="28">
        <f t="shared" si="6"/>
        <v>143</v>
      </c>
      <c r="B145" s="20"/>
      <c r="C145" s="20"/>
      <c r="D145" s="59" t="s">
        <v>626</v>
      </c>
      <c r="E145" s="190" t="s">
        <v>627</v>
      </c>
      <c r="F145" s="20"/>
      <c r="G145" s="20"/>
      <c r="H145" s="59" t="s">
        <v>628</v>
      </c>
      <c r="I145" s="190" t="s">
        <v>640</v>
      </c>
      <c r="J145" s="37"/>
      <c r="K145" s="34" t="s">
        <v>625</v>
      </c>
      <c r="L145" s="28">
        <f>IFERROR(__xludf.DUMMYFUNCTION("""COMPUTED_VALUE"""),250.0)</f>
        <v>250</v>
      </c>
      <c r="M145" s="28"/>
      <c r="N145" s="37"/>
      <c r="O145" s="179"/>
      <c r="P145" s="179"/>
      <c r="Q145" s="179"/>
      <c r="R145" s="180"/>
      <c r="S145" s="34" t="s">
        <v>67</v>
      </c>
      <c r="T145" s="28" t="s">
        <v>68</v>
      </c>
      <c r="U145" s="28" t="s">
        <v>69</v>
      </c>
      <c r="V145" s="45" t="s">
        <v>76</v>
      </c>
      <c r="W145" s="191"/>
      <c r="X145" s="47"/>
      <c r="Y145" s="47"/>
    </row>
    <row r="146">
      <c r="A146" s="28">
        <f t="shared" si="6"/>
        <v>144</v>
      </c>
      <c r="B146" s="21"/>
      <c r="C146" s="21"/>
      <c r="D146" s="21"/>
      <c r="E146" s="190" t="s">
        <v>641</v>
      </c>
      <c r="F146" s="21"/>
      <c r="G146" s="21"/>
      <c r="H146" s="21"/>
      <c r="I146" s="190" t="s">
        <v>642</v>
      </c>
      <c r="J146" s="37" t="s">
        <v>645</v>
      </c>
      <c r="K146" s="34" t="s">
        <v>625</v>
      </c>
      <c r="L146" s="28">
        <f>IFERROR(__xludf.DUMMYFUNCTION("""COMPUTED_VALUE"""),250.0)</f>
        <v>250</v>
      </c>
      <c r="M146" s="28"/>
      <c r="N146" s="37" t="e">
        <v>#VALUE!</v>
      </c>
      <c r="O146" s="179"/>
      <c r="P146" s="179"/>
      <c r="Q146" s="179"/>
      <c r="R146" s="180"/>
      <c r="S146" s="34" t="s">
        <v>67</v>
      </c>
      <c r="T146" s="28" t="s">
        <v>68</v>
      </c>
      <c r="U146" s="28" t="s">
        <v>69</v>
      </c>
      <c r="V146" s="45" t="s">
        <v>76</v>
      </c>
      <c r="W146" s="191"/>
      <c r="X146" s="47"/>
      <c r="Y146" s="47"/>
    </row>
    <row r="147">
      <c r="A147" s="28">
        <f t="shared" si="6"/>
        <v>145</v>
      </c>
      <c r="B147" s="182">
        <v>260.0</v>
      </c>
      <c r="C147" s="91" t="s">
        <v>630</v>
      </c>
      <c r="D147" s="29" t="s">
        <v>620</v>
      </c>
      <c r="E147" s="183" t="s">
        <v>631</v>
      </c>
      <c r="F147" s="182">
        <v>260.0</v>
      </c>
      <c r="G147" s="91" t="s">
        <v>632</v>
      </c>
      <c r="H147" s="29" t="s">
        <v>623</v>
      </c>
      <c r="I147" s="183" t="s">
        <v>633</v>
      </c>
      <c r="J147" s="31" t="str">
        <f>'参照_各種特典'!D45</f>
        <v>Mystic Matrimony◆Collection Bonus</v>
      </c>
      <c r="K147" s="34" t="s">
        <v>625</v>
      </c>
      <c r="L147" s="28">
        <f>IFERROR(__xludf.DUMMYFUNCTION("""COMPUTED_VALUE"""),260.0)</f>
        <v>260</v>
      </c>
      <c r="M147" s="34">
        <v>4.0</v>
      </c>
      <c r="N147" s="37" t="s">
        <v>634</v>
      </c>
      <c r="O147" s="92" t="s">
        <v>67</v>
      </c>
      <c r="P147" s="92" t="s">
        <v>68</v>
      </c>
      <c r="Q147" s="92" t="s">
        <v>69</v>
      </c>
      <c r="R147" s="171">
        <v>46062.0</v>
      </c>
      <c r="S147" s="36"/>
      <c r="T147" s="36"/>
      <c r="U147" s="36"/>
      <c r="V147" s="36"/>
      <c r="W147" s="191"/>
      <c r="X147" s="47"/>
      <c r="Y147" s="47"/>
    </row>
    <row r="148">
      <c r="A148" s="28">
        <f t="shared" si="6"/>
        <v>146</v>
      </c>
      <c r="B148" s="20"/>
      <c r="C148" s="20"/>
      <c r="D148" s="20"/>
      <c r="E148" s="183" t="s">
        <v>621</v>
      </c>
      <c r="F148" s="20"/>
      <c r="G148" s="20"/>
      <c r="H148" s="20"/>
      <c r="I148" s="187" t="s">
        <v>635</v>
      </c>
      <c r="J148" s="31" t="str">
        <f>'参照_各種特典'!F45</f>
        <v>Kanetsugu with a Lantern</v>
      </c>
      <c r="K148" s="34" t="s">
        <v>625</v>
      </c>
      <c r="L148" s="28">
        <f>IFERROR(__xludf.DUMMYFUNCTION("""COMPUTED_VALUE"""),260.0)</f>
        <v>260</v>
      </c>
      <c r="M148" s="34">
        <v>11.0</v>
      </c>
      <c r="N148" s="37" t="s">
        <v>656</v>
      </c>
      <c r="O148" s="92" t="s">
        <v>67</v>
      </c>
      <c r="P148" s="92" t="s">
        <v>68</v>
      </c>
      <c r="Q148" s="92" t="s">
        <v>69</v>
      </c>
      <c r="R148" s="171">
        <v>46062.0</v>
      </c>
      <c r="S148" s="36"/>
      <c r="T148" s="36"/>
      <c r="U148" s="36"/>
      <c r="V148" s="36"/>
      <c r="W148" s="191"/>
      <c r="X148" s="47"/>
      <c r="Y148" s="47"/>
    </row>
    <row r="149">
      <c r="A149" s="28">
        <f t="shared" si="6"/>
        <v>147</v>
      </c>
      <c r="B149" s="20"/>
      <c r="C149" s="21"/>
      <c r="D149" s="20"/>
      <c r="E149" s="187" t="s">
        <v>637</v>
      </c>
      <c r="F149" s="20"/>
      <c r="G149" s="21"/>
      <c r="H149" s="20"/>
      <c r="I149" s="187" t="s">
        <v>292</v>
      </c>
      <c r="J149" s="31">
        <f>'参照_各種特典'!H45</f>
        <v>1</v>
      </c>
      <c r="K149" s="34" t="s">
        <v>625</v>
      </c>
      <c r="L149" s="28">
        <f>IFERROR(__xludf.DUMMYFUNCTION("""COMPUTED_VALUE"""),260.0)</f>
        <v>260</v>
      </c>
      <c r="M149" s="34">
        <v>7.0</v>
      </c>
      <c r="N149" s="37" t="s">
        <v>639</v>
      </c>
      <c r="O149" s="92" t="s">
        <v>67</v>
      </c>
      <c r="P149" s="92" t="s">
        <v>68</v>
      </c>
      <c r="Q149" s="92" t="s">
        <v>69</v>
      </c>
      <c r="R149" s="171">
        <v>46062.0</v>
      </c>
      <c r="S149" s="36"/>
      <c r="T149" s="36"/>
      <c r="U149" s="36"/>
      <c r="V149" s="36"/>
      <c r="W149" s="191"/>
      <c r="X149" s="47"/>
      <c r="Y149" s="47"/>
    </row>
    <row r="150">
      <c r="A150" s="28">
        <f t="shared" si="6"/>
        <v>148</v>
      </c>
      <c r="B150" s="20"/>
      <c r="C150" s="62" t="s">
        <v>72</v>
      </c>
      <c r="D150" s="21"/>
      <c r="E150" s="187" t="s">
        <v>617</v>
      </c>
      <c r="F150" s="20"/>
      <c r="G150" s="62" t="s">
        <v>74</v>
      </c>
      <c r="H150" s="21"/>
      <c r="I150" s="187" t="s">
        <v>618</v>
      </c>
      <c r="J150" s="31"/>
      <c r="K150" s="34" t="s">
        <v>625</v>
      </c>
      <c r="L150" s="28">
        <f>IFERROR(__xludf.DUMMYFUNCTION("""COMPUTED_VALUE"""),260.0)</f>
        <v>260</v>
      </c>
      <c r="M150" s="28"/>
      <c r="N150" s="37"/>
      <c r="O150" s="92" t="s">
        <v>67</v>
      </c>
      <c r="P150" s="92" t="s">
        <v>68</v>
      </c>
      <c r="Q150" s="92" t="s">
        <v>69</v>
      </c>
      <c r="R150" s="171">
        <v>46062.0</v>
      </c>
      <c r="S150" s="34" t="s">
        <v>67</v>
      </c>
      <c r="T150" s="28" t="s">
        <v>68</v>
      </c>
      <c r="U150" s="28" t="s">
        <v>69</v>
      </c>
      <c r="V150" s="45" t="s">
        <v>76</v>
      </c>
      <c r="W150" s="191"/>
      <c r="X150" s="47"/>
      <c r="Y150" s="47"/>
    </row>
    <row r="151">
      <c r="A151" s="28">
        <f t="shared" si="6"/>
        <v>149</v>
      </c>
      <c r="B151" s="20"/>
      <c r="C151" s="20"/>
      <c r="D151" s="29" t="s">
        <v>626</v>
      </c>
      <c r="E151" s="187" t="s">
        <v>627</v>
      </c>
      <c r="F151" s="20"/>
      <c r="G151" s="20"/>
      <c r="H151" s="29" t="s">
        <v>628</v>
      </c>
      <c r="I151" s="187" t="s">
        <v>640</v>
      </c>
      <c r="J151" s="31"/>
      <c r="K151" s="34" t="s">
        <v>625</v>
      </c>
      <c r="L151" s="28">
        <f>IFERROR(__xludf.DUMMYFUNCTION("""COMPUTED_VALUE"""),260.0)</f>
        <v>260</v>
      </c>
      <c r="M151" s="28"/>
      <c r="N151" s="37"/>
      <c r="O151" s="179"/>
      <c r="P151" s="179"/>
      <c r="Q151" s="179"/>
      <c r="R151" s="180"/>
      <c r="S151" s="34" t="s">
        <v>67</v>
      </c>
      <c r="T151" s="28" t="s">
        <v>68</v>
      </c>
      <c r="U151" s="28" t="s">
        <v>69</v>
      </c>
      <c r="V151" s="45" t="s">
        <v>76</v>
      </c>
      <c r="W151" s="191"/>
      <c r="X151" s="47"/>
      <c r="Y151" s="47"/>
    </row>
    <row r="152">
      <c r="A152" s="28">
        <f t="shared" si="6"/>
        <v>150</v>
      </c>
      <c r="B152" s="21"/>
      <c r="C152" s="21"/>
      <c r="D152" s="21"/>
      <c r="E152" s="187" t="s">
        <v>641</v>
      </c>
      <c r="F152" s="21"/>
      <c r="G152" s="21"/>
      <c r="H152" s="21"/>
      <c r="I152" s="187" t="s">
        <v>642</v>
      </c>
      <c r="J152" s="31" t="s">
        <v>645</v>
      </c>
      <c r="K152" s="34" t="s">
        <v>625</v>
      </c>
      <c r="L152" s="28">
        <f>IFERROR(__xludf.DUMMYFUNCTION("""COMPUTED_VALUE"""),260.0)</f>
        <v>260</v>
      </c>
      <c r="M152" s="28"/>
      <c r="N152" s="37" t="e">
        <v>#VALUE!</v>
      </c>
      <c r="O152" s="179"/>
      <c r="P152" s="179"/>
      <c r="Q152" s="179"/>
      <c r="R152" s="180"/>
      <c r="S152" s="34" t="s">
        <v>67</v>
      </c>
      <c r="T152" s="28" t="s">
        <v>68</v>
      </c>
      <c r="U152" s="28" t="s">
        <v>69</v>
      </c>
      <c r="V152" s="45" t="s">
        <v>76</v>
      </c>
      <c r="W152" s="191"/>
      <c r="X152" s="47"/>
      <c r="Y152" s="47"/>
    </row>
    <row r="153">
      <c r="A153" s="28">
        <f t="shared" si="6"/>
        <v>151</v>
      </c>
      <c r="B153" s="173">
        <v>270.0</v>
      </c>
      <c r="C153" s="91" t="s">
        <v>630</v>
      </c>
      <c r="D153" s="59" t="s">
        <v>620</v>
      </c>
      <c r="E153" s="189" t="s">
        <v>631</v>
      </c>
      <c r="F153" s="173">
        <v>270.0</v>
      </c>
      <c r="G153" s="91" t="s">
        <v>632</v>
      </c>
      <c r="H153" s="59" t="s">
        <v>623</v>
      </c>
      <c r="I153" s="189" t="s">
        <v>633</v>
      </c>
      <c r="J153" s="37" t="str">
        <f>'参照_各種特典'!D46</f>
        <v>Mystic Matrimony◆Collection Bonus</v>
      </c>
      <c r="K153" s="34" t="s">
        <v>625</v>
      </c>
      <c r="L153" s="28">
        <f>IFERROR(__xludf.DUMMYFUNCTION("""COMPUTED_VALUE"""),270.0)</f>
        <v>270</v>
      </c>
      <c r="M153" s="34">
        <v>4.0</v>
      </c>
      <c r="N153" s="37" t="s">
        <v>634</v>
      </c>
      <c r="O153" s="92" t="s">
        <v>67</v>
      </c>
      <c r="P153" s="92" t="s">
        <v>68</v>
      </c>
      <c r="Q153" s="92" t="s">
        <v>69</v>
      </c>
      <c r="R153" s="171">
        <v>46062.0</v>
      </c>
      <c r="S153" s="36"/>
      <c r="T153" s="36"/>
      <c r="U153" s="36"/>
      <c r="V153" s="36"/>
      <c r="W153" s="191"/>
      <c r="X153" s="47"/>
      <c r="Y153" s="47"/>
    </row>
    <row r="154">
      <c r="A154" s="28"/>
      <c r="B154" s="20"/>
      <c r="C154" s="20"/>
      <c r="D154" s="20"/>
      <c r="E154" s="189" t="s">
        <v>621</v>
      </c>
      <c r="F154" s="20"/>
      <c r="G154" s="20"/>
      <c r="H154" s="20"/>
      <c r="I154" s="190" t="s">
        <v>635</v>
      </c>
      <c r="J154" s="37" t="str">
        <f>'参照_各種特典'!F46</f>
        <v>Castle Storage</v>
      </c>
      <c r="K154" s="34" t="s">
        <v>625</v>
      </c>
      <c r="L154" s="28">
        <f>IFERROR(__xludf.DUMMYFUNCTION("""COMPUTED_VALUE"""),270.0)</f>
        <v>270</v>
      </c>
      <c r="M154" s="34">
        <v>11.0</v>
      </c>
      <c r="N154" s="37" t="s">
        <v>650</v>
      </c>
      <c r="O154" s="92" t="s">
        <v>67</v>
      </c>
      <c r="P154" s="92" t="s">
        <v>68</v>
      </c>
      <c r="Q154" s="92" t="s">
        <v>69</v>
      </c>
      <c r="R154" s="171">
        <v>46062.0</v>
      </c>
      <c r="S154" s="36"/>
      <c r="T154" s="36"/>
      <c r="U154" s="36"/>
      <c r="V154" s="36"/>
      <c r="W154" s="191"/>
      <c r="X154" s="47"/>
      <c r="Y154" s="47"/>
    </row>
    <row r="155">
      <c r="A155" s="28"/>
      <c r="B155" s="20"/>
      <c r="C155" s="21"/>
      <c r="D155" s="20"/>
      <c r="E155" s="190" t="s">
        <v>637</v>
      </c>
      <c r="F155" s="20"/>
      <c r="G155" s="21"/>
      <c r="H155" s="20"/>
      <c r="I155" s="190" t="s">
        <v>292</v>
      </c>
      <c r="J155" s="37">
        <f>'参照_各種特典'!H46</f>
        <v>1</v>
      </c>
      <c r="K155" s="34" t="s">
        <v>625</v>
      </c>
      <c r="L155" s="28">
        <f>IFERROR(__xludf.DUMMYFUNCTION("""COMPUTED_VALUE"""),270.0)</f>
        <v>270</v>
      </c>
      <c r="M155" s="34">
        <v>7.0</v>
      </c>
      <c r="N155" s="37" t="s">
        <v>639</v>
      </c>
      <c r="O155" s="92" t="s">
        <v>67</v>
      </c>
      <c r="P155" s="92" t="s">
        <v>68</v>
      </c>
      <c r="Q155" s="92" t="s">
        <v>69</v>
      </c>
      <c r="R155" s="171">
        <v>46062.0</v>
      </c>
      <c r="S155" s="36"/>
      <c r="T155" s="36"/>
      <c r="U155" s="36"/>
      <c r="V155" s="36"/>
      <c r="W155" s="191"/>
      <c r="X155" s="47"/>
      <c r="Y155" s="47"/>
    </row>
    <row r="156">
      <c r="A156" s="28">
        <f>ROW()-2</f>
        <v>154</v>
      </c>
      <c r="B156" s="20"/>
      <c r="C156" s="62" t="s">
        <v>72</v>
      </c>
      <c r="D156" s="21"/>
      <c r="E156" s="190" t="s">
        <v>617</v>
      </c>
      <c r="F156" s="20"/>
      <c r="G156" s="62" t="s">
        <v>74</v>
      </c>
      <c r="H156" s="21"/>
      <c r="I156" s="190" t="s">
        <v>618</v>
      </c>
      <c r="J156" s="37"/>
      <c r="K156" s="34" t="s">
        <v>625</v>
      </c>
      <c r="L156" s="28">
        <f>IFERROR(__xludf.DUMMYFUNCTION("""COMPUTED_VALUE"""),270.0)</f>
        <v>270</v>
      </c>
      <c r="M156" s="28"/>
      <c r="N156" s="37"/>
      <c r="O156" s="92" t="s">
        <v>67</v>
      </c>
      <c r="P156" s="92" t="s">
        <v>68</v>
      </c>
      <c r="Q156" s="92" t="s">
        <v>69</v>
      </c>
      <c r="R156" s="171">
        <v>46062.0</v>
      </c>
      <c r="S156" s="34" t="s">
        <v>67</v>
      </c>
      <c r="T156" s="28" t="s">
        <v>68</v>
      </c>
      <c r="U156" s="28" t="s">
        <v>69</v>
      </c>
      <c r="V156" s="45" t="s">
        <v>76</v>
      </c>
      <c r="W156" s="191"/>
      <c r="X156" s="47"/>
      <c r="Y156" s="47"/>
    </row>
    <row r="157">
      <c r="A157" s="28"/>
      <c r="B157" s="20"/>
      <c r="C157" s="20"/>
      <c r="D157" s="59" t="s">
        <v>626</v>
      </c>
      <c r="E157" s="190" t="s">
        <v>627</v>
      </c>
      <c r="F157" s="20"/>
      <c r="G157" s="20"/>
      <c r="H157" s="59" t="s">
        <v>628</v>
      </c>
      <c r="I157" s="190" t="s">
        <v>640</v>
      </c>
      <c r="J157" s="37"/>
      <c r="K157" s="34" t="s">
        <v>625</v>
      </c>
      <c r="L157" s="28">
        <f>IFERROR(__xludf.DUMMYFUNCTION("""COMPUTED_VALUE"""),270.0)</f>
        <v>270</v>
      </c>
      <c r="M157" s="28"/>
      <c r="N157" s="37"/>
      <c r="O157" s="179"/>
      <c r="P157" s="179"/>
      <c r="Q157" s="179"/>
      <c r="R157" s="180"/>
      <c r="S157" s="34" t="s">
        <v>67</v>
      </c>
      <c r="T157" s="28" t="s">
        <v>68</v>
      </c>
      <c r="U157" s="28" t="s">
        <v>69</v>
      </c>
      <c r="V157" s="45" t="s">
        <v>76</v>
      </c>
      <c r="W157" s="191"/>
      <c r="X157" s="47"/>
      <c r="Y157" s="47"/>
    </row>
    <row r="158">
      <c r="A158" s="28">
        <f t="shared" ref="A158:A185" si="7">ROW()-2</f>
        <v>156</v>
      </c>
      <c r="B158" s="21"/>
      <c r="C158" s="21"/>
      <c r="D158" s="21"/>
      <c r="E158" s="190" t="s">
        <v>641</v>
      </c>
      <c r="F158" s="21"/>
      <c r="G158" s="21"/>
      <c r="H158" s="21"/>
      <c r="I158" s="190" t="s">
        <v>642</v>
      </c>
      <c r="J158" s="37" t="s">
        <v>645</v>
      </c>
      <c r="K158" s="34" t="s">
        <v>625</v>
      </c>
      <c r="L158" s="28">
        <f>IFERROR(__xludf.DUMMYFUNCTION("""COMPUTED_VALUE"""),270.0)</f>
        <v>270</v>
      </c>
      <c r="M158" s="28"/>
      <c r="N158" s="37" t="e">
        <v>#VALUE!</v>
      </c>
      <c r="O158" s="179"/>
      <c r="P158" s="179"/>
      <c r="Q158" s="179"/>
      <c r="R158" s="180"/>
      <c r="S158" s="34" t="s">
        <v>67</v>
      </c>
      <c r="T158" s="28" t="s">
        <v>68</v>
      </c>
      <c r="U158" s="28" t="s">
        <v>69</v>
      </c>
      <c r="V158" s="45" t="s">
        <v>76</v>
      </c>
      <c r="W158" s="191"/>
      <c r="X158" s="47"/>
      <c r="Y158" s="47"/>
    </row>
    <row r="159">
      <c r="A159" s="28">
        <f t="shared" si="7"/>
        <v>157</v>
      </c>
      <c r="B159" s="182">
        <v>280.0</v>
      </c>
      <c r="C159" s="91" t="s">
        <v>630</v>
      </c>
      <c r="D159" s="29" t="s">
        <v>620</v>
      </c>
      <c r="E159" s="183" t="s">
        <v>631</v>
      </c>
      <c r="F159" s="182">
        <v>280.0</v>
      </c>
      <c r="G159" s="91" t="s">
        <v>632</v>
      </c>
      <c r="H159" s="29" t="s">
        <v>623</v>
      </c>
      <c r="I159" s="183" t="s">
        <v>633</v>
      </c>
      <c r="J159" s="31" t="str">
        <f>'参照_各種特典'!D47</f>
        <v>Mystic Matrimony◆Collection Bonus</v>
      </c>
      <c r="K159" s="34" t="s">
        <v>625</v>
      </c>
      <c r="L159" s="28">
        <f>IFERROR(__xludf.DUMMYFUNCTION("""COMPUTED_VALUE"""),280.0)</f>
        <v>280</v>
      </c>
      <c r="M159" s="34">
        <v>4.0</v>
      </c>
      <c r="N159" s="37" t="s">
        <v>634</v>
      </c>
      <c r="O159" s="92" t="s">
        <v>67</v>
      </c>
      <c r="P159" s="92" t="s">
        <v>68</v>
      </c>
      <c r="Q159" s="92" t="s">
        <v>69</v>
      </c>
      <c r="R159" s="171">
        <v>46062.0</v>
      </c>
      <c r="S159" s="36"/>
      <c r="T159" s="36"/>
      <c r="U159" s="36"/>
      <c r="V159" s="36"/>
      <c r="W159" s="191"/>
      <c r="X159" s="47"/>
      <c r="Y159" s="47"/>
    </row>
    <row r="160">
      <c r="A160" s="28">
        <f t="shared" si="7"/>
        <v>158</v>
      </c>
      <c r="B160" s="20"/>
      <c r="C160" s="20"/>
      <c r="D160" s="20"/>
      <c r="E160" s="183" t="s">
        <v>621</v>
      </c>
      <c r="F160" s="20"/>
      <c r="G160" s="20"/>
      <c r="H160" s="20"/>
      <c r="I160" s="187" t="s">
        <v>635</v>
      </c>
      <c r="J160" s="31" t="str">
        <f>'参照_各種特典'!F47</f>
        <v>Makeup (+100 Glamour)</v>
      </c>
      <c r="K160" s="34" t="s">
        <v>625</v>
      </c>
      <c r="L160" s="28">
        <f>IFERROR(__xludf.DUMMYFUNCTION("""COMPUTED_VALUE"""),280.0)</f>
        <v>280</v>
      </c>
      <c r="M160" s="34">
        <v>11.0</v>
      </c>
      <c r="N160" s="37" t="s">
        <v>649</v>
      </c>
      <c r="O160" s="92" t="s">
        <v>67</v>
      </c>
      <c r="P160" s="92" t="s">
        <v>68</v>
      </c>
      <c r="Q160" s="92" t="s">
        <v>69</v>
      </c>
      <c r="R160" s="171">
        <v>46062.0</v>
      </c>
      <c r="S160" s="36"/>
      <c r="T160" s="36"/>
      <c r="U160" s="36"/>
      <c r="V160" s="36"/>
      <c r="W160" s="191"/>
      <c r="X160" s="47"/>
      <c r="Y160" s="47"/>
    </row>
    <row r="161">
      <c r="A161" s="28">
        <f t="shared" si="7"/>
        <v>159</v>
      </c>
      <c r="B161" s="20"/>
      <c r="C161" s="21"/>
      <c r="D161" s="20"/>
      <c r="E161" s="187" t="s">
        <v>637</v>
      </c>
      <c r="F161" s="20"/>
      <c r="G161" s="21"/>
      <c r="H161" s="20"/>
      <c r="I161" s="187" t="s">
        <v>292</v>
      </c>
      <c r="J161" s="31">
        <f>'参照_各種特典'!H47</f>
        <v>1</v>
      </c>
      <c r="K161" s="34" t="s">
        <v>625</v>
      </c>
      <c r="L161" s="28">
        <f>IFERROR(__xludf.DUMMYFUNCTION("""COMPUTED_VALUE"""),280.0)</f>
        <v>280</v>
      </c>
      <c r="M161" s="34">
        <v>7.0</v>
      </c>
      <c r="N161" s="37" t="s">
        <v>639</v>
      </c>
      <c r="O161" s="92" t="s">
        <v>67</v>
      </c>
      <c r="P161" s="92" t="s">
        <v>68</v>
      </c>
      <c r="Q161" s="92" t="s">
        <v>69</v>
      </c>
      <c r="R161" s="171">
        <v>46062.0</v>
      </c>
      <c r="S161" s="36"/>
      <c r="T161" s="36"/>
      <c r="U161" s="36"/>
      <c r="V161" s="36"/>
      <c r="W161" s="191"/>
      <c r="X161" s="47"/>
      <c r="Y161" s="47"/>
    </row>
    <row r="162">
      <c r="A162" s="28">
        <f t="shared" si="7"/>
        <v>160</v>
      </c>
      <c r="B162" s="20"/>
      <c r="C162" s="62" t="s">
        <v>72</v>
      </c>
      <c r="D162" s="21"/>
      <c r="E162" s="187" t="s">
        <v>617</v>
      </c>
      <c r="F162" s="20"/>
      <c r="G162" s="62" t="s">
        <v>74</v>
      </c>
      <c r="H162" s="21"/>
      <c r="I162" s="187" t="s">
        <v>618</v>
      </c>
      <c r="J162" s="31"/>
      <c r="K162" s="34" t="s">
        <v>625</v>
      </c>
      <c r="L162" s="28">
        <f>IFERROR(__xludf.DUMMYFUNCTION("""COMPUTED_VALUE"""),280.0)</f>
        <v>280</v>
      </c>
      <c r="M162" s="28"/>
      <c r="N162" s="37"/>
      <c r="O162" s="92" t="s">
        <v>67</v>
      </c>
      <c r="P162" s="92" t="s">
        <v>68</v>
      </c>
      <c r="Q162" s="92" t="s">
        <v>69</v>
      </c>
      <c r="R162" s="171">
        <v>46062.0</v>
      </c>
      <c r="S162" s="34" t="s">
        <v>67</v>
      </c>
      <c r="T162" s="28" t="s">
        <v>68</v>
      </c>
      <c r="U162" s="28" t="s">
        <v>69</v>
      </c>
      <c r="V162" s="45" t="s">
        <v>76</v>
      </c>
      <c r="W162" s="191"/>
      <c r="X162" s="47"/>
      <c r="Y162" s="47"/>
    </row>
    <row r="163">
      <c r="A163" s="28">
        <f t="shared" si="7"/>
        <v>161</v>
      </c>
      <c r="B163" s="20"/>
      <c r="C163" s="20"/>
      <c r="D163" s="29" t="s">
        <v>626</v>
      </c>
      <c r="E163" s="187" t="s">
        <v>627</v>
      </c>
      <c r="F163" s="20"/>
      <c r="G163" s="20"/>
      <c r="H163" s="29" t="s">
        <v>628</v>
      </c>
      <c r="I163" s="187" t="s">
        <v>640</v>
      </c>
      <c r="J163" s="31"/>
      <c r="K163" s="34" t="s">
        <v>625</v>
      </c>
      <c r="L163" s="28">
        <f>IFERROR(__xludf.DUMMYFUNCTION("""COMPUTED_VALUE"""),280.0)</f>
        <v>280</v>
      </c>
      <c r="M163" s="28"/>
      <c r="N163" s="37"/>
      <c r="O163" s="179"/>
      <c r="P163" s="179"/>
      <c r="Q163" s="179"/>
      <c r="R163" s="180"/>
      <c r="S163" s="34" t="s">
        <v>67</v>
      </c>
      <c r="T163" s="28" t="s">
        <v>68</v>
      </c>
      <c r="U163" s="28" t="s">
        <v>69</v>
      </c>
      <c r="V163" s="45" t="s">
        <v>76</v>
      </c>
      <c r="W163" s="191"/>
      <c r="X163" s="47"/>
      <c r="Y163" s="47"/>
    </row>
    <row r="164">
      <c r="A164" s="28">
        <f t="shared" si="7"/>
        <v>162</v>
      </c>
      <c r="B164" s="21"/>
      <c r="C164" s="21"/>
      <c r="D164" s="21"/>
      <c r="E164" s="187" t="s">
        <v>641</v>
      </c>
      <c r="F164" s="21"/>
      <c r="G164" s="21"/>
      <c r="H164" s="21"/>
      <c r="I164" s="187" t="s">
        <v>642</v>
      </c>
      <c r="J164" s="31" t="s">
        <v>645</v>
      </c>
      <c r="K164" s="34" t="s">
        <v>625</v>
      </c>
      <c r="L164" s="28">
        <f>IFERROR(__xludf.DUMMYFUNCTION("""COMPUTED_VALUE"""),280.0)</f>
        <v>280</v>
      </c>
      <c r="M164" s="28"/>
      <c r="N164" s="37" t="e">
        <v>#VALUE!</v>
      </c>
      <c r="O164" s="179"/>
      <c r="P164" s="179"/>
      <c r="Q164" s="179"/>
      <c r="R164" s="180"/>
      <c r="S164" s="34" t="s">
        <v>67</v>
      </c>
      <c r="T164" s="28" t="s">
        <v>68</v>
      </c>
      <c r="U164" s="28" t="s">
        <v>69</v>
      </c>
      <c r="V164" s="45" t="s">
        <v>76</v>
      </c>
      <c r="W164" s="191"/>
      <c r="X164" s="47"/>
      <c r="Y164" s="47"/>
    </row>
    <row r="165">
      <c r="A165" s="28">
        <f t="shared" si="7"/>
        <v>163</v>
      </c>
      <c r="B165" s="173">
        <v>290.0</v>
      </c>
      <c r="C165" s="91" t="s">
        <v>630</v>
      </c>
      <c r="D165" s="59" t="s">
        <v>620</v>
      </c>
      <c r="E165" s="189" t="s">
        <v>631</v>
      </c>
      <c r="F165" s="173">
        <v>290.0</v>
      </c>
      <c r="G165" s="91" t="s">
        <v>632</v>
      </c>
      <c r="H165" s="59" t="s">
        <v>623</v>
      </c>
      <c r="I165" s="189" t="s">
        <v>633</v>
      </c>
      <c r="J165" s="37" t="str">
        <f>'参照_各種特典'!D48</f>
        <v>Mystic Matrimony◆Collection Bonus</v>
      </c>
      <c r="K165" s="34" t="s">
        <v>625</v>
      </c>
      <c r="L165" s="28">
        <f>IFERROR(__xludf.DUMMYFUNCTION("""COMPUTED_VALUE"""),290.0)</f>
        <v>290</v>
      </c>
      <c r="M165" s="34">
        <v>4.0</v>
      </c>
      <c r="N165" s="37" t="s">
        <v>634</v>
      </c>
      <c r="O165" s="92" t="s">
        <v>67</v>
      </c>
      <c r="P165" s="92" t="s">
        <v>68</v>
      </c>
      <c r="Q165" s="92" t="s">
        <v>69</v>
      </c>
      <c r="R165" s="171">
        <v>46062.0</v>
      </c>
      <c r="S165" s="36"/>
      <c r="T165" s="36"/>
      <c r="U165" s="36"/>
      <c r="V165" s="36"/>
      <c r="W165" s="191"/>
      <c r="X165" s="47"/>
      <c r="Y165" s="47"/>
    </row>
    <row r="166">
      <c r="A166" s="28">
        <f t="shared" si="7"/>
        <v>164</v>
      </c>
      <c r="B166" s="20"/>
      <c r="C166" s="20"/>
      <c r="D166" s="20"/>
      <c r="E166" s="189" t="s">
        <v>621</v>
      </c>
      <c r="F166" s="20"/>
      <c r="G166" s="20"/>
      <c r="H166" s="20"/>
      <c r="I166" s="190" t="s">
        <v>635</v>
      </c>
      <c r="J166" s="37" t="str">
        <f>'参照_各種特典'!F48</f>
        <v>Shaved Ice (+100 Stamina)</v>
      </c>
      <c r="K166" s="34" t="s">
        <v>625</v>
      </c>
      <c r="L166" s="28">
        <f>IFERROR(__xludf.DUMMYFUNCTION("""COMPUTED_VALUE"""),290.0)</f>
        <v>290</v>
      </c>
      <c r="M166" s="34">
        <v>11.0</v>
      </c>
      <c r="N166" s="37" t="s">
        <v>657</v>
      </c>
      <c r="O166" s="92" t="s">
        <v>67</v>
      </c>
      <c r="P166" s="92" t="s">
        <v>68</v>
      </c>
      <c r="Q166" s="92" t="s">
        <v>69</v>
      </c>
      <c r="R166" s="171">
        <v>46062.0</v>
      </c>
      <c r="S166" s="36"/>
      <c r="T166" s="36"/>
      <c r="U166" s="36"/>
      <c r="V166" s="36"/>
      <c r="W166" s="191"/>
      <c r="X166" s="47"/>
      <c r="Y166" s="47"/>
    </row>
    <row r="167">
      <c r="A167" s="28">
        <f t="shared" si="7"/>
        <v>165</v>
      </c>
      <c r="B167" s="20"/>
      <c r="C167" s="21"/>
      <c r="D167" s="20"/>
      <c r="E167" s="190" t="s">
        <v>637</v>
      </c>
      <c r="F167" s="20"/>
      <c r="G167" s="21"/>
      <c r="H167" s="20"/>
      <c r="I167" s="190" t="s">
        <v>292</v>
      </c>
      <c r="J167" s="37">
        <f>'参照_各種特典'!H48</f>
        <v>1</v>
      </c>
      <c r="K167" s="34" t="s">
        <v>625</v>
      </c>
      <c r="L167" s="28">
        <f>IFERROR(__xludf.DUMMYFUNCTION("""COMPUTED_VALUE"""),290.0)</f>
        <v>290</v>
      </c>
      <c r="M167" s="34">
        <v>7.0</v>
      </c>
      <c r="N167" s="37" t="s">
        <v>639</v>
      </c>
      <c r="O167" s="92" t="s">
        <v>67</v>
      </c>
      <c r="P167" s="92" t="s">
        <v>68</v>
      </c>
      <c r="Q167" s="92" t="s">
        <v>69</v>
      </c>
      <c r="R167" s="171">
        <v>46062.0</v>
      </c>
      <c r="S167" s="36"/>
      <c r="T167" s="36"/>
      <c r="U167" s="36"/>
      <c r="V167" s="36"/>
      <c r="W167" s="191"/>
      <c r="X167" s="47"/>
      <c r="Y167" s="47"/>
    </row>
    <row r="168">
      <c r="A168" s="28">
        <f t="shared" si="7"/>
        <v>166</v>
      </c>
      <c r="B168" s="20"/>
      <c r="C168" s="62" t="s">
        <v>72</v>
      </c>
      <c r="D168" s="21"/>
      <c r="E168" s="190" t="s">
        <v>617</v>
      </c>
      <c r="F168" s="20"/>
      <c r="G168" s="62" t="s">
        <v>74</v>
      </c>
      <c r="H168" s="21"/>
      <c r="I168" s="190" t="s">
        <v>618</v>
      </c>
      <c r="J168" s="37"/>
      <c r="K168" s="34" t="s">
        <v>625</v>
      </c>
      <c r="L168" s="28">
        <f>IFERROR(__xludf.DUMMYFUNCTION("""COMPUTED_VALUE"""),290.0)</f>
        <v>290</v>
      </c>
      <c r="M168" s="28"/>
      <c r="N168" s="37"/>
      <c r="O168" s="92" t="s">
        <v>67</v>
      </c>
      <c r="P168" s="92" t="s">
        <v>68</v>
      </c>
      <c r="Q168" s="92" t="s">
        <v>69</v>
      </c>
      <c r="R168" s="171">
        <v>46062.0</v>
      </c>
      <c r="S168" s="34" t="s">
        <v>67</v>
      </c>
      <c r="T168" s="28" t="s">
        <v>68</v>
      </c>
      <c r="U168" s="28" t="s">
        <v>69</v>
      </c>
      <c r="V168" s="45" t="s">
        <v>76</v>
      </c>
      <c r="W168" s="191"/>
      <c r="X168" s="47"/>
      <c r="Y168" s="47"/>
    </row>
    <row r="169">
      <c r="A169" s="28">
        <f t="shared" si="7"/>
        <v>167</v>
      </c>
      <c r="B169" s="20"/>
      <c r="C169" s="20"/>
      <c r="D169" s="59" t="s">
        <v>626</v>
      </c>
      <c r="E169" s="190" t="s">
        <v>627</v>
      </c>
      <c r="F169" s="20"/>
      <c r="G169" s="20"/>
      <c r="H169" s="59" t="s">
        <v>628</v>
      </c>
      <c r="I169" s="190" t="s">
        <v>640</v>
      </c>
      <c r="J169" s="37"/>
      <c r="K169" s="34" t="s">
        <v>625</v>
      </c>
      <c r="L169" s="28">
        <f>IFERROR(__xludf.DUMMYFUNCTION("""COMPUTED_VALUE"""),290.0)</f>
        <v>290</v>
      </c>
      <c r="M169" s="28"/>
      <c r="N169" s="37"/>
      <c r="O169" s="179"/>
      <c r="P169" s="179"/>
      <c r="Q169" s="179"/>
      <c r="R169" s="180"/>
      <c r="S169" s="34" t="s">
        <v>67</v>
      </c>
      <c r="T169" s="28" t="s">
        <v>68</v>
      </c>
      <c r="U169" s="28" t="s">
        <v>69</v>
      </c>
      <c r="V169" s="45" t="s">
        <v>76</v>
      </c>
      <c r="W169" s="191"/>
      <c r="X169" s="47"/>
      <c r="Y169" s="47"/>
    </row>
    <row r="170">
      <c r="A170" s="28">
        <f t="shared" si="7"/>
        <v>168</v>
      </c>
      <c r="B170" s="21"/>
      <c r="C170" s="21"/>
      <c r="D170" s="21"/>
      <c r="E170" s="190" t="s">
        <v>641</v>
      </c>
      <c r="F170" s="21"/>
      <c r="G170" s="21"/>
      <c r="H170" s="21"/>
      <c r="I170" s="190" t="s">
        <v>642</v>
      </c>
      <c r="J170" s="37" t="s">
        <v>645</v>
      </c>
      <c r="K170" s="34" t="s">
        <v>625</v>
      </c>
      <c r="L170" s="28">
        <f>IFERROR(__xludf.DUMMYFUNCTION("""COMPUTED_VALUE"""),290.0)</f>
        <v>290</v>
      </c>
      <c r="M170" s="28"/>
      <c r="N170" s="37" t="e">
        <v>#VALUE!</v>
      </c>
      <c r="O170" s="179"/>
      <c r="P170" s="179"/>
      <c r="Q170" s="179"/>
      <c r="R170" s="180"/>
      <c r="S170" s="34" t="s">
        <v>67</v>
      </c>
      <c r="T170" s="28" t="s">
        <v>68</v>
      </c>
      <c r="U170" s="28" t="s">
        <v>69</v>
      </c>
      <c r="V170" s="45" t="s">
        <v>76</v>
      </c>
      <c r="W170" s="191"/>
      <c r="X170" s="47"/>
      <c r="Y170" s="47"/>
    </row>
    <row r="171">
      <c r="A171" s="28">
        <f t="shared" si="7"/>
        <v>169</v>
      </c>
      <c r="B171" s="182">
        <v>300.0</v>
      </c>
      <c r="C171" s="96" t="s">
        <v>630</v>
      </c>
      <c r="D171" s="29" t="s">
        <v>620</v>
      </c>
      <c r="E171" s="183" t="s">
        <v>621</v>
      </c>
      <c r="F171" s="182">
        <v>300.0</v>
      </c>
      <c r="G171" s="96" t="s">
        <v>632</v>
      </c>
      <c r="H171" s="29" t="s">
        <v>623</v>
      </c>
      <c r="I171" s="187" t="s">
        <v>635</v>
      </c>
      <c r="J171" s="31" t="str">
        <f>'参照_各種特典'!F49</f>
        <v>Mystic Matrimony Bonus Story ～Kicho～</v>
      </c>
      <c r="K171" s="34" t="s">
        <v>625</v>
      </c>
      <c r="L171" s="28">
        <f>IFERROR(__xludf.DUMMYFUNCTION("""COMPUTED_VALUE"""),300.0)</f>
        <v>300</v>
      </c>
      <c r="M171" s="34">
        <v>11.0</v>
      </c>
      <c r="N171" s="37" t="s">
        <v>658</v>
      </c>
      <c r="O171" s="92" t="s">
        <v>67</v>
      </c>
      <c r="P171" s="92" t="s">
        <v>68</v>
      </c>
      <c r="Q171" s="92" t="s">
        <v>69</v>
      </c>
      <c r="R171" s="171">
        <v>46062.0</v>
      </c>
      <c r="S171" s="36"/>
      <c r="T171" s="36"/>
      <c r="U171" s="36"/>
      <c r="V171" s="36"/>
      <c r="W171" s="191"/>
      <c r="X171" s="47"/>
      <c r="Y171" s="47"/>
    </row>
    <row r="172">
      <c r="A172" s="28">
        <f t="shared" si="7"/>
        <v>170</v>
      </c>
      <c r="B172" s="20"/>
      <c r="C172" s="62" t="s">
        <v>72</v>
      </c>
      <c r="D172" s="21"/>
      <c r="E172" s="187" t="s">
        <v>617</v>
      </c>
      <c r="F172" s="20"/>
      <c r="G172" s="62" t="s">
        <v>74</v>
      </c>
      <c r="H172" s="21"/>
      <c r="I172" s="187" t="s">
        <v>618</v>
      </c>
      <c r="J172" s="31"/>
      <c r="K172" s="34" t="s">
        <v>625</v>
      </c>
      <c r="L172" s="28">
        <f>IFERROR(__xludf.DUMMYFUNCTION("""COMPUTED_VALUE"""),300.0)</f>
        <v>300</v>
      </c>
      <c r="M172" s="28"/>
      <c r="N172" s="37"/>
      <c r="O172" s="92" t="s">
        <v>67</v>
      </c>
      <c r="P172" s="92" t="s">
        <v>68</v>
      </c>
      <c r="Q172" s="92" t="s">
        <v>69</v>
      </c>
      <c r="R172" s="171">
        <v>46062.0</v>
      </c>
      <c r="S172" s="34" t="s">
        <v>67</v>
      </c>
      <c r="T172" s="28" t="s">
        <v>68</v>
      </c>
      <c r="U172" s="28" t="s">
        <v>69</v>
      </c>
      <c r="V172" s="45" t="s">
        <v>76</v>
      </c>
      <c r="W172" s="191"/>
      <c r="X172" s="47"/>
      <c r="Y172" s="47"/>
    </row>
    <row r="173">
      <c r="A173" s="28">
        <f t="shared" si="7"/>
        <v>171</v>
      </c>
      <c r="B173" s="21"/>
      <c r="C173" s="21"/>
      <c r="D173" s="31" t="s">
        <v>626</v>
      </c>
      <c r="E173" s="187" t="s">
        <v>627</v>
      </c>
      <c r="F173" s="21"/>
      <c r="G173" s="21"/>
      <c r="H173" s="31" t="s">
        <v>628</v>
      </c>
      <c r="I173" s="187" t="s">
        <v>640</v>
      </c>
      <c r="J173" s="31" t="s">
        <v>645</v>
      </c>
      <c r="K173" s="34" t="s">
        <v>625</v>
      </c>
      <c r="L173" s="28">
        <f>IFERROR(__xludf.DUMMYFUNCTION("""COMPUTED_VALUE"""),300.0)</f>
        <v>300</v>
      </c>
      <c r="M173" s="28"/>
      <c r="N173" s="37" t="e">
        <v>#VALUE!</v>
      </c>
      <c r="O173" s="179"/>
      <c r="P173" s="179"/>
      <c r="Q173" s="179"/>
      <c r="R173" s="180"/>
      <c r="S173" s="34" t="s">
        <v>67</v>
      </c>
      <c r="T173" s="28" t="s">
        <v>68</v>
      </c>
      <c r="U173" s="28" t="s">
        <v>69</v>
      </c>
      <c r="V173" s="45" t="s">
        <v>76</v>
      </c>
      <c r="W173" s="191"/>
      <c r="X173" s="47"/>
      <c r="Y173" s="47"/>
    </row>
    <row r="174">
      <c r="A174" s="28">
        <f t="shared" si="7"/>
        <v>172</v>
      </c>
      <c r="B174" s="173">
        <v>310.0</v>
      </c>
      <c r="C174" s="91" t="s">
        <v>630</v>
      </c>
      <c r="D174" s="59" t="s">
        <v>620</v>
      </c>
      <c r="E174" s="189" t="s">
        <v>631</v>
      </c>
      <c r="F174" s="173">
        <v>310.0</v>
      </c>
      <c r="G174" s="91" t="s">
        <v>632</v>
      </c>
      <c r="H174" s="59" t="s">
        <v>623</v>
      </c>
      <c r="I174" s="189" t="s">
        <v>633</v>
      </c>
      <c r="J174" s="37" t="str">
        <f>'参照_各種特典'!D50</f>
        <v>Mystic Matrimony◆Collection Bonus</v>
      </c>
      <c r="K174" s="34" t="s">
        <v>625</v>
      </c>
      <c r="L174" s="28">
        <f>IFERROR(__xludf.DUMMYFUNCTION("""COMPUTED_VALUE"""),310.0)</f>
        <v>310</v>
      </c>
      <c r="M174" s="34">
        <v>4.0</v>
      </c>
      <c r="N174" s="37" t="s">
        <v>634</v>
      </c>
      <c r="O174" s="92" t="s">
        <v>67</v>
      </c>
      <c r="P174" s="92" t="s">
        <v>68</v>
      </c>
      <c r="Q174" s="92" t="s">
        <v>69</v>
      </c>
      <c r="R174" s="171">
        <v>46062.0</v>
      </c>
      <c r="S174" s="36"/>
      <c r="T174" s="36"/>
      <c r="U174" s="36"/>
      <c r="V174" s="36"/>
      <c r="W174" s="191"/>
      <c r="X174" s="47"/>
      <c r="Y174" s="47"/>
    </row>
    <row r="175">
      <c r="A175" s="28">
        <f t="shared" si="7"/>
        <v>173</v>
      </c>
      <c r="B175" s="20"/>
      <c r="C175" s="20"/>
      <c r="D175" s="20"/>
      <c r="E175" s="189" t="s">
        <v>621</v>
      </c>
      <c r="F175" s="20"/>
      <c r="G175" s="20"/>
      <c r="H175" s="20"/>
      <c r="I175" s="190" t="s">
        <v>635</v>
      </c>
      <c r="J175" s="37" t="str">
        <f>'参照_各種特典'!F50</f>
        <v>Closet Storage</v>
      </c>
      <c r="K175" s="34" t="s">
        <v>625</v>
      </c>
      <c r="L175" s="28">
        <f>IFERROR(__xludf.DUMMYFUNCTION("""COMPUTED_VALUE"""),310.0)</f>
        <v>310</v>
      </c>
      <c r="M175" s="34">
        <v>11.0</v>
      </c>
      <c r="N175" s="37" t="s">
        <v>646</v>
      </c>
      <c r="O175" s="92" t="s">
        <v>67</v>
      </c>
      <c r="P175" s="92" t="s">
        <v>68</v>
      </c>
      <c r="Q175" s="92" t="s">
        <v>69</v>
      </c>
      <c r="R175" s="171">
        <v>46062.0</v>
      </c>
      <c r="S175" s="36"/>
      <c r="T175" s="36"/>
      <c r="U175" s="36"/>
      <c r="V175" s="36"/>
      <c r="W175" s="191"/>
      <c r="X175" s="47"/>
      <c r="Y175" s="47"/>
    </row>
    <row r="176">
      <c r="A176" s="28">
        <f t="shared" si="7"/>
        <v>174</v>
      </c>
      <c r="B176" s="20"/>
      <c r="C176" s="21"/>
      <c r="D176" s="20"/>
      <c r="E176" s="190" t="s">
        <v>637</v>
      </c>
      <c r="F176" s="20"/>
      <c r="G176" s="21"/>
      <c r="H176" s="20"/>
      <c r="I176" s="190" t="s">
        <v>292</v>
      </c>
      <c r="J176" s="37">
        <f>'参照_各種特典'!H50</f>
        <v>1</v>
      </c>
      <c r="K176" s="34" t="s">
        <v>625</v>
      </c>
      <c r="L176" s="28">
        <f>IFERROR(__xludf.DUMMYFUNCTION("""COMPUTED_VALUE"""),310.0)</f>
        <v>310</v>
      </c>
      <c r="M176" s="34">
        <v>7.0</v>
      </c>
      <c r="N176" s="37" t="s">
        <v>639</v>
      </c>
      <c r="O176" s="92" t="s">
        <v>67</v>
      </c>
      <c r="P176" s="92" t="s">
        <v>68</v>
      </c>
      <c r="Q176" s="92" t="s">
        <v>69</v>
      </c>
      <c r="R176" s="171">
        <v>46062.0</v>
      </c>
      <c r="S176" s="36"/>
      <c r="T176" s="36"/>
      <c r="U176" s="36"/>
      <c r="V176" s="36"/>
      <c r="W176" s="191"/>
      <c r="X176" s="47"/>
      <c r="Y176" s="47"/>
    </row>
    <row r="177">
      <c r="A177" s="28">
        <f t="shared" si="7"/>
        <v>175</v>
      </c>
      <c r="B177" s="20"/>
      <c r="C177" s="62" t="s">
        <v>72</v>
      </c>
      <c r="D177" s="21"/>
      <c r="E177" s="190" t="s">
        <v>617</v>
      </c>
      <c r="F177" s="20"/>
      <c r="G177" s="62" t="s">
        <v>74</v>
      </c>
      <c r="H177" s="21"/>
      <c r="I177" s="190" t="s">
        <v>618</v>
      </c>
      <c r="J177" s="37"/>
      <c r="K177" s="34" t="s">
        <v>625</v>
      </c>
      <c r="L177" s="28">
        <f>IFERROR(__xludf.DUMMYFUNCTION("""COMPUTED_VALUE"""),310.0)</f>
        <v>310</v>
      </c>
      <c r="M177" s="28"/>
      <c r="N177" s="37"/>
      <c r="O177" s="92" t="s">
        <v>67</v>
      </c>
      <c r="P177" s="92" t="s">
        <v>68</v>
      </c>
      <c r="Q177" s="92" t="s">
        <v>69</v>
      </c>
      <c r="R177" s="171">
        <v>46062.0</v>
      </c>
      <c r="S177" s="34" t="s">
        <v>67</v>
      </c>
      <c r="T177" s="28" t="s">
        <v>68</v>
      </c>
      <c r="U177" s="28" t="s">
        <v>69</v>
      </c>
      <c r="V177" s="45" t="s">
        <v>76</v>
      </c>
      <c r="W177" s="191"/>
      <c r="X177" s="47"/>
      <c r="Y177" s="47"/>
    </row>
    <row r="178">
      <c r="A178" s="28">
        <f t="shared" si="7"/>
        <v>176</v>
      </c>
      <c r="B178" s="20"/>
      <c r="C178" s="20"/>
      <c r="D178" s="59" t="s">
        <v>626</v>
      </c>
      <c r="E178" s="190" t="s">
        <v>627</v>
      </c>
      <c r="F178" s="20"/>
      <c r="G178" s="20"/>
      <c r="H178" s="59" t="s">
        <v>628</v>
      </c>
      <c r="I178" s="190" t="s">
        <v>640</v>
      </c>
      <c r="J178" s="37"/>
      <c r="K178" s="34" t="s">
        <v>625</v>
      </c>
      <c r="L178" s="28">
        <f>IFERROR(__xludf.DUMMYFUNCTION("""COMPUTED_VALUE"""),310.0)</f>
        <v>310</v>
      </c>
      <c r="M178" s="28"/>
      <c r="N178" s="37"/>
      <c r="O178" s="179"/>
      <c r="P178" s="179"/>
      <c r="Q178" s="179"/>
      <c r="R178" s="180"/>
      <c r="S178" s="34" t="s">
        <v>67</v>
      </c>
      <c r="T178" s="28" t="s">
        <v>68</v>
      </c>
      <c r="U178" s="28" t="s">
        <v>69</v>
      </c>
      <c r="V178" s="45" t="s">
        <v>76</v>
      </c>
      <c r="W178" s="191"/>
      <c r="X178" s="47"/>
      <c r="Y178" s="47"/>
    </row>
    <row r="179">
      <c r="A179" s="28">
        <f t="shared" si="7"/>
        <v>177</v>
      </c>
      <c r="B179" s="21"/>
      <c r="C179" s="21"/>
      <c r="D179" s="21"/>
      <c r="E179" s="190" t="s">
        <v>641</v>
      </c>
      <c r="F179" s="21"/>
      <c r="G179" s="21"/>
      <c r="H179" s="21"/>
      <c r="I179" s="190" t="s">
        <v>642</v>
      </c>
      <c r="J179" s="37" t="s">
        <v>645</v>
      </c>
      <c r="K179" s="34" t="s">
        <v>625</v>
      </c>
      <c r="L179" s="28">
        <f>IFERROR(__xludf.DUMMYFUNCTION("""COMPUTED_VALUE"""),310.0)</f>
        <v>310</v>
      </c>
      <c r="M179" s="28"/>
      <c r="N179" s="37" t="e">
        <v>#VALUE!</v>
      </c>
      <c r="O179" s="179"/>
      <c r="P179" s="179"/>
      <c r="Q179" s="179"/>
      <c r="R179" s="180"/>
      <c r="S179" s="34" t="s">
        <v>67</v>
      </c>
      <c r="T179" s="28" t="s">
        <v>68</v>
      </c>
      <c r="U179" s="28" t="s">
        <v>69</v>
      </c>
      <c r="V179" s="45" t="s">
        <v>76</v>
      </c>
      <c r="W179" s="191"/>
      <c r="X179" s="47"/>
      <c r="Y179" s="47"/>
    </row>
    <row r="180">
      <c r="A180" s="28">
        <f t="shared" si="7"/>
        <v>178</v>
      </c>
      <c r="B180" s="182">
        <v>320.0</v>
      </c>
      <c r="C180" s="91" t="s">
        <v>630</v>
      </c>
      <c r="D180" s="29" t="s">
        <v>620</v>
      </c>
      <c r="E180" s="183" t="s">
        <v>631</v>
      </c>
      <c r="F180" s="182">
        <v>320.0</v>
      </c>
      <c r="G180" s="91" t="s">
        <v>632</v>
      </c>
      <c r="H180" s="29" t="s">
        <v>623</v>
      </c>
      <c r="I180" s="183" t="s">
        <v>633</v>
      </c>
      <c r="J180" s="31" t="str">
        <f>'参照_各種特典'!D51</f>
        <v>Mystic Matrimony◆Collection Bonus</v>
      </c>
      <c r="K180" s="34" t="s">
        <v>625</v>
      </c>
      <c r="L180" s="28">
        <f>IFERROR(__xludf.DUMMYFUNCTION("""COMPUTED_VALUE"""),320.0)</f>
        <v>320</v>
      </c>
      <c r="M180" s="34">
        <v>4.0</v>
      </c>
      <c r="N180" s="37" t="s">
        <v>634</v>
      </c>
      <c r="O180" s="92" t="s">
        <v>67</v>
      </c>
      <c r="P180" s="92" t="s">
        <v>68</v>
      </c>
      <c r="Q180" s="92" t="s">
        <v>69</v>
      </c>
      <c r="R180" s="171">
        <v>46062.0</v>
      </c>
      <c r="S180" s="36"/>
      <c r="T180" s="36"/>
      <c r="U180" s="36"/>
      <c r="V180" s="36"/>
      <c r="W180" s="191"/>
      <c r="X180" s="47"/>
      <c r="Y180" s="47"/>
    </row>
    <row r="181">
      <c r="A181" s="28">
        <f t="shared" si="7"/>
        <v>179</v>
      </c>
      <c r="B181" s="20"/>
      <c r="C181" s="20"/>
      <c r="D181" s="20"/>
      <c r="E181" s="183" t="s">
        <v>621</v>
      </c>
      <c r="F181" s="20"/>
      <c r="G181" s="20"/>
      <c r="H181" s="20"/>
      <c r="I181" s="187" t="s">
        <v>635</v>
      </c>
      <c r="J181" s="31" t="str">
        <f>'参照_各種特典'!F51</f>
        <v>1500 Gold</v>
      </c>
      <c r="K181" s="34" t="s">
        <v>625</v>
      </c>
      <c r="L181" s="28">
        <f>IFERROR(__xludf.DUMMYFUNCTION("""COMPUTED_VALUE"""),320.0)</f>
        <v>320</v>
      </c>
      <c r="M181" s="34">
        <v>11.0</v>
      </c>
      <c r="N181" s="37" t="s">
        <v>481</v>
      </c>
      <c r="O181" s="92" t="s">
        <v>67</v>
      </c>
      <c r="P181" s="92" t="s">
        <v>68</v>
      </c>
      <c r="Q181" s="92" t="s">
        <v>69</v>
      </c>
      <c r="R181" s="171">
        <v>46062.0</v>
      </c>
      <c r="S181" s="36"/>
      <c r="T181" s="36"/>
      <c r="U181" s="36"/>
      <c r="V181" s="36"/>
      <c r="W181" s="191"/>
      <c r="X181" s="47"/>
      <c r="Y181" s="47"/>
    </row>
    <row r="182">
      <c r="A182" s="28">
        <f t="shared" si="7"/>
        <v>180</v>
      </c>
      <c r="B182" s="20"/>
      <c r="C182" s="21"/>
      <c r="D182" s="20"/>
      <c r="E182" s="187" t="s">
        <v>637</v>
      </c>
      <c r="F182" s="20"/>
      <c r="G182" s="21"/>
      <c r="H182" s="20"/>
      <c r="I182" s="187" t="s">
        <v>292</v>
      </c>
      <c r="J182" s="31">
        <f>'参照_各種特典'!H51</f>
        <v>1</v>
      </c>
      <c r="K182" s="34" t="s">
        <v>625</v>
      </c>
      <c r="L182" s="28">
        <f>IFERROR(__xludf.DUMMYFUNCTION("""COMPUTED_VALUE"""),320.0)</f>
        <v>320</v>
      </c>
      <c r="M182" s="34">
        <v>7.0</v>
      </c>
      <c r="N182" s="37" t="s">
        <v>639</v>
      </c>
      <c r="O182" s="92" t="s">
        <v>67</v>
      </c>
      <c r="P182" s="92" t="s">
        <v>68</v>
      </c>
      <c r="Q182" s="92" t="s">
        <v>69</v>
      </c>
      <c r="R182" s="171">
        <v>46062.0</v>
      </c>
      <c r="S182" s="36"/>
      <c r="T182" s="36"/>
      <c r="U182" s="36"/>
      <c r="V182" s="36"/>
      <c r="W182" s="191"/>
      <c r="X182" s="47"/>
      <c r="Y182" s="47"/>
    </row>
    <row r="183">
      <c r="A183" s="28">
        <f t="shared" si="7"/>
        <v>181</v>
      </c>
      <c r="B183" s="20"/>
      <c r="C183" s="62" t="s">
        <v>72</v>
      </c>
      <c r="D183" s="21"/>
      <c r="E183" s="187" t="s">
        <v>617</v>
      </c>
      <c r="F183" s="20"/>
      <c r="G183" s="62" t="s">
        <v>74</v>
      </c>
      <c r="H183" s="21"/>
      <c r="I183" s="187" t="s">
        <v>618</v>
      </c>
      <c r="J183" s="31"/>
      <c r="K183" s="34" t="s">
        <v>625</v>
      </c>
      <c r="L183" s="28">
        <f>IFERROR(__xludf.DUMMYFUNCTION("""COMPUTED_VALUE"""),320.0)</f>
        <v>320</v>
      </c>
      <c r="M183" s="28"/>
      <c r="N183" s="37"/>
      <c r="O183" s="92" t="s">
        <v>67</v>
      </c>
      <c r="P183" s="92" t="s">
        <v>68</v>
      </c>
      <c r="Q183" s="92" t="s">
        <v>69</v>
      </c>
      <c r="R183" s="171">
        <v>46062.0</v>
      </c>
      <c r="S183" s="34" t="s">
        <v>67</v>
      </c>
      <c r="T183" s="28" t="s">
        <v>68</v>
      </c>
      <c r="U183" s="28" t="s">
        <v>69</v>
      </c>
      <c r="V183" s="45" t="s">
        <v>76</v>
      </c>
      <c r="W183" s="191"/>
      <c r="X183" s="47"/>
      <c r="Y183" s="47"/>
    </row>
    <row r="184">
      <c r="A184" s="28">
        <f t="shared" si="7"/>
        <v>182</v>
      </c>
      <c r="B184" s="20"/>
      <c r="C184" s="20"/>
      <c r="D184" s="29" t="s">
        <v>626</v>
      </c>
      <c r="E184" s="187" t="s">
        <v>627</v>
      </c>
      <c r="F184" s="20"/>
      <c r="G184" s="20"/>
      <c r="H184" s="29" t="s">
        <v>628</v>
      </c>
      <c r="I184" s="187" t="s">
        <v>640</v>
      </c>
      <c r="J184" s="31"/>
      <c r="K184" s="34" t="s">
        <v>625</v>
      </c>
      <c r="L184" s="28">
        <f>IFERROR(__xludf.DUMMYFUNCTION("""COMPUTED_VALUE"""),320.0)</f>
        <v>320</v>
      </c>
      <c r="M184" s="28"/>
      <c r="N184" s="37"/>
      <c r="O184" s="179"/>
      <c r="P184" s="179"/>
      <c r="Q184" s="179"/>
      <c r="R184" s="180"/>
      <c r="S184" s="34" t="s">
        <v>67</v>
      </c>
      <c r="T184" s="28" t="s">
        <v>68</v>
      </c>
      <c r="U184" s="28" t="s">
        <v>69</v>
      </c>
      <c r="V184" s="45" t="s">
        <v>76</v>
      </c>
      <c r="W184" s="191"/>
      <c r="X184" s="47"/>
      <c r="Y184" s="47"/>
    </row>
    <row r="185">
      <c r="A185" s="28">
        <f t="shared" si="7"/>
        <v>183</v>
      </c>
      <c r="B185" s="21"/>
      <c r="C185" s="21"/>
      <c r="D185" s="21"/>
      <c r="E185" s="187" t="s">
        <v>641</v>
      </c>
      <c r="F185" s="21"/>
      <c r="G185" s="21"/>
      <c r="H185" s="21"/>
      <c r="I185" s="187" t="s">
        <v>642</v>
      </c>
      <c r="J185" s="31" t="s">
        <v>645</v>
      </c>
      <c r="K185" s="34" t="s">
        <v>625</v>
      </c>
      <c r="L185" s="28">
        <f>IFERROR(__xludf.DUMMYFUNCTION("""COMPUTED_VALUE"""),320.0)</f>
        <v>320</v>
      </c>
      <c r="M185" s="28"/>
      <c r="N185" s="37" t="e">
        <v>#VALUE!</v>
      </c>
      <c r="O185" s="179"/>
      <c r="P185" s="179"/>
      <c r="Q185" s="179"/>
      <c r="R185" s="180"/>
      <c r="S185" s="34" t="s">
        <v>67</v>
      </c>
      <c r="T185" s="28" t="s">
        <v>68</v>
      </c>
      <c r="U185" s="28" t="s">
        <v>69</v>
      </c>
      <c r="V185" s="45" t="s">
        <v>76</v>
      </c>
      <c r="W185" s="191"/>
      <c r="X185" s="47"/>
      <c r="Y185" s="47"/>
    </row>
    <row r="186">
      <c r="A186" s="28"/>
      <c r="B186" s="173">
        <v>330.0</v>
      </c>
      <c r="C186" s="91" t="s">
        <v>630</v>
      </c>
      <c r="D186" s="59" t="s">
        <v>620</v>
      </c>
      <c r="E186" s="189" t="s">
        <v>631</v>
      </c>
      <c r="F186" s="173">
        <v>330.0</v>
      </c>
      <c r="G186" s="91" t="s">
        <v>632</v>
      </c>
      <c r="H186" s="59" t="s">
        <v>623</v>
      </c>
      <c r="I186" s="189" t="s">
        <v>633</v>
      </c>
      <c r="J186" s="37" t="str">
        <f>'参照_各種特典'!D52</f>
        <v>Mystic Matrimony◆Collection Bonus</v>
      </c>
      <c r="K186" s="34" t="s">
        <v>625</v>
      </c>
      <c r="L186" s="28">
        <f>IFERROR(__xludf.DUMMYFUNCTION("""COMPUTED_VALUE"""),330.0)</f>
        <v>330</v>
      </c>
      <c r="M186" s="34">
        <v>4.0</v>
      </c>
      <c r="N186" s="37" t="s">
        <v>634</v>
      </c>
      <c r="O186" s="92" t="s">
        <v>67</v>
      </c>
      <c r="P186" s="92" t="s">
        <v>68</v>
      </c>
      <c r="Q186" s="92" t="s">
        <v>69</v>
      </c>
      <c r="R186" s="171">
        <v>46062.0</v>
      </c>
      <c r="S186" s="36"/>
      <c r="T186" s="36"/>
      <c r="U186" s="36"/>
      <c r="V186" s="36"/>
      <c r="W186" s="191"/>
      <c r="X186" s="47"/>
      <c r="Y186" s="47"/>
    </row>
    <row r="187">
      <c r="A187" s="28">
        <f>ROW()-2</f>
        <v>185</v>
      </c>
      <c r="B187" s="20"/>
      <c r="C187" s="20"/>
      <c r="D187" s="20"/>
      <c r="E187" s="189" t="s">
        <v>621</v>
      </c>
      <c r="F187" s="20"/>
      <c r="G187" s="20"/>
      <c r="H187" s="20"/>
      <c r="I187" s="190" t="s">
        <v>635</v>
      </c>
      <c r="J187" s="37" t="str">
        <f>'参照_各種特典'!F52</f>
        <v>(Main) Dramatic Elixir (+1)</v>
      </c>
      <c r="K187" s="34" t="s">
        <v>625</v>
      </c>
      <c r="L187" s="28">
        <f>IFERROR(__xludf.DUMMYFUNCTION("""COMPUTED_VALUE"""),330.0)</f>
        <v>330</v>
      </c>
      <c r="M187" s="34">
        <v>11.0</v>
      </c>
      <c r="N187" s="37" t="s">
        <v>659</v>
      </c>
      <c r="O187" s="92" t="s">
        <v>67</v>
      </c>
      <c r="P187" s="92" t="s">
        <v>68</v>
      </c>
      <c r="Q187" s="92" t="s">
        <v>69</v>
      </c>
      <c r="R187" s="171">
        <v>46062.0</v>
      </c>
      <c r="S187" s="36"/>
      <c r="T187" s="36"/>
      <c r="U187" s="36"/>
      <c r="V187" s="36"/>
      <c r="W187" s="191"/>
      <c r="X187" s="47"/>
      <c r="Y187" s="47"/>
    </row>
    <row r="188">
      <c r="A188" s="28"/>
      <c r="B188" s="20"/>
      <c r="C188" s="21"/>
      <c r="D188" s="20"/>
      <c r="E188" s="190" t="s">
        <v>637</v>
      </c>
      <c r="F188" s="20"/>
      <c r="G188" s="21"/>
      <c r="H188" s="20"/>
      <c r="I188" s="190" t="s">
        <v>292</v>
      </c>
      <c r="J188" s="37">
        <f>'参照_各種特典'!H52</f>
        <v>1</v>
      </c>
      <c r="K188" s="34" t="s">
        <v>625</v>
      </c>
      <c r="L188" s="28">
        <f>IFERROR(__xludf.DUMMYFUNCTION("""COMPUTED_VALUE"""),330.0)</f>
        <v>330</v>
      </c>
      <c r="M188" s="34">
        <v>7.0</v>
      </c>
      <c r="N188" s="37" t="s">
        <v>639</v>
      </c>
      <c r="O188" s="92" t="s">
        <v>67</v>
      </c>
      <c r="P188" s="92" t="s">
        <v>68</v>
      </c>
      <c r="Q188" s="92" t="s">
        <v>69</v>
      </c>
      <c r="R188" s="171">
        <v>46062.0</v>
      </c>
      <c r="S188" s="36"/>
      <c r="T188" s="36"/>
      <c r="U188" s="36"/>
      <c r="V188" s="36"/>
      <c r="W188" s="191"/>
      <c r="X188" s="47"/>
      <c r="Y188" s="47"/>
    </row>
    <row r="189">
      <c r="A189" s="28">
        <f t="shared" ref="A189:A190" si="8">ROW()-2</f>
        <v>187</v>
      </c>
      <c r="B189" s="20"/>
      <c r="C189" s="62" t="s">
        <v>72</v>
      </c>
      <c r="D189" s="21"/>
      <c r="E189" s="190" t="s">
        <v>617</v>
      </c>
      <c r="F189" s="20"/>
      <c r="G189" s="62" t="s">
        <v>74</v>
      </c>
      <c r="H189" s="21"/>
      <c r="I189" s="190" t="s">
        <v>618</v>
      </c>
      <c r="J189" s="37"/>
      <c r="K189" s="34" t="s">
        <v>625</v>
      </c>
      <c r="L189" s="28">
        <f>IFERROR(__xludf.DUMMYFUNCTION("""COMPUTED_VALUE"""),330.0)</f>
        <v>330</v>
      </c>
      <c r="M189" s="28"/>
      <c r="N189" s="37"/>
      <c r="O189" s="92" t="s">
        <v>67</v>
      </c>
      <c r="P189" s="92" t="s">
        <v>68</v>
      </c>
      <c r="Q189" s="92" t="s">
        <v>69</v>
      </c>
      <c r="R189" s="171">
        <v>46062.0</v>
      </c>
      <c r="S189" s="34" t="s">
        <v>67</v>
      </c>
      <c r="T189" s="28" t="s">
        <v>68</v>
      </c>
      <c r="U189" s="28" t="s">
        <v>69</v>
      </c>
      <c r="V189" s="45" t="s">
        <v>76</v>
      </c>
      <c r="W189" s="191"/>
      <c r="X189" s="47"/>
      <c r="Y189" s="47"/>
    </row>
    <row r="190">
      <c r="A190" s="28">
        <f t="shared" si="8"/>
        <v>188</v>
      </c>
      <c r="B190" s="20"/>
      <c r="C190" s="20"/>
      <c r="D190" s="59" t="s">
        <v>626</v>
      </c>
      <c r="E190" s="190" t="s">
        <v>627</v>
      </c>
      <c r="F190" s="20"/>
      <c r="G190" s="20"/>
      <c r="H190" s="59" t="s">
        <v>628</v>
      </c>
      <c r="I190" s="190" t="s">
        <v>640</v>
      </c>
      <c r="J190" s="37"/>
      <c r="K190" s="34" t="s">
        <v>625</v>
      </c>
      <c r="L190" s="28">
        <f>IFERROR(__xludf.DUMMYFUNCTION("""COMPUTED_VALUE"""),330.0)</f>
        <v>330</v>
      </c>
      <c r="M190" s="28"/>
      <c r="N190" s="37"/>
      <c r="O190" s="179"/>
      <c r="P190" s="179"/>
      <c r="Q190" s="179"/>
      <c r="R190" s="180"/>
      <c r="S190" s="34" t="s">
        <v>67</v>
      </c>
      <c r="T190" s="28" t="s">
        <v>68</v>
      </c>
      <c r="U190" s="28" t="s">
        <v>69</v>
      </c>
      <c r="V190" s="45" t="s">
        <v>76</v>
      </c>
      <c r="W190" s="191"/>
      <c r="X190" s="47"/>
      <c r="Y190" s="47"/>
    </row>
    <row r="191">
      <c r="A191" s="28"/>
      <c r="B191" s="21"/>
      <c r="C191" s="21"/>
      <c r="D191" s="21"/>
      <c r="E191" s="190" t="s">
        <v>641</v>
      </c>
      <c r="F191" s="21"/>
      <c r="G191" s="21"/>
      <c r="H191" s="21"/>
      <c r="I191" s="190" t="s">
        <v>642</v>
      </c>
      <c r="J191" s="37" t="s">
        <v>645</v>
      </c>
      <c r="K191" s="34" t="s">
        <v>625</v>
      </c>
      <c r="L191" s="28">
        <f>IFERROR(__xludf.DUMMYFUNCTION("""COMPUTED_VALUE"""),330.0)</f>
        <v>330</v>
      </c>
      <c r="M191" s="28"/>
      <c r="N191" s="37" t="e">
        <v>#VALUE!</v>
      </c>
      <c r="O191" s="179"/>
      <c r="P191" s="179"/>
      <c r="Q191" s="179"/>
      <c r="R191" s="180"/>
      <c r="S191" s="34" t="s">
        <v>67</v>
      </c>
      <c r="T191" s="28" t="s">
        <v>68</v>
      </c>
      <c r="U191" s="28" t="s">
        <v>69</v>
      </c>
      <c r="V191" s="45" t="s">
        <v>76</v>
      </c>
      <c r="W191" s="191"/>
      <c r="X191" s="47"/>
      <c r="Y191" s="47"/>
    </row>
    <row r="192">
      <c r="A192" s="28">
        <f t="shared" ref="A192:A198" si="9">ROW()-2</f>
        <v>190</v>
      </c>
      <c r="B192" s="182">
        <v>340.0</v>
      </c>
      <c r="C192" s="91" t="s">
        <v>630</v>
      </c>
      <c r="D192" s="29" t="s">
        <v>620</v>
      </c>
      <c r="E192" s="183" t="s">
        <v>631</v>
      </c>
      <c r="F192" s="182">
        <v>340.0</v>
      </c>
      <c r="G192" s="91" t="s">
        <v>632</v>
      </c>
      <c r="H192" s="29" t="s">
        <v>623</v>
      </c>
      <c r="I192" s="183" t="s">
        <v>633</v>
      </c>
      <c r="J192" s="31" t="str">
        <f>'参照_各種特典'!D53</f>
        <v>Mystic Matrimony◆Collection Bonus</v>
      </c>
      <c r="K192" s="34" t="s">
        <v>625</v>
      </c>
      <c r="L192" s="28">
        <f>IFERROR(__xludf.DUMMYFUNCTION("""COMPUTED_VALUE"""),340.0)</f>
        <v>340</v>
      </c>
      <c r="M192" s="34">
        <v>4.0</v>
      </c>
      <c r="N192" s="37" t="s">
        <v>634</v>
      </c>
      <c r="O192" s="92" t="s">
        <v>67</v>
      </c>
      <c r="P192" s="92" t="s">
        <v>68</v>
      </c>
      <c r="Q192" s="92" t="s">
        <v>69</v>
      </c>
      <c r="R192" s="171">
        <v>46062.0</v>
      </c>
      <c r="S192" s="36"/>
      <c r="T192" s="36"/>
      <c r="U192" s="36"/>
      <c r="V192" s="36"/>
      <c r="W192" s="191"/>
      <c r="X192" s="47"/>
      <c r="Y192" s="47"/>
    </row>
    <row r="193">
      <c r="A193" s="28">
        <f t="shared" si="9"/>
        <v>191</v>
      </c>
      <c r="B193" s="20"/>
      <c r="C193" s="20"/>
      <c r="D193" s="20"/>
      <c r="E193" s="183" t="s">
        <v>621</v>
      </c>
      <c r="F193" s="20"/>
      <c r="G193" s="20"/>
      <c r="H193" s="20"/>
      <c r="I193" s="187" t="s">
        <v>635</v>
      </c>
      <c r="J193" s="31" t="str">
        <f>'参照_各種特典'!F53</f>
        <v>Nobunaga with a Lantern</v>
      </c>
      <c r="K193" s="34" t="s">
        <v>625</v>
      </c>
      <c r="L193" s="28">
        <f>IFERROR(__xludf.DUMMYFUNCTION("""COMPUTED_VALUE"""),340.0)</f>
        <v>340</v>
      </c>
      <c r="M193" s="34">
        <v>11.0</v>
      </c>
      <c r="N193" s="37" t="s">
        <v>660</v>
      </c>
      <c r="O193" s="92" t="s">
        <v>67</v>
      </c>
      <c r="P193" s="92" t="s">
        <v>68</v>
      </c>
      <c r="Q193" s="92" t="s">
        <v>69</v>
      </c>
      <c r="R193" s="171">
        <v>46062.0</v>
      </c>
      <c r="S193" s="36"/>
      <c r="T193" s="36"/>
      <c r="U193" s="36"/>
      <c r="V193" s="36"/>
      <c r="W193" s="191"/>
      <c r="X193" s="47"/>
      <c r="Y193" s="47"/>
    </row>
    <row r="194">
      <c r="A194" s="28">
        <f t="shared" si="9"/>
        <v>192</v>
      </c>
      <c r="B194" s="20"/>
      <c r="C194" s="21"/>
      <c r="D194" s="20"/>
      <c r="E194" s="187" t="s">
        <v>637</v>
      </c>
      <c r="F194" s="20"/>
      <c r="G194" s="21"/>
      <c r="H194" s="20"/>
      <c r="I194" s="187" t="s">
        <v>292</v>
      </c>
      <c r="J194" s="31">
        <f>'参照_各種特典'!H53</f>
        <v>1</v>
      </c>
      <c r="K194" s="34" t="s">
        <v>625</v>
      </c>
      <c r="L194" s="28">
        <f>IFERROR(__xludf.DUMMYFUNCTION("""COMPUTED_VALUE"""),340.0)</f>
        <v>340</v>
      </c>
      <c r="M194" s="34">
        <v>7.0</v>
      </c>
      <c r="N194" s="37" t="s">
        <v>639</v>
      </c>
      <c r="O194" s="92" t="s">
        <v>67</v>
      </c>
      <c r="P194" s="92" t="s">
        <v>68</v>
      </c>
      <c r="Q194" s="92" t="s">
        <v>69</v>
      </c>
      <c r="R194" s="171">
        <v>46062.0</v>
      </c>
      <c r="S194" s="36"/>
      <c r="T194" s="36"/>
      <c r="U194" s="36"/>
      <c r="V194" s="36"/>
      <c r="W194" s="191"/>
      <c r="X194" s="47"/>
      <c r="Y194" s="47"/>
    </row>
    <row r="195">
      <c r="A195" s="28">
        <f t="shared" si="9"/>
        <v>193</v>
      </c>
      <c r="B195" s="20"/>
      <c r="C195" s="62" t="s">
        <v>72</v>
      </c>
      <c r="D195" s="21"/>
      <c r="E195" s="187" t="s">
        <v>617</v>
      </c>
      <c r="F195" s="20"/>
      <c r="G195" s="62" t="s">
        <v>74</v>
      </c>
      <c r="H195" s="21"/>
      <c r="I195" s="187" t="s">
        <v>618</v>
      </c>
      <c r="J195" s="31"/>
      <c r="K195" s="34" t="s">
        <v>625</v>
      </c>
      <c r="L195" s="28">
        <f>IFERROR(__xludf.DUMMYFUNCTION("""COMPUTED_VALUE"""),340.0)</f>
        <v>340</v>
      </c>
      <c r="M195" s="28"/>
      <c r="N195" s="37"/>
      <c r="O195" s="92" t="s">
        <v>67</v>
      </c>
      <c r="P195" s="92" t="s">
        <v>68</v>
      </c>
      <c r="Q195" s="92" t="s">
        <v>69</v>
      </c>
      <c r="R195" s="171">
        <v>46062.0</v>
      </c>
      <c r="S195" s="34" t="s">
        <v>67</v>
      </c>
      <c r="T195" s="28" t="s">
        <v>68</v>
      </c>
      <c r="U195" s="28" t="s">
        <v>69</v>
      </c>
      <c r="V195" s="45" t="s">
        <v>76</v>
      </c>
      <c r="W195" s="191"/>
      <c r="X195" s="47"/>
      <c r="Y195" s="47"/>
    </row>
    <row r="196">
      <c r="A196" s="28">
        <f t="shared" si="9"/>
        <v>194</v>
      </c>
      <c r="B196" s="20"/>
      <c r="C196" s="20"/>
      <c r="D196" s="29" t="s">
        <v>626</v>
      </c>
      <c r="E196" s="187" t="s">
        <v>627</v>
      </c>
      <c r="F196" s="20"/>
      <c r="G196" s="20"/>
      <c r="H196" s="29" t="s">
        <v>628</v>
      </c>
      <c r="I196" s="187" t="s">
        <v>640</v>
      </c>
      <c r="J196" s="31"/>
      <c r="K196" s="34" t="s">
        <v>625</v>
      </c>
      <c r="L196" s="28">
        <f>IFERROR(__xludf.DUMMYFUNCTION("""COMPUTED_VALUE"""),340.0)</f>
        <v>340</v>
      </c>
      <c r="M196" s="28"/>
      <c r="N196" s="37"/>
      <c r="O196" s="179"/>
      <c r="P196" s="179"/>
      <c r="Q196" s="179"/>
      <c r="R196" s="180"/>
      <c r="S196" s="34" t="s">
        <v>67</v>
      </c>
      <c r="T196" s="28" t="s">
        <v>68</v>
      </c>
      <c r="U196" s="28" t="s">
        <v>69</v>
      </c>
      <c r="V196" s="45" t="s">
        <v>76</v>
      </c>
      <c r="W196" s="191"/>
      <c r="X196" s="47"/>
      <c r="Y196" s="47"/>
    </row>
    <row r="197">
      <c r="A197" s="28">
        <f t="shared" si="9"/>
        <v>195</v>
      </c>
      <c r="B197" s="21"/>
      <c r="C197" s="21"/>
      <c r="D197" s="21"/>
      <c r="E197" s="187" t="s">
        <v>641</v>
      </c>
      <c r="F197" s="21"/>
      <c r="G197" s="21"/>
      <c r="H197" s="21"/>
      <c r="I197" s="187" t="s">
        <v>642</v>
      </c>
      <c r="J197" s="31" t="s">
        <v>645</v>
      </c>
      <c r="K197" s="34" t="s">
        <v>625</v>
      </c>
      <c r="L197" s="28">
        <f>IFERROR(__xludf.DUMMYFUNCTION("""COMPUTED_VALUE"""),340.0)</f>
        <v>340</v>
      </c>
      <c r="M197" s="28"/>
      <c r="N197" s="37" t="e">
        <v>#VALUE!</v>
      </c>
      <c r="O197" s="179"/>
      <c r="P197" s="179"/>
      <c r="Q197" s="179"/>
      <c r="R197" s="180"/>
      <c r="S197" s="34" t="s">
        <v>67</v>
      </c>
      <c r="T197" s="28" t="s">
        <v>68</v>
      </c>
      <c r="U197" s="28" t="s">
        <v>69</v>
      </c>
      <c r="V197" s="45" t="s">
        <v>76</v>
      </c>
      <c r="W197" s="191"/>
      <c r="X197" s="47"/>
      <c r="Y197" s="47"/>
    </row>
    <row r="198">
      <c r="A198" s="28">
        <f t="shared" si="9"/>
        <v>196</v>
      </c>
      <c r="B198" s="173">
        <v>350.0</v>
      </c>
      <c r="C198" s="91" t="s">
        <v>630</v>
      </c>
      <c r="D198" s="59" t="s">
        <v>620</v>
      </c>
      <c r="E198" s="189" t="s">
        <v>631</v>
      </c>
      <c r="F198" s="173">
        <v>350.0</v>
      </c>
      <c r="G198" s="91" t="s">
        <v>632</v>
      </c>
      <c r="H198" s="59" t="s">
        <v>623</v>
      </c>
      <c r="I198" s="189" t="s">
        <v>633</v>
      </c>
      <c r="J198" s="37" t="str">
        <f>'参照_各種特典'!D54</f>
        <v>Mystic Matrimony◆Collection Bonus</v>
      </c>
      <c r="K198" s="34" t="s">
        <v>625</v>
      </c>
      <c r="L198" s="28">
        <f>IFERROR(__xludf.DUMMYFUNCTION("""COMPUTED_VALUE"""),350.0)</f>
        <v>350</v>
      </c>
      <c r="M198" s="34">
        <v>4.0</v>
      </c>
      <c r="N198" s="37" t="s">
        <v>634</v>
      </c>
      <c r="O198" s="92" t="s">
        <v>67</v>
      </c>
      <c r="P198" s="92" t="s">
        <v>68</v>
      </c>
      <c r="Q198" s="92" t="s">
        <v>69</v>
      </c>
      <c r="R198" s="171">
        <v>46062.0</v>
      </c>
      <c r="S198" s="36"/>
      <c r="T198" s="36"/>
      <c r="U198" s="36"/>
      <c r="V198" s="36"/>
      <c r="W198" s="191"/>
      <c r="X198" s="47"/>
      <c r="Y198" s="47"/>
    </row>
    <row r="199">
      <c r="A199" s="28"/>
      <c r="B199" s="20"/>
      <c r="C199" s="20"/>
      <c r="D199" s="20"/>
      <c r="E199" s="189" t="s">
        <v>621</v>
      </c>
      <c r="F199" s="20"/>
      <c r="G199" s="20"/>
      <c r="H199" s="20"/>
      <c r="I199" s="190" t="s">
        <v>635</v>
      </c>
      <c r="J199" s="37" t="str">
        <f>'参照_各種特典'!F54</f>
        <v>Castle Storage</v>
      </c>
      <c r="K199" s="34" t="s">
        <v>625</v>
      </c>
      <c r="L199" s="28">
        <f>IFERROR(__xludf.DUMMYFUNCTION("""COMPUTED_VALUE"""),350.0)</f>
        <v>350</v>
      </c>
      <c r="M199" s="34">
        <v>11.0</v>
      </c>
      <c r="N199" s="37" t="s">
        <v>650</v>
      </c>
      <c r="O199" s="92" t="s">
        <v>67</v>
      </c>
      <c r="P199" s="92" t="s">
        <v>68</v>
      </c>
      <c r="Q199" s="92" t="s">
        <v>69</v>
      </c>
      <c r="R199" s="171">
        <v>46062.0</v>
      </c>
      <c r="S199" s="36"/>
      <c r="T199" s="36"/>
      <c r="U199" s="36"/>
      <c r="V199" s="36"/>
      <c r="W199" s="191"/>
      <c r="X199" s="47"/>
      <c r="Y199" s="47"/>
    </row>
    <row r="200">
      <c r="A200" s="28"/>
      <c r="B200" s="20"/>
      <c r="C200" s="21"/>
      <c r="D200" s="20"/>
      <c r="E200" s="190" t="s">
        <v>637</v>
      </c>
      <c r="F200" s="20"/>
      <c r="G200" s="21"/>
      <c r="H200" s="20"/>
      <c r="I200" s="190" t="s">
        <v>292</v>
      </c>
      <c r="J200" s="37">
        <f>'参照_各種特典'!H54</f>
        <v>1</v>
      </c>
      <c r="K200" s="34" t="s">
        <v>625</v>
      </c>
      <c r="L200" s="28">
        <f>IFERROR(__xludf.DUMMYFUNCTION("""COMPUTED_VALUE"""),350.0)</f>
        <v>350</v>
      </c>
      <c r="M200" s="34">
        <v>7.0</v>
      </c>
      <c r="N200" s="37" t="s">
        <v>639</v>
      </c>
      <c r="O200" s="92" t="s">
        <v>67</v>
      </c>
      <c r="P200" s="92" t="s">
        <v>68</v>
      </c>
      <c r="Q200" s="92" t="s">
        <v>69</v>
      </c>
      <c r="R200" s="171">
        <v>46062.0</v>
      </c>
      <c r="S200" s="36"/>
      <c r="T200" s="36"/>
      <c r="U200" s="36"/>
      <c r="V200" s="36"/>
      <c r="W200" s="191"/>
      <c r="X200" s="47"/>
      <c r="Y200" s="47"/>
    </row>
    <row r="201">
      <c r="A201" s="28">
        <f>ROW()-2</f>
        <v>199</v>
      </c>
      <c r="B201" s="20"/>
      <c r="C201" s="62" t="s">
        <v>72</v>
      </c>
      <c r="D201" s="21"/>
      <c r="E201" s="190" t="s">
        <v>617</v>
      </c>
      <c r="F201" s="20"/>
      <c r="G201" s="62" t="s">
        <v>74</v>
      </c>
      <c r="H201" s="21"/>
      <c r="I201" s="190" t="s">
        <v>618</v>
      </c>
      <c r="J201" s="37"/>
      <c r="K201" s="34" t="s">
        <v>625</v>
      </c>
      <c r="L201" s="28">
        <f>IFERROR(__xludf.DUMMYFUNCTION("""COMPUTED_VALUE"""),350.0)</f>
        <v>350</v>
      </c>
      <c r="M201" s="28"/>
      <c r="N201" s="37"/>
      <c r="O201" s="92" t="s">
        <v>67</v>
      </c>
      <c r="P201" s="92" t="s">
        <v>68</v>
      </c>
      <c r="Q201" s="92" t="s">
        <v>69</v>
      </c>
      <c r="R201" s="171">
        <v>46062.0</v>
      </c>
      <c r="S201" s="34" t="s">
        <v>67</v>
      </c>
      <c r="T201" s="28" t="s">
        <v>68</v>
      </c>
      <c r="U201" s="28" t="s">
        <v>69</v>
      </c>
      <c r="V201" s="45" t="s">
        <v>76</v>
      </c>
      <c r="W201" s="191"/>
      <c r="X201" s="47"/>
      <c r="Y201" s="47"/>
    </row>
    <row r="202">
      <c r="A202" s="28"/>
      <c r="B202" s="20"/>
      <c r="C202" s="20"/>
      <c r="D202" s="59" t="s">
        <v>626</v>
      </c>
      <c r="E202" s="190" t="s">
        <v>627</v>
      </c>
      <c r="F202" s="20"/>
      <c r="G202" s="20"/>
      <c r="H202" s="59" t="s">
        <v>628</v>
      </c>
      <c r="I202" s="190" t="s">
        <v>640</v>
      </c>
      <c r="J202" s="37"/>
      <c r="K202" s="34" t="s">
        <v>625</v>
      </c>
      <c r="L202" s="28">
        <f>IFERROR(__xludf.DUMMYFUNCTION("""COMPUTED_VALUE"""),350.0)</f>
        <v>350</v>
      </c>
      <c r="M202" s="28"/>
      <c r="N202" s="37"/>
      <c r="O202" s="179"/>
      <c r="P202" s="179"/>
      <c r="Q202" s="179"/>
      <c r="R202" s="180"/>
      <c r="S202" s="34" t="s">
        <v>67</v>
      </c>
      <c r="T202" s="28" t="s">
        <v>68</v>
      </c>
      <c r="U202" s="28" t="s">
        <v>69</v>
      </c>
      <c r="V202" s="45" t="s">
        <v>76</v>
      </c>
      <c r="W202" s="191"/>
      <c r="X202" s="47"/>
      <c r="Y202" s="47"/>
    </row>
    <row r="203">
      <c r="A203" s="28">
        <f t="shared" ref="A203:A222" si="10">ROW()-2</f>
        <v>201</v>
      </c>
      <c r="B203" s="21"/>
      <c r="C203" s="21"/>
      <c r="D203" s="21"/>
      <c r="E203" s="190" t="s">
        <v>641</v>
      </c>
      <c r="F203" s="21"/>
      <c r="G203" s="21"/>
      <c r="H203" s="21"/>
      <c r="I203" s="190" t="s">
        <v>642</v>
      </c>
      <c r="J203" s="37" t="s">
        <v>645</v>
      </c>
      <c r="K203" s="34" t="s">
        <v>625</v>
      </c>
      <c r="L203" s="28">
        <f>IFERROR(__xludf.DUMMYFUNCTION("""COMPUTED_VALUE"""),350.0)</f>
        <v>350</v>
      </c>
      <c r="M203" s="28"/>
      <c r="N203" s="37" t="e">
        <v>#VALUE!</v>
      </c>
      <c r="O203" s="179"/>
      <c r="P203" s="179"/>
      <c r="Q203" s="179"/>
      <c r="R203" s="180"/>
      <c r="S203" s="34" t="s">
        <v>67</v>
      </c>
      <c r="T203" s="28" t="s">
        <v>68</v>
      </c>
      <c r="U203" s="28" t="s">
        <v>69</v>
      </c>
      <c r="V203" s="45" t="s">
        <v>76</v>
      </c>
      <c r="W203" s="191"/>
      <c r="X203" s="47"/>
      <c r="Y203" s="47"/>
    </row>
    <row r="204">
      <c r="A204" s="28">
        <f t="shared" si="10"/>
        <v>202</v>
      </c>
      <c r="B204" s="182">
        <v>360.0</v>
      </c>
      <c r="C204" s="91" t="s">
        <v>630</v>
      </c>
      <c r="D204" s="29" t="s">
        <v>620</v>
      </c>
      <c r="E204" s="183" t="s">
        <v>631</v>
      </c>
      <c r="F204" s="182">
        <v>360.0</v>
      </c>
      <c r="G204" s="91" t="s">
        <v>632</v>
      </c>
      <c r="H204" s="29" t="s">
        <v>623</v>
      </c>
      <c r="I204" s="183" t="s">
        <v>633</v>
      </c>
      <c r="J204" s="31" t="str">
        <f>'参照_各種特典'!D55</f>
        <v>Mystic Matrimony◆Collection Bonus</v>
      </c>
      <c r="K204" s="34" t="s">
        <v>625</v>
      </c>
      <c r="L204" s="28">
        <f>IFERROR(__xludf.DUMMYFUNCTION("""COMPUTED_VALUE"""),360.0)</f>
        <v>360</v>
      </c>
      <c r="M204" s="34">
        <v>4.0</v>
      </c>
      <c r="N204" s="37" t="s">
        <v>634</v>
      </c>
      <c r="O204" s="92" t="s">
        <v>67</v>
      </c>
      <c r="P204" s="92" t="s">
        <v>68</v>
      </c>
      <c r="Q204" s="92" t="s">
        <v>69</v>
      </c>
      <c r="R204" s="171">
        <v>46062.0</v>
      </c>
      <c r="S204" s="36"/>
      <c r="T204" s="36"/>
      <c r="U204" s="36"/>
      <c r="V204" s="36"/>
      <c r="W204" s="191"/>
      <c r="X204" s="47"/>
      <c r="Y204" s="47"/>
    </row>
    <row r="205">
      <c r="A205" s="28">
        <f t="shared" si="10"/>
        <v>203</v>
      </c>
      <c r="B205" s="20"/>
      <c r="C205" s="20"/>
      <c r="D205" s="20"/>
      <c r="E205" s="183" t="s">
        <v>621</v>
      </c>
      <c r="F205" s="20"/>
      <c r="G205" s="20"/>
      <c r="H205" s="20"/>
      <c r="I205" s="187" t="s">
        <v>635</v>
      </c>
      <c r="J205" s="31" t="str">
        <f>'参照_各種特典'!F55</f>
        <v>Limited Chapter Ticket</v>
      </c>
      <c r="K205" s="34" t="s">
        <v>625</v>
      </c>
      <c r="L205" s="28">
        <f>IFERROR(__xludf.DUMMYFUNCTION("""COMPUTED_VALUE"""),360.0)</f>
        <v>360</v>
      </c>
      <c r="M205" s="34">
        <v>11.0</v>
      </c>
      <c r="N205" s="37" t="s">
        <v>654</v>
      </c>
      <c r="O205" s="92" t="s">
        <v>67</v>
      </c>
      <c r="P205" s="92" t="s">
        <v>68</v>
      </c>
      <c r="Q205" s="92" t="s">
        <v>69</v>
      </c>
      <c r="R205" s="171">
        <v>46062.0</v>
      </c>
      <c r="S205" s="36"/>
      <c r="T205" s="36"/>
      <c r="U205" s="36"/>
      <c r="V205" s="36"/>
      <c r="W205" s="191"/>
      <c r="X205" s="47"/>
      <c r="Y205" s="47"/>
    </row>
    <row r="206">
      <c r="A206" s="28">
        <f t="shared" si="10"/>
        <v>204</v>
      </c>
      <c r="B206" s="20"/>
      <c r="C206" s="21"/>
      <c r="D206" s="20"/>
      <c r="E206" s="187" t="s">
        <v>637</v>
      </c>
      <c r="F206" s="20"/>
      <c r="G206" s="21"/>
      <c r="H206" s="20"/>
      <c r="I206" s="187" t="s">
        <v>292</v>
      </c>
      <c r="J206" s="31">
        <f>'参照_各種特典'!H55</f>
        <v>1</v>
      </c>
      <c r="K206" s="34" t="s">
        <v>625</v>
      </c>
      <c r="L206" s="28">
        <f>IFERROR(__xludf.DUMMYFUNCTION("""COMPUTED_VALUE"""),360.0)</f>
        <v>360</v>
      </c>
      <c r="M206" s="34">
        <v>7.0</v>
      </c>
      <c r="N206" s="37" t="s">
        <v>639</v>
      </c>
      <c r="O206" s="92" t="s">
        <v>67</v>
      </c>
      <c r="P206" s="92" t="s">
        <v>68</v>
      </c>
      <c r="Q206" s="92" t="s">
        <v>69</v>
      </c>
      <c r="R206" s="171">
        <v>46062.0</v>
      </c>
      <c r="S206" s="36"/>
      <c r="T206" s="36"/>
      <c r="U206" s="36"/>
      <c r="V206" s="36"/>
      <c r="W206" s="191"/>
      <c r="X206" s="47"/>
      <c r="Y206" s="47"/>
    </row>
    <row r="207">
      <c r="A207" s="28">
        <f t="shared" si="10"/>
        <v>205</v>
      </c>
      <c r="B207" s="20"/>
      <c r="C207" s="62" t="s">
        <v>72</v>
      </c>
      <c r="D207" s="21"/>
      <c r="E207" s="187" t="s">
        <v>617</v>
      </c>
      <c r="F207" s="20"/>
      <c r="G207" s="62" t="s">
        <v>74</v>
      </c>
      <c r="H207" s="21"/>
      <c r="I207" s="187" t="s">
        <v>618</v>
      </c>
      <c r="J207" s="31"/>
      <c r="K207" s="34" t="s">
        <v>625</v>
      </c>
      <c r="L207" s="28">
        <f>IFERROR(__xludf.DUMMYFUNCTION("""COMPUTED_VALUE"""),360.0)</f>
        <v>360</v>
      </c>
      <c r="M207" s="28"/>
      <c r="N207" s="37"/>
      <c r="O207" s="92" t="s">
        <v>67</v>
      </c>
      <c r="P207" s="92" t="s">
        <v>68</v>
      </c>
      <c r="Q207" s="92" t="s">
        <v>69</v>
      </c>
      <c r="R207" s="171">
        <v>46062.0</v>
      </c>
      <c r="S207" s="34" t="s">
        <v>67</v>
      </c>
      <c r="T207" s="28" t="s">
        <v>68</v>
      </c>
      <c r="U207" s="28" t="s">
        <v>69</v>
      </c>
      <c r="V207" s="45" t="s">
        <v>76</v>
      </c>
      <c r="W207" s="191"/>
      <c r="X207" s="47"/>
      <c r="Y207" s="47"/>
    </row>
    <row r="208">
      <c r="A208" s="28">
        <f t="shared" si="10"/>
        <v>206</v>
      </c>
      <c r="B208" s="20"/>
      <c r="C208" s="20"/>
      <c r="D208" s="29" t="s">
        <v>626</v>
      </c>
      <c r="E208" s="187" t="s">
        <v>627</v>
      </c>
      <c r="F208" s="20"/>
      <c r="G208" s="20"/>
      <c r="H208" s="29" t="s">
        <v>628</v>
      </c>
      <c r="I208" s="187" t="s">
        <v>640</v>
      </c>
      <c r="J208" s="31"/>
      <c r="K208" s="34" t="s">
        <v>625</v>
      </c>
      <c r="L208" s="28">
        <f>IFERROR(__xludf.DUMMYFUNCTION("""COMPUTED_VALUE"""),360.0)</f>
        <v>360</v>
      </c>
      <c r="M208" s="28"/>
      <c r="N208" s="37"/>
      <c r="O208" s="179"/>
      <c r="P208" s="179"/>
      <c r="Q208" s="179"/>
      <c r="R208" s="180"/>
      <c r="S208" s="34" t="s">
        <v>67</v>
      </c>
      <c r="T208" s="28" t="s">
        <v>68</v>
      </c>
      <c r="U208" s="28" t="s">
        <v>69</v>
      </c>
      <c r="V208" s="45" t="s">
        <v>76</v>
      </c>
      <c r="W208" s="191"/>
      <c r="X208" s="47"/>
      <c r="Y208" s="47"/>
    </row>
    <row r="209">
      <c r="A209" s="28">
        <f t="shared" si="10"/>
        <v>207</v>
      </c>
      <c r="B209" s="21"/>
      <c r="C209" s="21"/>
      <c r="D209" s="21"/>
      <c r="E209" s="187" t="s">
        <v>641</v>
      </c>
      <c r="F209" s="21"/>
      <c r="G209" s="21"/>
      <c r="H209" s="21"/>
      <c r="I209" s="187" t="s">
        <v>642</v>
      </c>
      <c r="J209" s="31" t="s">
        <v>645</v>
      </c>
      <c r="K209" s="34" t="s">
        <v>625</v>
      </c>
      <c r="L209" s="28">
        <f>IFERROR(__xludf.DUMMYFUNCTION("""COMPUTED_VALUE"""),360.0)</f>
        <v>360</v>
      </c>
      <c r="M209" s="28"/>
      <c r="N209" s="37" t="e">
        <v>#VALUE!</v>
      </c>
      <c r="O209" s="179"/>
      <c r="P209" s="179"/>
      <c r="Q209" s="179"/>
      <c r="R209" s="180"/>
      <c r="S209" s="34" t="s">
        <v>67</v>
      </c>
      <c r="T209" s="28" t="s">
        <v>68</v>
      </c>
      <c r="U209" s="28" t="s">
        <v>69</v>
      </c>
      <c r="V209" s="45" t="s">
        <v>76</v>
      </c>
      <c r="W209" s="191"/>
      <c r="X209" s="47"/>
      <c r="Y209" s="47"/>
    </row>
    <row r="210">
      <c r="A210" s="28">
        <f t="shared" si="10"/>
        <v>208</v>
      </c>
      <c r="B210" s="173">
        <v>370.0</v>
      </c>
      <c r="C210" s="91" t="s">
        <v>630</v>
      </c>
      <c r="D210" s="59" t="s">
        <v>620</v>
      </c>
      <c r="E210" s="189" t="s">
        <v>631</v>
      </c>
      <c r="F210" s="173">
        <v>370.0</v>
      </c>
      <c r="G210" s="91" t="s">
        <v>632</v>
      </c>
      <c r="H210" s="59" t="s">
        <v>623</v>
      </c>
      <c r="I210" s="189" t="s">
        <v>633</v>
      </c>
      <c r="J210" s="37" t="str">
        <f>'参照_各種特典'!D56</f>
        <v>Mystic Matrimony◆Collection Bonus</v>
      </c>
      <c r="K210" s="34" t="s">
        <v>625</v>
      </c>
      <c r="L210" s="28">
        <f>IFERROR(__xludf.DUMMYFUNCTION("""COMPUTED_VALUE"""),370.0)</f>
        <v>370</v>
      </c>
      <c r="M210" s="34">
        <v>4.0</v>
      </c>
      <c r="N210" s="37" t="s">
        <v>634</v>
      </c>
      <c r="O210" s="92" t="s">
        <v>67</v>
      </c>
      <c r="P210" s="92" t="s">
        <v>68</v>
      </c>
      <c r="Q210" s="92" t="s">
        <v>69</v>
      </c>
      <c r="R210" s="171">
        <v>46062.0</v>
      </c>
      <c r="S210" s="36"/>
      <c r="T210" s="36"/>
      <c r="U210" s="36"/>
      <c r="V210" s="36"/>
      <c r="W210" s="191"/>
      <c r="X210" s="47"/>
      <c r="Y210" s="47"/>
    </row>
    <row r="211">
      <c r="A211" s="28">
        <f t="shared" si="10"/>
        <v>209</v>
      </c>
      <c r="B211" s="20"/>
      <c r="C211" s="20"/>
      <c r="D211" s="20"/>
      <c r="E211" s="189" t="s">
        <v>621</v>
      </c>
      <c r="F211" s="20"/>
      <c r="G211" s="20"/>
      <c r="H211" s="20"/>
      <c r="I211" s="190" t="s">
        <v>635</v>
      </c>
      <c r="J211" s="37" t="str">
        <f>'参照_各種特典'!F56</f>
        <v>Masamune with a Lantern</v>
      </c>
      <c r="K211" s="34" t="s">
        <v>625</v>
      </c>
      <c r="L211" s="28">
        <f>IFERROR(__xludf.DUMMYFUNCTION("""COMPUTED_VALUE"""),370.0)</f>
        <v>370</v>
      </c>
      <c r="M211" s="34">
        <v>11.0</v>
      </c>
      <c r="N211" s="37" t="s">
        <v>661</v>
      </c>
      <c r="O211" s="92" t="s">
        <v>67</v>
      </c>
      <c r="P211" s="92" t="s">
        <v>68</v>
      </c>
      <c r="Q211" s="92" t="s">
        <v>69</v>
      </c>
      <c r="R211" s="171">
        <v>46062.0</v>
      </c>
      <c r="S211" s="36"/>
      <c r="T211" s="36"/>
      <c r="U211" s="36"/>
      <c r="V211" s="36"/>
      <c r="W211" s="191"/>
      <c r="X211" s="47"/>
      <c r="Y211" s="47"/>
    </row>
    <row r="212">
      <c r="A212" s="28">
        <f t="shared" si="10"/>
        <v>210</v>
      </c>
      <c r="B212" s="20"/>
      <c r="C212" s="21"/>
      <c r="D212" s="20"/>
      <c r="E212" s="190" t="s">
        <v>637</v>
      </c>
      <c r="F212" s="20"/>
      <c r="G212" s="21"/>
      <c r="H212" s="20"/>
      <c r="I212" s="190" t="s">
        <v>292</v>
      </c>
      <c r="J212" s="37">
        <f>'参照_各種特典'!H56</f>
        <v>1</v>
      </c>
      <c r="K212" s="34" t="s">
        <v>625</v>
      </c>
      <c r="L212" s="28">
        <f>IFERROR(__xludf.DUMMYFUNCTION("""COMPUTED_VALUE"""),370.0)</f>
        <v>370</v>
      </c>
      <c r="M212" s="34">
        <v>7.0</v>
      </c>
      <c r="N212" s="37" t="s">
        <v>639</v>
      </c>
      <c r="O212" s="92" t="s">
        <v>67</v>
      </c>
      <c r="P212" s="92" t="s">
        <v>68</v>
      </c>
      <c r="Q212" s="92" t="s">
        <v>69</v>
      </c>
      <c r="R212" s="171">
        <v>46062.0</v>
      </c>
      <c r="S212" s="36"/>
      <c r="T212" s="36"/>
      <c r="U212" s="36"/>
      <c r="V212" s="36"/>
      <c r="W212" s="191"/>
      <c r="X212" s="47"/>
      <c r="Y212" s="47"/>
    </row>
    <row r="213">
      <c r="A213" s="28">
        <f t="shared" si="10"/>
        <v>211</v>
      </c>
      <c r="B213" s="20"/>
      <c r="C213" s="62" t="s">
        <v>72</v>
      </c>
      <c r="D213" s="21"/>
      <c r="E213" s="190" t="s">
        <v>617</v>
      </c>
      <c r="F213" s="20"/>
      <c r="G213" s="62" t="s">
        <v>74</v>
      </c>
      <c r="H213" s="21"/>
      <c r="I213" s="190" t="s">
        <v>618</v>
      </c>
      <c r="J213" s="37"/>
      <c r="K213" s="34" t="s">
        <v>625</v>
      </c>
      <c r="L213" s="28">
        <f>IFERROR(__xludf.DUMMYFUNCTION("""COMPUTED_VALUE"""),370.0)</f>
        <v>370</v>
      </c>
      <c r="M213" s="28"/>
      <c r="N213" s="37"/>
      <c r="O213" s="92" t="s">
        <v>67</v>
      </c>
      <c r="P213" s="92" t="s">
        <v>68</v>
      </c>
      <c r="Q213" s="92" t="s">
        <v>69</v>
      </c>
      <c r="R213" s="171">
        <v>46062.0</v>
      </c>
      <c r="S213" s="34" t="s">
        <v>67</v>
      </c>
      <c r="T213" s="28" t="s">
        <v>68</v>
      </c>
      <c r="U213" s="28" t="s">
        <v>69</v>
      </c>
      <c r="V213" s="45" t="s">
        <v>76</v>
      </c>
      <c r="W213" s="191"/>
      <c r="X213" s="47"/>
      <c r="Y213" s="47"/>
    </row>
    <row r="214">
      <c r="A214" s="28">
        <f t="shared" si="10"/>
        <v>212</v>
      </c>
      <c r="B214" s="20"/>
      <c r="C214" s="20"/>
      <c r="D214" s="59" t="s">
        <v>626</v>
      </c>
      <c r="E214" s="190" t="s">
        <v>627</v>
      </c>
      <c r="F214" s="20"/>
      <c r="G214" s="20"/>
      <c r="H214" s="59" t="s">
        <v>628</v>
      </c>
      <c r="I214" s="190" t="s">
        <v>640</v>
      </c>
      <c r="J214" s="37"/>
      <c r="K214" s="34" t="s">
        <v>625</v>
      </c>
      <c r="L214" s="28">
        <f>IFERROR(__xludf.DUMMYFUNCTION("""COMPUTED_VALUE"""),370.0)</f>
        <v>370</v>
      </c>
      <c r="M214" s="28"/>
      <c r="N214" s="37"/>
      <c r="O214" s="179"/>
      <c r="P214" s="179"/>
      <c r="Q214" s="179"/>
      <c r="R214" s="180"/>
      <c r="S214" s="34" t="s">
        <v>67</v>
      </c>
      <c r="T214" s="28" t="s">
        <v>68</v>
      </c>
      <c r="U214" s="28" t="s">
        <v>69</v>
      </c>
      <c r="V214" s="45" t="s">
        <v>76</v>
      </c>
      <c r="W214" s="191"/>
      <c r="X214" s="47"/>
      <c r="Y214" s="47"/>
    </row>
    <row r="215">
      <c r="A215" s="28">
        <f t="shared" si="10"/>
        <v>213</v>
      </c>
      <c r="B215" s="21"/>
      <c r="C215" s="21"/>
      <c r="D215" s="21"/>
      <c r="E215" s="190" t="s">
        <v>641</v>
      </c>
      <c r="F215" s="21"/>
      <c r="G215" s="21"/>
      <c r="H215" s="21"/>
      <c r="I215" s="190" t="s">
        <v>642</v>
      </c>
      <c r="J215" s="37" t="s">
        <v>645</v>
      </c>
      <c r="K215" s="34" t="s">
        <v>625</v>
      </c>
      <c r="L215" s="28">
        <f>IFERROR(__xludf.DUMMYFUNCTION("""COMPUTED_VALUE"""),370.0)</f>
        <v>370</v>
      </c>
      <c r="M215" s="28"/>
      <c r="N215" s="37" t="e">
        <v>#VALUE!</v>
      </c>
      <c r="O215" s="179"/>
      <c r="P215" s="179"/>
      <c r="Q215" s="179"/>
      <c r="R215" s="180"/>
      <c r="S215" s="34" t="s">
        <v>67</v>
      </c>
      <c r="T215" s="28" t="s">
        <v>68</v>
      </c>
      <c r="U215" s="28" t="s">
        <v>69</v>
      </c>
      <c r="V215" s="45" t="s">
        <v>76</v>
      </c>
      <c r="W215" s="191"/>
      <c r="X215" s="47"/>
      <c r="Y215" s="47"/>
    </row>
    <row r="216">
      <c r="A216" s="28">
        <f t="shared" si="10"/>
        <v>214</v>
      </c>
      <c r="B216" s="182">
        <v>380.0</v>
      </c>
      <c r="C216" s="91" t="s">
        <v>630</v>
      </c>
      <c r="D216" s="29" t="s">
        <v>620</v>
      </c>
      <c r="E216" s="183" t="s">
        <v>631</v>
      </c>
      <c r="F216" s="182">
        <v>380.0</v>
      </c>
      <c r="G216" s="91" t="s">
        <v>632</v>
      </c>
      <c r="H216" s="29" t="s">
        <v>623</v>
      </c>
      <c r="I216" s="183" t="s">
        <v>633</v>
      </c>
      <c r="J216" s="31" t="str">
        <f>'参照_各種特典'!D57</f>
        <v>Mystic Matrimony◆Collection Bonus</v>
      </c>
      <c r="K216" s="34" t="s">
        <v>625</v>
      </c>
      <c r="L216" s="28">
        <f>IFERROR(__xludf.DUMMYFUNCTION("""COMPUTED_VALUE"""),380.0)</f>
        <v>380</v>
      </c>
      <c r="M216" s="34">
        <v>4.0</v>
      </c>
      <c r="N216" s="37" t="s">
        <v>634</v>
      </c>
      <c r="O216" s="92" t="s">
        <v>67</v>
      </c>
      <c r="P216" s="92" t="s">
        <v>68</v>
      </c>
      <c r="Q216" s="92" t="s">
        <v>69</v>
      </c>
      <c r="R216" s="171">
        <v>46062.0</v>
      </c>
      <c r="S216" s="36"/>
      <c r="T216" s="36"/>
      <c r="U216" s="36"/>
      <c r="V216" s="36"/>
      <c r="W216" s="191"/>
      <c r="X216" s="47"/>
      <c r="Y216" s="47"/>
    </row>
    <row r="217">
      <c r="A217" s="28">
        <f t="shared" si="10"/>
        <v>215</v>
      </c>
      <c r="B217" s="20"/>
      <c r="C217" s="20"/>
      <c r="D217" s="20"/>
      <c r="E217" s="183" t="s">
        <v>621</v>
      </c>
      <c r="F217" s="20"/>
      <c r="G217" s="20"/>
      <c r="H217" s="20"/>
      <c r="I217" s="187" t="s">
        <v>635</v>
      </c>
      <c r="J217" s="31" t="str">
        <f>'参照_各種特典'!F57</f>
        <v>1500 Gold</v>
      </c>
      <c r="K217" s="34" t="s">
        <v>625</v>
      </c>
      <c r="L217" s="28">
        <f>IFERROR(__xludf.DUMMYFUNCTION("""COMPUTED_VALUE"""),380.0)</f>
        <v>380</v>
      </c>
      <c r="M217" s="34">
        <v>11.0</v>
      </c>
      <c r="N217" s="37" t="s">
        <v>481</v>
      </c>
      <c r="O217" s="92" t="s">
        <v>67</v>
      </c>
      <c r="P217" s="92" t="s">
        <v>68</v>
      </c>
      <c r="Q217" s="92" t="s">
        <v>69</v>
      </c>
      <c r="R217" s="171">
        <v>46062.0</v>
      </c>
      <c r="S217" s="36"/>
      <c r="T217" s="36"/>
      <c r="U217" s="36"/>
      <c r="V217" s="36"/>
      <c r="W217" s="191"/>
      <c r="X217" s="47"/>
      <c r="Y217" s="47"/>
    </row>
    <row r="218">
      <c r="A218" s="28">
        <f t="shared" si="10"/>
        <v>216</v>
      </c>
      <c r="B218" s="20"/>
      <c r="C218" s="21"/>
      <c r="D218" s="20"/>
      <c r="E218" s="187" t="s">
        <v>637</v>
      </c>
      <c r="F218" s="20"/>
      <c r="G218" s="21"/>
      <c r="H218" s="20"/>
      <c r="I218" s="187" t="s">
        <v>292</v>
      </c>
      <c r="J218" s="31">
        <f>'参照_各種特典'!H57</f>
        <v>1</v>
      </c>
      <c r="K218" s="34" t="s">
        <v>625</v>
      </c>
      <c r="L218" s="28">
        <f>IFERROR(__xludf.DUMMYFUNCTION("""COMPUTED_VALUE"""),380.0)</f>
        <v>380</v>
      </c>
      <c r="M218" s="34">
        <v>7.0</v>
      </c>
      <c r="N218" s="37" t="s">
        <v>639</v>
      </c>
      <c r="O218" s="92" t="s">
        <v>67</v>
      </c>
      <c r="P218" s="92" t="s">
        <v>68</v>
      </c>
      <c r="Q218" s="92" t="s">
        <v>69</v>
      </c>
      <c r="R218" s="171">
        <v>46062.0</v>
      </c>
      <c r="S218" s="36"/>
      <c r="T218" s="36"/>
      <c r="U218" s="36"/>
      <c r="V218" s="36"/>
      <c r="W218" s="191"/>
      <c r="X218" s="47"/>
      <c r="Y218" s="47"/>
    </row>
    <row r="219">
      <c r="A219" s="28">
        <f t="shared" si="10"/>
        <v>217</v>
      </c>
      <c r="B219" s="20"/>
      <c r="C219" s="62" t="s">
        <v>72</v>
      </c>
      <c r="D219" s="21"/>
      <c r="E219" s="187" t="s">
        <v>617</v>
      </c>
      <c r="F219" s="20"/>
      <c r="G219" s="62" t="s">
        <v>74</v>
      </c>
      <c r="H219" s="21"/>
      <c r="I219" s="187" t="s">
        <v>618</v>
      </c>
      <c r="J219" s="31"/>
      <c r="K219" s="34" t="s">
        <v>625</v>
      </c>
      <c r="L219" s="28">
        <f>IFERROR(__xludf.DUMMYFUNCTION("""COMPUTED_VALUE"""),380.0)</f>
        <v>380</v>
      </c>
      <c r="M219" s="28"/>
      <c r="N219" s="37"/>
      <c r="O219" s="92" t="s">
        <v>67</v>
      </c>
      <c r="P219" s="92" t="s">
        <v>68</v>
      </c>
      <c r="Q219" s="92" t="s">
        <v>69</v>
      </c>
      <c r="R219" s="171">
        <v>46062.0</v>
      </c>
      <c r="S219" s="34" t="s">
        <v>67</v>
      </c>
      <c r="T219" s="28" t="s">
        <v>68</v>
      </c>
      <c r="U219" s="28" t="s">
        <v>69</v>
      </c>
      <c r="V219" s="45" t="s">
        <v>76</v>
      </c>
      <c r="W219" s="191"/>
      <c r="X219" s="47"/>
      <c r="Y219" s="47"/>
    </row>
    <row r="220">
      <c r="A220" s="28">
        <f t="shared" si="10"/>
        <v>218</v>
      </c>
      <c r="B220" s="20"/>
      <c r="C220" s="20"/>
      <c r="D220" s="29" t="s">
        <v>626</v>
      </c>
      <c r="E220" s="187" t="s">
        <v>627</v>
      </c>
      <c r="F220" s="20"/>
      <c r="G220" s="20"/>
      <c r="H220" s="29" t="s">
        <v>628</v>
      </c>
      <c r="I220" s="187" t="s">
        <v>640</v>
      </c>
      <c r="J220" s="31"/>
      <c r="K220" s="34" t="s">
        <v>625</v>
      </c>
      <c r="L220" s="28">
        <f>IFERROR(__xludf.DUMMYFUNCTION("""COMPUTED_VALUE"""),380.0)</f>
        <v>380</v>
      </c>
      <c r="M220" s="28"/>
      <c r="N220" s="37"/>
      <c r="O220" s="179"/>
      <c r="P220" s="179"/>
      <c r="Q220" s="179"/>
      <c r="R220" s="180"/>
      <c r="S220" s="34" t="s">
        <v>67</v>
      </c>
      <c r="T220" s="28" t="s">
        <v>68</v>
      </c>
      <c r="U220" s="28" t="s">
        <v>69</v>
      </c>
      <c r="V220" s="45" t="s">
        <v>76</v>
      </c>
      <c r="W220" s="191"/>
      <c r="X220" s="47"/>
      <c r="Y220" s="47"/>
    </row>
    <row r="221">
      <c r="A221" s="28">
        <f t="shared" si="10"/>
        <v>219</v>
      </c>
      <c r="B221" s="21"/>
      <c r="C221" s="21"/>
      <c r="D221" s="21"/>
      <c r="E221" s="187" t="s">
        <v>641</v>
      </c>
      <c r="F221" s="21"/>
      <c r="G221" s="21"/>
      <c r="H221" s="21"/>
      <c r="I221" s="187" t="s">
        <v>642</v>
      </c>
      <c r="J221" s="31" t="s">
        <v>645</v>
      </c>
      <c r="K221" s="34" t="s">
        <v>625</v>
      </c>
      <c r="L221" s="28">
        <f>IFERROR(__xludf.DUMMYFUNCTION("""COMPUTED_VALUE"""),380.0)</f>
        <v>380</v>
      </c>
      <c r="M221" s="28"/>
      <c r="N221" s="37" t="e">
        <v>#VALUE!</v>
      </c>
      <c r="O221" s="179"/>
      <c r="P221" s="179"/>
      <c r="Q221" s="179"/>
      <c r="R221" s="180"/>
      <c r="S221" s="34" t="s">
        <v>67</v>
      </c>
      <c r="T221" s="28" t="s">
        <v>68</v>
      </c>
      <c r="U221" s="28" t="s">
        <v>69</v>
      </c>
      <c r="V221" s="45" t="s">
        <v>76</v>
      </c>
      <c r="W221" s="191"/>
      <c r="X221" s="47"/>
      <c r="Y221" s="47"/>
    </row>
    <row r="222">
      <c r="A222" s="28">
        <f t="shared" si="10"/>
        <v>220</v>
      </c>
      <c r="B222" s="173">
        <v>390.0</v>
      </c>
      <c r="C222" s="91" t="s">
        <v>630</v>
      </c>
      <c r="D222" s="59" t="s">
        <v>620</v>
      </c>
      <c r="E222" s="189" t="s">
        <v>631</v>
      </c>
      <c r="F222" s="173">
        <v>390.0</v>
      </c>
      <c r="G222" s="91" t="s">
        <v>632</v>
      </c>
      <c r="H222" s="59" t="s">
        <v>623</v>
      </c>
      <c r="I222" s="189" t="s">
        <v>633</v>
      </c>
      <c r="J222" s="37" t="str">
        <f>'参照_各種特典'!D58</f>
        <v>Mystic Matrimony◆Collection Bonus</v>
      </c>
      <c r="K222" s="34" t="s">
        <v>625</v>
      </c>
      <c r="L222" s="28">
        <f>IFERROR(__xludf.DUMMYFUNCTION("""COMPUTED_VALUE"""),390.0)</f>
        <v>390</v>
      </c>
      <c r="M222" s="34">
        <v>4.0</v>
      </c>
      <c r="N222" s="37" t="s">
        <v>634</v>
      </c>
      <c r="O222" s="92" t="s">
        <v>67</v>
      </c>
      <c r="P222" s="92" t="s">
        <v>68</v>
      </c>
      <c r="Q222" s="92" t="s">
        <v>69</v>
      </c>
      <c r="R222" s="171">
        <v>46062.0</v>
      </c>
      <c r="S222" s="36"/>
      <c r="T222" s="36"/>
      <c r="U222" s="36"/>
      <c r="V222" s="36"/>
      <c r="W222" s="191"/>
      <c r="X222" s="47"/>
      <c r="Y222" s="47"/>
    </row>
    <row r="223">
      <c r="A223" s="28"/>
      <c r="B223" s="20"/>
      <c r="C223" s="20"/>
      <c r="D223" s="20"/>
      <c r="E223" s="189" t="s">
        <v>621</v>
      </c>
      <c r="F223" s="20"/>
      <c r="G223" s="20"/>
      <c r="H223" s="20"/>
      <c r="I223" s="190" t="s">
        <v>635</v>
      </c>
      <c r="J223" s="37" t="str">
        <f>'参照_各種特典'!F58</f>
        <v>Perfume (+500 Grace)</v>
      </c>
      <c r="K223" s="34" t="s">
        <v>625</v>
      </c>
      <c r="L223" s="28">
        <f>IFERROR(__xludf.DUMMYFUNCTION("""COMPUTED_VALUE"""),390.0)</f>
        <v>390</v>
      </c>
      <c r="M223" s="34">
        <v>11.0</v>
      </c>
      <c r="N223" s="37" t="s">
        <v>662</v>
      </c>
      <c r="O223" s="92" t="s">
        <v>67</v>
      </c>
      <c r="P223" s="92" t="s">
        <v>68</v>
      </c>
      <c r="Q223" s="92" t="s">
        <v>69</v>
      </c>
      <c r="R223" s="171">
        <v>46062.0</v>
      </c>
      <c r="S223" s="36"/>
      <c r="T223" s="36"/>
      <c r="U223" s="36"/>
      <c r="V223" s="36"/>
      <c r="W223" s="191"/>
      <c r="X223" s="47"/>
      <c r="Y223" s="47"/>
    </row>
    <row r="224">
      <c r="A224" s="28"/>
      <c r="B224" s="20"/>
      <c r="C224" s="21"/>
      <c r="D224" s="20"/>
      <c r="E224" s="190" t="s">
        <v>637</v>
      </c>
      <c r="F224" s="20"/>
      <c r="G224" s="21"/>
      <c r="H224" s="20"/>
      <c r="I224" s="190" t="s">
        <v>292</v>
      </c>
      <c r="J224" s="37">
        <f>'参照_各種特典'!H58</f>
        <v>1</v>
      </c>
      <c r="K224" s="34" t="s">
        <v>625</v>
      </c>
      <c r="L224" s="28">
        <f>IFERROR(__xludf.DUMMYFUNCTION("""COMPUTED_VALUE"""),390.0)</f>
        <v>390</v>
      </c>
      <c r="M224" s="34">
        <v>7.0</v>
      </c>
      <c r="N224" s="37" t="s">
        <v>639</v>
      </c>
      <c r="O224" s="92" t="s">
        <v>67</v>
      </c>
      <c r="P224" s="92" t="s">
        <v>68</v>
      </c>
      <c r="Q224" s="92" t="s">
        <v>69</v>
      </c>
      <c r="R224" s="171">
        <v>46062.0</v>
      </c>
      <c r="S224" s="36"/>
      <c r="T224" s="36"/>
      <c r="U224" s="36"/>
      <c r="V224" s="36"/>
      <c r="W224" s="191"/>
      <c r="X224" s="47"/>
      <c r="Y224" s="47"/>
    </row>
    <row r="225">
      <c r="A225" s="28">
        <f>ROW()-2</f>
        <v>223</v>
      </c>
      <c r="B225" s="20"/>
      <c r="C225" s="62" t="s">
        <v>72</v>
      </c>
      <c r="D225" s="21"/>
      <c r="E225" s="190" t="s">
        <v>617</v>
      </c>
      <c r="F225" s="20"/>
      <c r="G225" s="62" t="s">
        <v>74</v>
      </c>
      <c r="H225" s="21"/>
      <c r="I225" s="190" t="s">
        <v>618</v>
      </c>
      <c r="J225" s="37"/>
      <c r="K225" s="34" t="s">
        <v>625</v>
      </c>
      <c r="L225" s="28">
        <f>IFERROR(__xludf.DUMMYFUNCTION("""COMPUTED_VALUE"""),390.0)</f>
        <v>390</v>
      </c>
      <c r="M225" s="28"/>
      <c r="N225" s="37"/>
      <c r="O225" s="92" t="s">
        <v>67</v>
      </c>
      <c r="P225" s="92" t="s">
        <v>68</v>
      </c>
      <c r="Q225" s="92" t="s">
        <v>69</v>
      </c>
      <c r="R225" s="171">
        <v>46062.0</v>
      </c>
      <c r="S225" s="34" t="s">
        <v>67</v>
      </c>
      <c r="T225" s="28" t="s">
        <v>68</v>
      </c>
      <c r="U225" s="28" t="s">
        <v>69</v>
      </c>
      <c r="V225" s="45" t="s">
        <v>76</v>
      </c>
      <c r="W225" s="191"/>
      <c r="X225" s="47"/>
      <c r="Y225" s="47"/>
    </row>
    <row r="226">
      <c r="A226" s="28"/>
      <c r="B226" s="20"/>
      <c r="C226" s="20"/>
      <c r="D226" s="59" t="s">
        <v>626</v>
      </c>
      <c r="E226" s="190" t="s">
        <v>627</v>
      </c>
      <c r="F226" s="20"/>
      <c r="G226" s="20"/>
      <c r="H226" s="59" t="s">
        <v>628</v>
      </c>
      <c r="I226" s="190" t="s">
        <v>640</v>
      </c>
      <c r="J226" s="37"/>
      <c r="K226" s="34" t="s">
        <v>625</v>
      </c>
      <c r="L226" s="28">
        <f>IFERROR(__xludf.DUMMYFUNCTION("""COMPUTED_VALUE"""),390.0)</f>
        <v>390</v>
      </c>
      <c r="M226" s="28"/>
      <c r="N226" s="37"/>
      <c r="O226" s="179"/>
      <c r="P226" s="179"/>
      <c r="Q226" s="179"/>
      <c r="R226" s="180"/>
      <c r="S226" s="34" t="s">
        <v>67</v>
      </c>
      <c r="T226" s="28" t="s">
        <v>68</v>
      </c>
      <c r="U226" s="28" t="s">
        <v>69</v>
      </c>
      <c r="V226" s="45" t="s">
        <v>76</v>
      </c>
      <c r="W226" s="191"/>
      <c r="X226" s="47"/>
      <c r="Y226" s="47"/>
    </row>
    <row r="227">
      <c r="A227" s="28">
        <f t="shared" ref="A227:A244" si="11">ROW()-2</f>
        <v>225</v>
      </c>
      <c r="B227" s="21"/>
      <c r="C227" s="21"/>
      <c r="D227" s="21"/>
      <c r="E227" s="190" t="s">
        <v>641</v>
      </c>
      <c r="F227" s="21"/>
      <c r="G227" s="21"/>
      <c r="H227" s="21"/>
      <c r="I227" s="190" t="s">
        <v>642</v>
      </c>
      <c r="J227" s="37" t="s">
        <v>645</v>
      </c>
      <c r="K227" s="34" t="s">
        <v>625</v>
      </c>
      <c r="L227" s="28">
        <f>IFERROR(__xludf.DUMMYFUNCTION("""COMPUTED_VALUE"""),390.0)</f>
        <v>390</v>
      </c>
      <c r="M227" s="28"/>
      <c r="N227" s="37" t="e">
        <v>#VALUE!</v>
      </c>
      <c r="O227" s="179"/>
      <c r="P227" s="179"/>
      <c r="Q227" s="179"/>
      <c r="R227" s="180"/>
      <c r="S227" s="34" t="s">
        <v>67</v>
      </c>
      <c r="T227" s="28" t="s">
        <v>68</v>
      </c>
      <c r="U227" s="28" t="s">
        <v>69</v>
      </c>
      <c r="V227" s="45" t="s">
        <v>76</v>
      </c>
      <c r="W227" s="191"/>
      <c r="X227" s="47"/>
      <c r="Y227" s="47"/>
    </row>
    <row r="228">
      <c r="A228" s="28">
        <f t="shared" si="11"/>
        <v>226</v>
      </c>
      <c r="B228" s="182">
        <v>400.0</v>
      </c>
      <c r="C228" s="91" t="s">
        <v>630</v>
      </c>
      <c r="D228" s="29" t="s">
        <v>620</v>
      </c>
      <c r="E228" s="183" t="s">
        <v>631</v>
      </c>
      <c r="F228" s="182">
        <v>400.0</v>
      </c>
      <c r="G228" s="91" t="s">
        <v>632</v>
      </c>
      <c r="H228" s="29" t="s">
        <v>623</v>
      </c>
      <c r="I228" s="183" t="s">
        <v>633</v>
      </c>
      <c r="J228" s="31" t="str">
        <f>'参照_各種特典'!D59</f>
        <v>Mystic Matrimony◆Collection Bonus</v>
      </c>
      <c r="K228" s="34" t="s">
        <v>625</v>
      </c>
      <c r="L228" s="28">
        <f>IFERROR(__xludf.DUMMYFUNCTION("""COMPUTED_VALUE"""),400.0)</f>
        <v>400</v>
      </c>
      <c r="M228" s="34">
        <v>4.0</v>
      </c>
      <c r="N228" s="37" t="s">
        <v>634</v>
      </c>
      <c r="O228" s="92" t="s">
        <v>67</v>
      </c>
      <c r="P228" s="92" t="s">
        <v>68</v>
      </c>
      <c r="Q228" s="92" t="s">
        <v>69</v>
      </c>
      <c r="R228" s="171">
        <v>46062.0</v>
      </c>
      <c r="S228" s="36"/>
      <c r="T228" s="36"/>
      <c r="U228" s="36"/>
      <c r="V228" s="36"/>
      <c r="W228" s="191"/>
      <c r="X228" s="47"/>
      <c r="Y228" s="47"/>
    </row>
    <row r="229">
      <c r="A229" s="28">
        <f t="shared" si="11"/>
        <v>227</v>
      </c>
      <c r="B229" s="20"/>
      <c r="C229" s="20"/>
      <c r="D229" s="20"/>
      <c r="E229" s="183" t="s">
        <v>621</v>
      </c>
      <c r="F229" s="20"/>
      <c r="G229" s="20"/>
      <c r="H229" s="20"/>
      <c r="I229" s="187" t="s">
        <v>635</v>
      </c>
      <c r="J229" s="31" t="str">
        <f>'参照_各種特典'!F59</f>
        <v>(Main) Romantic Elixir (+1)</v>
      </c>
      <c r="K229" s="34" t="s">
        <v>625</v>
      </c>
      <c r="L229" s="28">
        <f>IFERROR(__xludf.DUMMYFUNCTION("""COMPUTED_VALUE"""),400.0)</f>
        <v>400</v>
      </c>
      <c r="M229" s="34">
        <v>11.0</v>
      </c>
      <c r="N229" s="37" t="s">
        <v>663</v>
      </c>
      <c r="O229" s="92" t="s">
        <v>67</v>
      </c>
      <c r="P229" s="92" t="s">
        <v>68</v>
      </c>
      <c r="Q229" s="92" t="s">
        <v>69</v>
      </c>
      <c r="R229" s="171">
        <v>46062.0</v>
      </c>
      <c r="S229" s="36"/>
      <c r="T229" s="36"/>
      <c r="U229" s="36"/>
      <c r="V229" s="36"/>
      <c r="W229" s="191"/>
      <c r="X229" s="47"/>
      <c r="Y229" s="47"/>
    </row>
    <row r="230">
      <c r="A230" s="28">
        <f t="shared" si="11"/>
        <v>228</v>
      </c>
      <c r="B230" s="20"/>
      <c r="C230" s="21"/>
      <c r="D230" s="20"/>
      <c r="E230" s="187" t="s">
        <v>637</v>
      </c>
      <c r="F230" s="20"/>
      <c r="G230" s="21"/>
      <c r="H230" s="20"/>
      <c r="I230" s="187" t="s">
        <v>292</v>
      </c>
      <c r="J230" s="31">
        <f>'参照_各種特典'!H59</f>
        <v>1</v>
      </c>
      <c r="K230" s="34" t="s">
        <v>625</v>
      </c>
      <c r="L230" s="28">
        <f>IFERROR(__xludf.DUMMYFUNCTION("""COMPUTED_VALUE"""),400.0)</f>
        <v>400</v>
      </c>
      <c r="M230" s="34">
        <v>7.0</v>
      </c>
      <c r="N230" s="37" t="s">
        <v>639</v>
      </c>
      <c r="O230" s="92" t="s">
        <v>67</v>
      </c>
      <c r="P230" s="92" t="s">
        <v>68</v>
      </c>
      <c r="Q230" s="92" t="s">
        <v>69</v>
      </c>
      <c r="R230" s="171">
        <v>46062.0</v>
      </c>
      <c r="S230" s="36"/>
      <c r="T230" s="36"/>
      <c r="U230" s="36"/>
      <c r="V230" s="36"/>
      <c r="W230" s="191"/>
      <c r="X230" s="47"/>
      <c r="Y230" s="47"/>
    </row>
    <row r="231">
      <c r="A231" s="28">
        <f t="shared" si="11"/>
        <v>229</v>
      </c>
      <c r="B231" s="20"/>
      <c r="C231" s="62" t="s">
        <v>72</v>
      </c>
      <c r="D231" s="21"/>
      <c r="E231" s="187" t="s">
        <v>617</v>
      </c>
      <c r="F231" s="20"/>
      <c r="G231" s="62" t="s">
        <v>74</v>
      </c>
      <c r="H231" s="21"/>
      <c r="I231" s="187" t="s">
        <v>618</v>
      </c>
      <c r="J231" s="31"/>
      <c r="K231" s="34" t="s">
        <v>625</v>
      </c>
      <c r="L231" s="28">
        <f>IFERROR(__xludf.DUMMYFUNCTION("""COMPUTED_VALUE"""),400.0)</f>
        <v>400</v>
      </c>
      <c r="M231" s="28"/>
      <c r="N231" s="37"/>
      <c r="O231" s="92" t="s">
        <v>67</v>
      </c>
      <c r="P231" s="92" t="s">
        <v>68</v>
      </c>
      <c r="Q231" s="92" t="s">
        <v>69</v>
      </c>
      <c r="R231" s="171">
        <v>46062.0</v>
      </c>
      <c r="S231" s="34" t="s">
        <v>67</v>
      </c>
      <c r="T231" s="28" t="s">
        <v>68</v>
      </c>
      <c r="U231" s="28" t="s">
        <v>69</v>
      </c>
      <c r="V231" s="45" t="s">
        <v>76</v>
      </c>
      <c r="W231" s="191"/>
      <c r="X231" s="47"/>
      <c r="Y231" s="47"/>
    </row>
    <row r="232">
      <c r="A232" s="28">
        <f t="shared" si="11"/>
        <v>230</v>
      </c>
      <c r="B232" s="20"/>
      <c r="C232" s="20"/>
      <c r="D232" s="29" t="s">
        <v>626</v>
      </c>
      <c r="E232" s="187" t="s">
        <v>627</v>
      </c>
      <c r="F232" s="20"/>
      <c r="G232" s="20"/>
      <c r="H232" s="29" t="s">
        <v>628</v>
      </c>
      <c r="I232" s="187" t="s">
        <v>640</v>
      </c>
      <c r="J232" s="31"/>
      <c r="K232" s="34" t="s">
        <v>625</v>
      </c>
      <c r="L232" s="28">
        <f>IFERROR(__xludf.DUMMYFUNCTION("""COMPUTED_VALUE"""),400.0)</f>
        <v>400</v>
      </c>
      <c r="M232" s="28"/>
      <c r="N232" s="37"/>
      <c r="O232" s="179"/>
      <c r="P232" s="179"/>
      <c r="Q232" s="179"/>
      <c r="R232" s="180"/>
      <c r="S232" s="34" t="s">
        <v>67</v>
      </c>
      <c r="T232" s="28" t="s">
        <v>68</v>
      </c>
      <c r="U232" s="28" t="s">
        <v>69</v>
      </c>
      <c r="V232" s="45" t="s">
        <v>76</v>
      </c>
      <c r="W232" s="191"/>
      <c r="X232" s="47"/>
      <c r="Y232" s="47"/>
    </row>
    <row r="233">
      <c r="A233" s="28">
        <f t="shared" si="11"/>
        <v>231</v>
      </c>
      <c r="B233" s="20"/>
      <c r="C233" s="20"/>
      <c r="D233" s="20"/>
      <c r="E233" s="187" t="s">
        <v>641</v>
      </c>
      <c r="F233" s="20"/>
      <c r="G233" s="20"/>
      <c r="H233" s="20"/>
      <c r="I233" s="187" t="s">
        <v>642</v>
      </c>
      <c r="J233" s="31" t="s">
        <v>645</v>
      </c>
      <c r="K233" s="34" t="s">
        <v>625</v>
      </c>
      <c r="L233" s="28">
        <f>IFERROR(__xludf.DUMMYFUNCTION("""COMPUTED_VALUE"""),400.0)</f>
        <v>400</v>
      </c>
      <c r="M233" s="28"/>
      <c r="N233" s="37" t="e">
        <v>#VALUE!</v>
      </c>
      <c r="O233" s="179"/>
      <c r="P233" s="179"/>
      <c r="Q233" s="179"/>
      <c r="R233" s="180"/>
      <c r="S233" s="34" t="s">
        <v>67</v>
      </c>
      <c r="T233" s="28" t="s">
        <v>68</v>
      </c>
      <c r="U233" s="28" t="s">
        <v>69</v>
      </c>
      <c r="V233" s="45" t="s">
        <v>76</v>
      </c>
      <c r="W233" s="191"/>
      <c r="X233" s="47"/>
      <c r="Y233" s="47"/>
    </row>
    <row r="234">
      <c r="A234" s="28">
        <f t="shared" si="11"/>
        <v>232</v>
      </c>
      <c r="B234" s="21"/>
      <c r="C234" s="21"/>
      <c r="D234" s="21"/>
      <c r="E234" s="187" t="s">
        <v>627</v>
      </c>
      <c r="F234" s="21"/>
      <c r="G234" s="21"/>
      <c r="H234" s="21"/>
      <c r="I234" s="187" t="s">
        <v>640</v>
      </c>
      <c r="J234" s="31" t="str">
        <f>'参照_各種特典'!F16</f>
        <v>Effect: Shiny White Spider Lily</v>
      </c>
      <c r="K234" s="34" t="s">
        <v>625</v>
      </c>
      <c r="L234" s="28">
        <f>IFERROR(__xludf.DUMMYFUNCTION("""COMPUTED_VALUE"""),400.0)</f>
        <v>400</v>
      </c>
      <c r="M234" s="28"/>
      <c r="N234" s="37" t="e">
        <v>#VALUE!</v>
      </c>
      <c r="O234" s="179"/>
      <c r="P234" s="179"/>
      <c r="Q234" s="179"/>
      <c r="R234" s="180"/>
      <c r="S234" s="34" t="s">
        <v>67</v>
      </c>
      <c r="T234" s="28" t="s">
        <v>68</v>
      </c>
      <c r="U234" s="28" t="s">
        <v>69</v>
      </c>
      <c r="V234" s="45" t="s">
        <v>76</v>
      </c>
      <c r="W234" s="191"/>
      <c r="X234" s="47"/>
      <c r="Y234" s="47"/>
    </row>
    <row r="235">
      <c r="A235" s="28">
        <f t="shared" si="11"/>
        <v>233</v>
      </c>
      <c r="B235" s="173">
        <v>410.0</v>
      </c>
      <c r="C235" s="96" t="s">
        <v>630</v>
      </c>
      <c r="D235" s="59" t="s">
        <v>620</v>
      </c>
      <c r="E235" s="189" t="s">
        <v>621</v>
      </c>
      <c r="F235" s="173">
        <v>410.0</v>
      </c>
      <c r="G235" s="96" t="s">
        <v>632</v>
      </c>
      <c r="H235" s="59" t="s">
        <v>623</v>
      </c>
      <c r="I235" s="190" t="s">
        <v>635</v>
      </c>
      <c r="J235" s="37" t="str">
        <f>'参照_各種特典'!$F$60</f>
        <v>Mystic Matrimony Bonus Story ～Kanetsugu～</v>
      </c>
      <c r="K235" s="34" t="s">
        <v>625</v>
      </c>
      <c r="L235" s="28">
        <f>IFERROR(__xludf.DUMMYFUNCTION("""COMPUTED_VALUE"""),410.0)</f>
        <v>410</v>
      </c>
      <c r="M235" s="34">
        <v>11.0</v>
      </c>
      <c r="N235" s="37" t="s">
        <v>664</v>
      </c>
      <c r="O235" s="92" t="s">
        <v>67</v>
      </c>
      <c r="P235" s="92" t="s">
        <v>68</v>
      </c>
      <c r="Q235" s="92" t="s">
        <v>69</v>
      </c>
      <c r="R235" s="171">
        <v>46062.0</v>
      </c>
      <c r="S235" s="36"/>
      <c r="T235" s="36"/>
      <c r="U235" s="36"/>
      <c r="V235" s="36"/>
      <c r="W235" s="191"/>
      <c r="X235" s="47"/>
      <c r="Y235" s="47"/>
    </row>
    <row r="236">
      <c r="A236" s="28">
        <f t="shared" si="11"/>
        <v>234</v>
      </c>
      <c r="B236" s="20"/>
      <c r="C236" s="62" t="s">
        <v>72</v>
      </c>
      <c r="D236" s="21"/>
      <c r="E236" s="190" t="s">
        <v>617</v>
      </c>
      <c r="F236" s="20"/>
      <c r="G236" s="62" t="s">
        <v>74</v>
      </c>
      <c r="H236" s="21"/>
      <c r="I236" s="190" t="s">
        <v>618</v>
      </c>
      <c r="J236" s="37"/>
      <c r="K236" s="34" t="s">
        <v>625</v>
      </c>
      <c r="L236" s="28">
        <f>IFERROR(__xludf.DUMMYFUNCTION("""COMPUTED_VALUE"""),410.0)</f>
        <v>410</v>
      </c>
      <c r="M236" s="28"/>
      <c r="N236" s="37"/>
      <c r="O236" s="92" t="s">
        <v>67</v>
      </c>
      <c r="P236" s="92" t="s">
        <v>68</v>
      </c>
      <c r="Q236" s="92" t="s">
        <v>69</v>
      </c>
      <c r="R236" s="171">
        <v>46062.0</v>
      </c>
      <c r="S236" s="34" t="s">
        <v>67</v>
      </c>
      <c r="T236" s="28" t="s">
        <v>68</v>
      </c>
      <c r="U236" s="28" t="s">
        <v>69</v>
      </c>
      <c r="V236" s="45" t="s">
        <v>76</v>
      </c>
      <c r="W236" s="191"/>
      <c r="X236" s="47"/>
      <c r="Y236" s="47"/>
    </row>
    <row r="237">
      <c r="A237" s="28">
        <f t="shared" si="11"/>
        <v>235</v>
      </c>
      <c r="B237" s="21"/>
      <c r="C237" s="21"/>
      <c r="D237" s="37" t="s">
        <v>626</v>
      </c>
      <c r="E237" s="190" t="s">
        <v>627</v>
      </c>
      <c r="F237" s="21"/>
      <c r="G237" s="21"/>
      <c r="H237" s="37" t="s">
        <v>628</v>
      </c>
      <c r="I237" s="190" t="s">
        <v>640</v>
      </c>
      <c r="J237" s="37"/>
      <c r="K237" s="34" t="s">
        <v>625</v>
      </c>
      <c r="L237" s="28">
        <f>IFERROR(__xludf.DUMMYFUNCTION("""COMPUTED_VALUE"""),410.0)</f>
        <v>410</v>
      </c>
      <c r="M237" s="28"/>
      <c r="N237" s="37"/>
      <c r="O237" s="179"/>
      <c r="P237" s="179"/>
      <c r="Q237" s="179"/>
      <c r="R237" s="180"/>
      <c r="S237" s="34" t="s">
        <v>67</v>
      </c>
      <c r="T237" s="28" t="s">
        <v>68</v>
      </c>
      <c r="U237" s="28" t="s">
        <v>69</v>
      </c>
      <c r="V237" s="45" t="s">
        <v>76</v>
      </c>
      <c r="W237" s="191"/>
      <c r="X237" s="47"/>
      <c r="Y237" s="47"/>
    </row>
    <row r="238">
      <c r="A238" s="28">
        <f t="shared" si="11"/>
        <v>236</v>
      </c>
      <c r="B238" s="182">
        <v>420.0</v>
      </c>
      <c r="C238" s="91" t="s">
        <v>630</v>
      </c>
      <c r="D238" s="29" t="s">
        <v>620</v>
      </c>
      <c r="E238" s="183" t="s">
        <v>631</v>
      </c>
      <c r="F238" s="182">
        <v>420.0</v>
      </c>
      <c r="G238" s="91" t="s">
        <v>632</v>
      </c>
      <c r="H238" s="29" t="s">
        <v>623</v>
      </c>
      <c r="I238" s="183" t="s">
        <v>633</v>
      </c>
      <c r="J238" s="31" t="str">
        <f>'参照_各種特典'!D61</f>
        <v>Mystic Matrimony◆Collection Bonus</v>
      </c>
      <c r="K238" s="34" t="s">
        <v>625</v>
      </c>
      <c r="L238" s="28">
        <f>IFERROR(__xludf.DUMMYFUNCTION("""COMPUTED_VALUE"""),420.0)</f>
        <v>420</v>
      </c>
      <c r="M238" s="34">
        <v>4.0</v>
      </c>
      <c r="N238" s="37" t="s">
        <v>634</v>
      </c>
      <c r="O238" s="92" t="s">
        <v>67</v>
      </c>
      <c r="P238" s="92" t="s">
        <v>68</v>
      </c>
      <c r="Q238" s="92" t="s">
        <v>69</v>
      </c>
      <c r="R238" s="171">
        <v>46062.0</v>
      </c>
      <c r="S238" s="36"/>
      <c r="T238" s="36"/>
      <c r="U238" s="36"/>
      <c r="V238" s="36"/>
      <c r="W238" s="191"/>
      <c r="X238" s="47"/>
      <c r="Y238" s="47"/>
    </row>
    <row r="239">
      <c r="A239" s="28">
        <f t="shared" si="11"/>
        <v>237</v>
      </c>
      <c r="B239" s="20"/>
      <c r="C239" s="20"/>
      <c r="D239" s="20"/>
      <c r="E239" s="183" t="s">
        <v>621</v>
      </c>
      <c r="F239" s="20"/>
      <c r="G239" s="20"/>
      <c r="H239" s="20"/>
      <c r="I239" s="187" t="s">
        <v>635</v>
      </c>
      <c r="J239" s="31" t="str">
        <f>'参照_各種特典'!F61</f>
        <v>Shaved Ice (+100 Stamina)</v>
      </c>
      <c r="K239" s="34" t="s">
        <v>625</v>
      </c>
      <c r="L239" s="28">
        <f>IFERROR(__xludf.DUMMYFUNCTION("""COMPUTED_VALUE"""),420.0)</f>
        <v>420</v>
      </c>
      <c r="M239" s="34">
        <v>11.0</v>
      </c>
      <c r="N239" s="37" t="s">
        <v>657</v>
      </c>
      <c r="O239" s="92" t="s">
        <v>67</v>
      </c>
      <c r="P239" s="92" t="s">
        <v>68</v>
      </c>
      <c r="Q239" s="92" t="s">
        <v>69</v>
      </c>
      <c r="R239" s="171">
        <v>46062.0</v>
      </c>
      <c r="S239" s="36"/>
      <c r="T239" s="36"/>
      <c r="U239" s="36"/>
      <c r="V239" s="36"/>
      <c r="W239" s="191"/>
      <c r="X239" s="47"/>
      <c r="Y239" s="47"/>
    </row>
    <row r="240">
      <c r="A240" s="28">
        <f t="shared" si="11"/>
        <v>238</v>
      </c>
      <c r="B240" s="20"/>
      <c r="C240" s="21"/>
      <c r="D240" s="20"/>
      <c r="E240" s="187" t="s">
        <v>637</v>
      </c>
      <c r="F240" s="20"/>
      <c r="G240" s="21"/>
      <c r="H240" s="20"/>
      <c r="I240" s="187" t="s">
        <v>292</v>
      </c>
      <c r="J240" s="31">
        <f>'参照_各種特典'!H61</f>
        <v>1</v>
      </c>
      <c r="K240" s="34" t="s">
        <v>625</v>
      </c>
      <c r="L240" s="28">
        <f>IFERROR(__xludf.DUMMYFUNCTION("""COMPUTED_VALUE"""),420.0)</f>
        <v>420</v>
      </c>
      <c r="M240" s="34">
        <v>7.0</v>
      </c>
      <c r="N240" s="37" t="s">
        <v>639</v>
      </c>
      <c r="O240" s="92" t="s">
        <v>67</v>
      </c>
      <c r="P240" s="92" t="s">
        <v>68</v>
      </c>
      <c r="Q240" s="92" t="s">
        <v>69</v>
      </c>
      <c r="R240" s="171">
        <v>46062.0</v>
      </c>
      <c r="S240" s="36"/>
      <c r="T240" s="36"/>
      <c r="U240" s="36"/>
      <c r="V240" s="36"/>
      <c r="W240" s="191"/>
      <c r="X240" s="47"/>
      <c r="Y240" s="47"/>
    </row>
    <row r="241">
      <c r="A241" s="28">
        <f t="shared" si="11"/>
        <v>239</v>
      </c>
      <c r="B241" s="20"/>
      <c r="C241" s="62" t="s">
        <v>72</v>
      </c>
      <c r="D241" s="21"/>
      <c r="E241" s="187" t="s">
        <v>617</v>
      </c>
      <c r="F241" s="20"/>
      <c r="G241" s="62" t="s">
        <v>74</v>
      </c>
      <c r="H241" s="21"/>
      <c r="I241" s="187" t="s">
        <v>618</v>
      </c>
      <c r="J241" s="31"/>
      <c r="K241" s="34" t="s">
        <v>625</v>
      </c>
      <c r="L241" s="28">
        <f>IFERROR(__xludf.DUMMYFUNCTION("""COMPUTED_VALUE"""),420.0)</f>
        <v>420</v>
      </c>
      <c r="M241" s="28"/>
      <c r="N241" s="37"/>
      <c r="O241" s="92" t="s">
        <v>67</v>
      </c>
      <c r="P241" s="92" t="s">
        <v>68</v>
      </c>
      <c r="Q241" s="92" t="s">
        <v>69</v>
      </c>
      <c r="R241" s="171">
        <v>46062.0</v>
      </c>
      <c r="S241" s="34" t="s">
        <v>67</v>
      </c>
      <c r="T241" s="28" t="s">
        <v>68</v>
      </c>
      <c r="U241" s="28" t="s">
        <v>69</v>
      </c>
      <c r="V241" s="45" t="s">
        <v>76</v>
      </c>
      <c r="W241" s="191"/>
      <c r="X241" s="47"/>
      <c r="Y241" s="47"/>
    </row>
    <row r="242">
      <c r="A242" s="28">
        <f t="shared" si="11"/>
        <v>240</v>
      </c>
      <c r="B242" s="20"/>
      <c r="C242" s="20"/>
      <c r="D242" s="29" t="s">
        <v>626</v>
      </c>
      <c r="E242" s="187" t="s">
        <v>627</v>
      </c>
      <c r="F242" s="20"/>
      <c r="G242" s="20"/>
      <c r="H242" s="29" t="s">
        <v>628</v>
      </c>
      <c r="I242" s="187" t="s">
        <v>640</v>
      </c>
      <c r="J242" s="31"/>
      <c r="K242" s="34" t="s">
        <v>625</v>
      </c>
      <c r="L242" s="28">
        <f>IFERROR(__xludf.DUMMYFUNCTION("""COMPUTED_VALUE"""),420.0)</f>
        <v>420</v>
      </c>
      <c r="M242" s="28"/>
      <c r="N242" s="37"/>
      <c r="O242" s="179"/>
      <c r="P242" s="179"/>
      <c r="Q242" s="179"/>
      <c r="R242" s="180"/>
      <c r="S242" s="34" t="s">
        <v>67</v>
      </c>
      <c r="T242" s="28" t="s">
        <v>68</v>
      </c>
      <c r="U242" s="28" t="s">
        <v>69</v>
      </c>
      <c r="V242" s="45" t="s">
        <v>76</v>
      </c>
      <c r="W242" s="191"/>
      <c r="X242" s="47"/>
      <c r="Y242" s="47"/>
    </row>
    <row r="243">
      <c r="A243" s="28">
        <f t="shared" si="11"/>
        <v>241</v>
      </c>
      <c r="B243" s="21"/>
      <c r="C243" s="21"/>
      <c r="D243" s="21"/>
      <c r="E243" s="187" t="s">
        <v>641</v>
      </c>
      <c r="F243" s="21"/>
      <c r="G243" s="21"/>
      <c r="H243" s="21"/>
      <c r="I243" s="187" t="s">
        <v>642</v>
      </c>
      <c r="J243" s="31" t="s">
        <v>645</v>
      </c>
      <c r="K243" s="34" t="s">
        <v>625</v>
      </c>
      <c r="L243" s="28">
        <f>IFERROR(__xludf.DUMMYFUNCTION("""COMPUTED_VALUE"""),420.0)</f>
        <v>420</v>
      </c>
      <c r="M243" s="28"/>
      <c r="N243" s="37" t="e">
        <v>#VALUE!</v>
      </c>
      <c r="O243" s="179"/>
      <c r="P243" s="179"/>
      <c r="Q243" s="179"/>
      <c r="R243" s="180"/>
      <c r="S243" s="34" t="s">
        <v>67</v>
      </c>
      <c r="T243" s="28" t="s">
        <v>68</v>
      </c>
      <c r="U243" s="28" t="s">
        <v>69</v>
      </c>
      <c r="V243" s="45" t="s">
        <v>76</v>
      </c>
      <c r="W243" s="191"/>
      <c r="X243" s="47"/>
      <c r="Y243" s="47"/>
    </row>
    <row r="244">
      <c r="A244" s="28">
        <f t="shared" si="11"/>
        <v>242</v>
      </c>
      <c r="B244" s="173">
        <v>430.0</v>
      </c>
      <c r="C244" s="91" t="s">
        <v>630</v>
      </c>
      <c r="D244" s="59" t="s">
        <v>620</v>
      </c>
      <c r="E244" s="189" t="s">
        <v>631</v>
      </c>
      <c r="F244" s="173">
        <v>430.0</v>
      </c>
      <c r="G244" s="91" t="s">
        <v>632</v>
      </c>
      <c r="H244" s="59" t="s">
        <v>623</v>
      </c>
      <c r="I244" s="189" t="s">
        <v>633</v>
      </c>
      <c r="J244" s="37" t="str">
        <f>'参照_各種特典'!D62</f>
        <v>Mystic Matrimony◆Collection Bonus</v>
      </c>
      <c r="K244" s="34" t="s">
        <v>625</v>
      </c>
      <c r="L244" s="28">
        <f>IFERROR(__xludf.DUMMYFUNCTION("""COMPUTED_VALUE"""),430.0)</f>
        <v>430</v>
      </c>
      <c r="M244" s="34">
        <v>4.0</v>
      </c>
      <c r="N244" s="37" t="s">
        <v>634</v>
      </c>
      <c r="O244" s="92" t="s">
        <v>67</v>
      </c>
      <c r="P244" s="92" t="s">
        <v>68</v>
      </c>
      <c r="Q244" s="92" t="s">
        <v>69</v>
      </c>
      <c r="R244" s="171">
        <v>46062.0</v>
      </c>
      <c r="S244" s="36"/>
      <c r="T244" s="36"/>
      <c r="U244" s="36"/>
      <c r="V244" s="36"/>
      <c r="W244" s="191"/>
      <c r="X244" s="47"/>
      <c r="Y244" s="47"/>
    </row>
    <row r="245">
      <c r="A245" s="28"/>
      <c r="B245" s="20"/>
      <c r="C245" s="20"/>
      <c r="D245" s="20"/>
      <c r="E245" s="189" t="s">
        <v>621</v>
      </c>
      <c r="F245" s="20"/>
      <c r="G245" s="20"/>
      <c r="H245" s="20"/>
      <c r="I245" s="190" t="s">
        <v>635</v>
      </c>
      <c r="J245" s="37" t="str">
        <f>'参照_各種特典'!F62</f>
        <v>Closet Storage</v>
      </c>
      <c r="K245" s="34" t="s">
        <v>625</v>
      </c>
      <c r="L245" s="28">
        <f>IFERROR(__xludf.DUMMYFUNCTION("""COMPUTED_VALUE"""),430.0)</f>
        <v>430</v>
      </c>
      <c r="M245" s="34">
        <v>11.0</v>
      </c>
      <c r="N245" s="37" t="s">
        <v>646</v>
      </c>
      <c r="O245" s="92" t="s">
        <v>67</v>
      </c>
      <c r="P245" s="92" t="s">
        <v>68</v>
      </c>
      <c r="Q245" s="92" t="s">
        <v>69</v>
      </c>
      <c r="R245" s="171">
        <v>46062.0</v>
      </c>
      <c r="S245" s="36"/>
      <c r="T245" s="36"/>
      <c r="U245" s="36"/>
      <c r="V245" s="36"/>
      <c r="W245" s="191"/>
      <c r="X245" s="47"/>
      <c r="Y245" s="47"/>
    </row>
    <row r="246">
      <c r="A246" s="28"/>
      <c r="B246" s="20"/>
      <c r="C246" s="21"/>
      <c r="D246" s="20"/>
      <c r="E246" s="190" t="s">
        <v>637</v>
      </c>
      <c r="F246" s="20"/>
      <c r="G246" s="21"/>
      <c r="H246" s="20"/>
      <c r="I246" s="190" t="s">
        <v>292</v>
      </c>
      <c r="J246" s="37">
        <f>'参照_各種特典'!H62</f>
        <v>1</v>
      </c>
      <c r="K246" s="34" t="s">
        <v>625</v>
      </c>
      <c r="L246" s="28">
        <f>IFERROR(__xludf.DUMMYFUNCTION("""COMPUTED_VALUE"""),430.0)</f>
        <v>430</v>
      </c>
      <c r="M246" s="34">
        <v>7.0</v>
      </c>
      <c r="N246" s="37" t="s">
        <v>639</v>
      </c>
      <c r="O246" s="92" t="s">
        <v>67</v>
      </c>
      <c r="P246" s="92" t="s">
        <v>68</v>
      </c>
      <c r="Q246" s="92" t="s">
        <v>69</v>
      </c>
      <c r="R246" s="171">
        <v>46062.0</v>
      </c>
      <c r="S246" s="36"/>
      <c r="T246" s="36"/>
      <c r="U246" s="36"/>
      <c r="V246" s="36"/>
      <c r="W246" s="191"/>
      <c r="X246" s="47"/>
      <c r="Y246" s="47"/>
    </row>
    <row r="247">
      <c r="A247" s="28">
        <f>ROW()-2</f>
        <v>245</v>
      </c>
      <c r="B247" s="20"/>
      <c r="C247" s="62" t="s">
        <v>72</v>
      </c>
      <c r="D247" s="21"/>
      <c r="E247" s="190" t="s">
        <v>617</v>
      </c>
      <c r="F247" s="20"/>
      <c r="G247" s="62" t="s">
        <v>74</v>
      </c>
      <c r="H247" s="21"/>
      <c r="I247" s="190" t="s">
        <v>618</v>
      </c>
      <c r="J247" s="37"/>
      <c r="K247" s="34" t="s">
        <v>625</v>
      </c>
      <c r="L247" s="28">
        <f>IFERROR(__xludf.DUMMYFUNCTION("""COMPUTED_VALUE"""),430.0)</f>
        <v>430</v>
      </c>
      <c r="M247" s="28"/>
      <c r="N247" s="37"/>
      <c r="O247" s="92" t="s">
        <v>67</v>
      </c>
      <c r="P247" s="92" t="s">
        <v>68</v>
      </c>
      <c r="Q247" s="92" t="s">
        <v>69</v>
      </c>
      <c r="R247" s="171">
        <v>46062.0</v>
      </c>
      <c r="S247" s="34" t="s">
        <v>67</v>
      </c>
      <c r="T247" s="28" t="s">
        <v>68</v>
      </c>
      <c r="U247" s="28" t="s">
        <v>69</v>
      </c>
      <c r="V247" s="45" t="s">
        <v>76</v>
      </c>
      <c r="W247" s="191"/>
      <c r="X247" s="47"/>
      <c r="Y247" s="47"/>
    </row>
    <row r="248">
      <c r="A248" s="28"/>
      <c r="B248" s="20"/>
      <c r="C248" s="20"/>
      <c r="D248" s="59" t="s">
        <v>626</v>
      </c>
      <c r="E248" s="190" t="s">
        <v>627</v>
      </c>
      <c r="F248" s="20"/>
      <c r="G248" s="20"/>
      <c r="H248" s="59" t="s">
        <v>628</v>
      </c>
      <c r="I248" s="190" t="s">
        <v>640</v>
      </c>
      <c r="J248" s="37"/>
      <c r="K248" s="34" t="s">
        <v>625</v>
      </c>
      <c r="L248" s="28">
        <f>IFERROR(__xludf.DUMMYFUNCTION("""COMPUTED_VALUE"""),430.0)</f>
        <v>430</v>
      </c>
      <c r="M248" s="28"/>
      <c r="N248" s="37"/>
      <c r="O248" s="179"/>
      <c r="P248" s="179"/>
      <c r="Q248" s="179"/>
      <c r="R248" s="180"/>
      <c r="S248" s="34" t="s">
        <v>67</v>
      </c>
      <c r="T248" s="28" t="s">
        <v>68</v>
      </c>
      <c r="U248" s="28" t="s">
        <v>69</v>
      </c>
      <c r="V248" s="45" t="s">
        <v>76</v>
      </c>
      <c r="W248" s="191"/>
      <c r="X248" s="47"/>
      <c r="Y248" s="47"/>
    </row>
    <row r="249">
      <c r="A249" s="28">
        <f t="shared" ref="A249:A262" si="12">ROW()-2</f>
        <v>247</v>
      </c>
      <c r="B249" s="21"/>
      <c r="C249" s="21"/>
      <c r="D249" s="21"/>
      <c r="E249" s="190" t="s">
        <v>641</v>
      </c>
      <c r="F249" s="21"/>
      <c r="G249" s="21"/>
      <c r="H249" s="21"/>
      <c r="I249" s="190" t="s">
        <v>642</v>
      </c>
      <c r="J249" s="37" t="s">
        <v>645</v>
      </c>
      <c r="K249" s="34" t="s">
        <v>625</v>
      </c>
      <c r="L249" s="28">
        <f>IFERROR(__xludf.DUMMYFUNCTION("""COMPUTED_VALUE"""),430.0)</f>
        <v>430</v>
      </c>
      <c r="M249" s="28"/>
      <c r="N249" s="37" t="e">
        <v>#VALUE!</v>
      </c>
      <c r="O249" s="179"/>
      <c r="P249" s="179"/>
      <c r="Q249" s="179"/>
      <c r="R249" s="180"/>
      <c r="S249" s="34" t="s">
        <v>67</v>
      </c>
      <c r="T249" s="28" t="s">
        <v>68</v>
      </c>
      <c r="U249" s="28" t="s">
        <v>69</v>
      </c>
      <c r="V249" s="45" t="s">
        <v>76</v>
      </c>
      <c r="W249" s="191"/>
      <c r="X249" s="47"/>
      <c r="Y249" s="47"/>
    </row>
    <row r="250">
      <c r="A250" s="28">
        <f t="shared" si="12"/>
        <v>248</v>
      </c>
      <c r="B250" s="182">
        <v>440.0</v>
      </c>
      <c r="C250" s="91" t="s">
        <v>630</v>
      </c>
      <c r="D250" s="29" t="s">
        <v>620</v>
      </c>
      <c r="E250" s="183" t="s">
        <v>631</v>
      </c>
      <c r="F250" s="182">
        <v>440.0</v>
      </c>
      <c r="G250" s="91" t="s">
        <v>632</v>
      </c>
      <c r="H250" s="29" t="s">
        <v>623</v>
      </c>
      <c r="I250" s="183" t="s">
        <v>633</v>
      </c>
      <c r="J250" s="31" t="str">
        <f>'参照_各種特典'!D63</f>
        <v>Mystic Matrimony◆Collection Bonus</v>
      </c>
      <c r="K250" s="34" t="s">
        <v>625</v>
      </c>
      <c r="L250" s="28">
        <f>IFERROR(__xludf.DUMMYFUNCTION("""COMPUTED_VALUE"""),440.0)</f>
        <v>440</v>
      </c>
      <c r="M250" s="34">
        <v>4.0</v>
      </c>
      <c r="N250" s="37" t="s">
        <v>634</v>
      </c>
      <c r="O250" s="92" t="s">
        <v>67</v>
      </c>
      <c r="P250" s="92" t="s">
        <v>68</v>
      </c>
      <c r="Q250" s="92" t="s">
        <v>69</v>
      </c>
      <c r="R250" s="171">
        <v>46062.0</v>
      </c>
      <c r="S250" s="36"/>
      <c r="T250" s="36"/>
      <c r="U250" s="36"/>
      <c r="V250" s="36"/>
      <c r="W250" s="191"/>
      <c r="X250" s="47"/>
      <c r="Y250" s="47"/>
    </row>
    <row r="251">
      <c r="A251" s="28">
        <f t="shared" si="12"/>
        <v>249</v>
      </c>
      <c r="B251" s="20"/>
      <c r="C251" s="20"/>
      <c r="D251" s="20"/>
      <c r="E251" s="183" t="s">
        <v>621</v>
      </c>
      <c r="F251" s="20"/>
      <c r="G251" s="20"/>
      <c r="H251" s="20"/>
      <c r="I251" s="187" t="s">
        <v>635</v>
      </c>
      <c r="J251" s="31" t="str">
        <f>'参照_各種特典'!F63</f>
        <v>Vampire Wings</v>
      </c>
      <c r="K251" s="34" t="s">
        <v>625</v>
      </c>
      <c r="L251" s="28">
        <f>IFERROR(__xludf.DUMMYFUNCTION("""COMPUTED_VALUE"""),440.0)</f>
        <v>440</v>
      </c>
      <c r="M251" s="34">
        <v>11.0</v>
      </c>
      <c r="N251" s="37" t="s">
        <v>665</v>
      </c>
      <c r="O251" s="92" t="s">
        <v>67</v>
      </c>
      <c r="P251" s="92" t="s">
        <v>68</v>
      </c>
      <c r="Q251" s="92" t="s">
        <v>69</v>
      </c>
      <c r="R251" s="171">
        <v>46062.0</v>
      </c>
      <c r="S251" s="36"/>
      <c r="T251" s="36"/>
      <c r="U251" s="36"/>
      <c r="V251" s="36"/>
      <c r="W251" s="191"/>
      <c r="X251" s="47"/>
      <c r="Y251" s="47"/>
    </row>
    <row r="252">
      <c r="A252" s="28">
        <f t="shared" si="12"/>
        <v>250</v>
      </c>
      <c r="B252" s="20"/>
      <c r="C252" s="21"/>
      <c r="D252" s="20"/>
      <c r="E252" s="187" t="s">
        <v>637</v>
      </c>
      <c r="F252" s="20"/>
      <c r="G252" s="21"/>
      <c r="H252" s="20"/>
      <c r="I252" s="187" t="s">
        <v>292</v>
      </c>
      <c r="J252" s="31">
        <f>'参照_各種特典'!H63</f>
        <v>1</v>
      </c>
      <c r="K252" s="34" t="s">
        <v>625</v>
      </c>
      <c r="L252" s="28">
        <f>IFERROR(__xludf.DUMMYFUNCTION("""COMPUTED_VALUE"""),440.0)</f>
        <v>440</v>
      </c>
      <c r="M252" s="34">
        <v>7.0</v>
      </c>
      <c r="N252" s="37" t="s">
        <v>639</v>
      </c>
      <c r="O252" s="92" t="s">
        <v>67</v>
      </c>
      <c r="P252" s="92" t="s">
        <v>68</v>
      </c>
      <c r="Q252" s="92" t="s">
        <v>69</v>
      </c>
      <c r="R252" s="171">
        <v>46062.0</v>
      </c>
      <c r="S252" s="36"/>
      <c r="T252" s="36"/>
      <c r="U252" s="36"/>
      <c r="V252" s="36"/>
      <c r="W252" s="191"/>
      <c r="X252" s="47"/>
      <c r="Y252" s="47"/>
    </row>
    <row r="253">
      <c r="A253" s="28">
        <f t="shared" si="12"/>
        <v>251</v>
      </c>
      <c r="B253" s="20"/>
      <c r="C253" s="62" t="s">
        <v>72</v>
      </c>
      <c r="D253" s="21"/>
      <c r="E253" s="187" t="s">
        <v>617</v>
      </c>
      <c r="F253" s="20"/>
      <c r="G253" s="62" t="s">
        <v>74</v>
      </c>
      <c r="H253" s="21"/>
      <c r="I253" s="187" t="s">
        <v>618</v>
      </c>
      <c r="J253" s="31"/>
      <c r="K253" s="34" t="s">
        <v>625</v>
      </c>
      <c r="L253" s="28">
        <f>IFERROR(__xludf.DUMMYFUNCTION("""COMPUTED_VALUE"""),440.0)</f>
        <v>440</v>
      </c>
      <c r="M253" s="28"/>
      <c r="N253" s="37"/>
      <c r="O253" s="92" t="s">
        <v>67</v>
      </c>
      <c r="P253" s="92" t="s">
        <v>68</v>
      </c>
      <c r="Q253" s="92" t="s">
        <v>69</v>
      </c>
      <c r="R253" s="171">
        <v>46062.0</v>
      </c>
      <c r="S253" s="34" t="s">
        <v>67</v>
      </c>
      <c r="T253" s="28" t="s">
        <v>68</v>
      </c>
      <c r="U253" s="28" t="s">
        <v>69</v>
      </c>
      <c r="V253" s="45" t="s">
        <v>76</v>
      </c>
      <c r="W253" s="191"/>
      <c r="X253" s="47"/>
      <c r="Y253" s="47"/>
    </row>
    <row r="254">
      <c r="A254" s="28">
        <f t="shared" si="12"/>
        <v>252</v>
      </c>
      <c r="B254" s="20"/>
      <c r="C254" s="20"/>
      <c r="D254" s="29" t="s">
        <v>626</v>
      </c>
      <c r="E254" s="187" t="s">
        <v>627</v>
      </c>
      <c r="F254" s="20"/>
      <c r="G254" s="20"/>
      <c r="H254" s="29" t="s">
        <v>628</v>
      </c>
      <c r="I254" s="187" t="s">
        <v>640</v>
      </c>
      <c r="J254" s="31"/>
      <c r="K254" s="34" t="s">
        <v>625</v>
      </c>
      <c r="L254" s="28">
        <f>IFERROR(__xludf.DUMMYFUNCTION("""COMPUTED_VALUE"""),440.0)</f>
        <v>440</v>
      </c>
      <c r="M254" s="28"/>
      <c r="N254" s="37"/>
      <c r="O254" s="179"/>
      <c r="P254" s="179"/>
      <c r="Q254" s="179"/>
      <c r="R254" s="180"/>
      <c r="S254" s="34" t="s">
        <v>67</v>
      </c>
      <c r="T254" s="28" t="s">
        <v>68</v>
      </c>
      <c r="U254" s="28" t="s">
        <v>69</v>
      </c>
      <c r="V254" s="45" t="s">
        <v>76</v>
      </c>
      <c r="W254" s="191"/>
      <c r="X254" s="47"/>
      <c r="Y254" s="47"/>
    </row>
    <row r="255">
      <c r="A255" s="28">
        <f t="shared" si="12"/>
        <v>253</v>
      </c>
      <c r="B255" s="21"/>
      <c r="C255" s="21"/>
      <c r="D255" s="21"/>
      <c r="E255" s="187" t="s">
        <v>641</v>
      </c>
      <c r="F255" s="21"/>
      <c r="G255" s="21"/>
      <c r="H255" s="21"/>
      <c r="I255" s="187" t="s">
        <v>642</v>
      </c>
      <c r="J255" s="31" t="s">
        <v>645</v>
      </c>
      <c r="K255" s="34" t="s">
        <v>625</v>
      </c>
      <c r="L255" s="28">
        <f>IFERROR(__xludf.DUMMYFUNCTION("""COMPUTED_VALUE"""),440.0)</f>
        <v>440</v>
      </c>
      <c r="M255" s="28"/>
      <c r="N255" s="37" t="e">
        <v>#VALUE!</v>
      </c>
      <c r="O255" s="179"/>
      <c r="P255" s="179"/>
      <c r="Q255" s="179"/>
      <c r="R255" s="180"/>
      <c r="S255" s="34" t="s">
        <v>67</v>
      </c>
      <c r="T255" s="28" t="s">
        <v>68</v>
      </c>
      <c r="U255" s="28" t="s">
        <v>69</v>
      </c>
      <c r="V255" s="45" t="s">
        <v>76</v>
      </c>
      <c r="W255" s="191"/>
      <c r="X255" s="47"/>
      <c r="Y255" s="47"/>
    </row>
    <row r="256">
      <c r="A256" s="28">
        <f t="shared" si="12"/>
        <v>254</v>
      </c>
      <c r="B256" s="173">
        <v>450.0</v>
      </c>
      <c r="C256" s="91" t="s">
        <v>630</v>
      </c>
      <c r="D256" s="59" t="s">
        <v>620</v>
      </c>
      <c r="E256" s="189" t="s">
        <v>631</v>
      </c>
      <c r="F256" s="173">
        <v>450.0</v>
      </c>
      <c r="G256" s="91" t="s">
        <v>632</v>
      </c>
      <c r="H256" s="59" t="s">
        <v>623</v>
      </c>
      <c r="I256" s="189" t="s">
        <v>633</v>
      </c>
      <c r="J256" s="37" t="str">
        <f>'参照_各種特典'!D64</f>
        <v>Mystic Matrimony◆Collection Bonus</v>
      </c>
      <c r="K256" s="34" t="s">
        <v>625</v>
      </c>
      <c r="L256" s="28">
        <f>IFERROR(__xludf.DUMMYFUNCTION("""COMPUTED_VALUE"""),450.0)</f>
        <v>450</v>
      </c>
      <c r="M256" s="34">
        <v>4.0</v>
      </c>
      <c r="N256" s="37" t="s">
        <v>634</v>
      </c>
      <c r="O256" s="92" t="s">
        <v>67</v>
      </c>
      <c r="P256" s="92" t="s">
        <v>68</v>
      </c>
      <c r="Q256" s="92" t="s">
        <v>69</v>
      </c>
      <c r="R256" s="171">
        <v>46062.0</v>
      </c>
      <c r="S256" s="36"/>
      <c r="T256" s="36"/>
      <c r="U256" s="36"/>
      <c r="V256" s="36"/>
      <c r="W256" s="191"/>
      <c r="X256" s="47"/>
      <c r="Y256" s="47"/>
    </row>
    <row r="257">
      <c r="A257" s="28">
        <f t="shared" si="12"/>
        <v>255</v>
      </c>
      <c r="B257" s="20"/>
      <c r="C257" s="20"/>
      <c r="D257" s="20"/>
      <c r="E257" s="189" t="s">
        <v>621</v>
      </c>
      <c r="F257" s="20"/>
      <c r="G257" s="20"/>
      <c r="H257" s="20"/>
      <c r="I257" s="190" t="s">
        <v>635</v>
      </c>
      <c r="J257" s="37" t="str">
        <f>'参照_各種特典'!F64</f>
        <v>(Main) Elixir of Love (+1:+1)</v>
      </c>
      <c r="K257" s="34" t="s">
        <v>625</v>
      </c>
      <c r="L257" s="28">
        <f>IFERROR(__xludf.DUMMYFUNCTION("""COMPUTED_VALUE"""),450.0)</f>
        <v>450</v>
      </c>
      <c r="M257" s="34">
        <v>11.0</v>
      </c>
      <c r="N257" s="37" t="s">
        <v>666</v>
      </c>
      <c r="O257" s="92" t="s">
        <v>67</v>
      </c>
      <c r="P257" s="92" t="s">
        <v>68</v>
      </c>
      <c r="Q257" s="92" t="s">
        <v>69</v>
      </c>
      <c r="R257" s="171">
        <v>46062.0</v>
      </c>
      <c r="S257" s="36"/>
      <c r="T257" s="36"/>
      <c r="U257" s="36"/>
      <c r="V257" s="36"/>
      <c r="W257" s="191"/>
      <c r="X257" s="47"/>
      <c r="Y257" s="47"/>
    </row>
    <row r="258">
      <c r="A258" s="28">
        <f t="shared" si="12"/>
        <v>256</v>
      </c>
      <c r="B258" s="20"/>
      <c r="C258" s="21"/>
      <c r="D258" s="20"/>
      <c r="E258" s="190" t="s">
        <v>637</v>
      </c>
      <c r="F258" s="20"/>
      <c r="G258" s="21"/>
      <c r="H258" s="20"/>
      <c r="I258" s="190" t="s">
        <v>292</v>
      </c>
      <c r="J258" s="37">
        <f>'参照_各種特典'!H64</f>
        <v>1</v>
      </c>
      <c r="K258" s="34" t="s">
        <v>625</v>
      </c>
      <c r="L258" s="28">
        <f>IFERROR(__xludf.DUMMYFUNCTION("""COMPUTED_VALUE"""),450.0)</f>
        <v>450</v>
      </c>
      <c r="M258" s="34">
        <v>7.0</v>
      </c>
      <c r="N258" s="37" t="s">
        <v>639</v>
      </c>
      <c r="O258" s="92" t="s">
        <v>67</v>
      </c>
      <c r="P258" s="92" t="s">
        <v>68</v>
      </c>
      <c r="Q258" s="92" t="s">
        <v>69</v>
      </c>
      <c r="R258" s="171">
        <v>46062.0</v>
      </c>
      <c r="S258" s="36"/>
      <c r="T258" s="36"/>
      <c r="U258" s="36"/>
      <c r="V258" s="36"/>
      <c r="W258" s="191"/>
      <c r="X258" s="47"/>
      <c r="Y258" s="47"/>
    </row>
    <row r="259">
      <c r="A259" s="28">
        <f t="shared" si="12"/>
        <v>257</v>
      </c>
      <c r="B259" s="20"/>
      <c r="C259" s="62" t="s">
        <v>72</v>
      </c>
      <c r="D259" s="21"/>
      <c r="E259" s="190" t="s">
        <v>617</v>
      </c>
      <c r="F259" s="20"/>
      <c r="G259" s="62" t="s">
        <v>74</v>
      </c>
      <c r="H259" s="21"/>
      <c r="I259" s="190" t="s">
        <v>618</v>
      </c>
      <c r="J259" s="37"/>
      <c r="K259" s="34" t="s">
        <v>625</v>
      </c>
      <c r="L259" s="28">
        <f>IFERROR(__xludf.DUMMYFUNCTION("""COMPUTED_VALUE"""),450.0)</f>
        <v>450</v>
      </c>
      <c r="M259" s="28"/>
      <c r="N259" s="37"/>
      <c r="O259" s="92" t="s">
        <v>67</v>
      </c>
      <c r="P259" s="92" t="s">
        <v>68</v>
      </c>
      <c r="Q259" s="92" t="s">
        <v>69</v>
      </c>
      <c r="R259" s="171">
        <v>46062.0</v>
      </c>
      <c r="S259" s="34" t="s">
        <v>67</v>
      </c>
      <c r="T259" s="28" t="s">
        <v>68</v>
      </c>
      <c r="U259" s="28" t="s">
        <v>69</v>
      </c>
      <c r="V259" s="45" t="s">
        <v>76</v>
      </c>
      <c r="W259" s="191"/>
      <c r="X259" s="47"/>
      <c r="Y259" s="47"/>
    </row>
    <row r="260">
      <c r="A260" s="28">
        <f t="shared" si="12"/>
        <v>258</v>
      </c>
      <c r="B260" s="20"/>
      <c r="C260" s="20"/>
      <c r="D260" s="59" t="s">
        <v>626</v>
      </c>
      <c r="E260" s="190" t="s">
        <v>627</v>
      </c>
      <c r="F260" s="20"/>
      <c r="G260" s="20"/>
      <c r="H260" s="59" t="s">
        <v>628</v>
      </c>
      <c r="I260" s="190" t="s">
        <v>640</v>
      </c>
      <c r="J260" s="37"/>
      <c r="K260" s="34" t="s">
        <v>625</v>
      </c>
      <c r="L260" s="28">
        <f>IFERROR(__xludf.DUMMYFUNCTION("""COMPUTED_VALUE"""),450.0)</f>
        <v>450</v>
      </c>
      <c r="M260" s="28"/>
      <c r="N260" s="37"/>
      <c r="O260" s="179"/>
      <c r="P260" s="179"/>
      <c r="Q260" s="179"/>
      <c r="R260" s="180"/>
      <c r="S260" s="34" t="s">
        <v>67</v>
      </c>
      <c r="T260" s="28" t="s">
        <v>68</v>
      </c>
      <c r="U260" s="28" t="s">
        <v>69</v>
      </c>
      <c r="V260" s="45" t="s">
        <v>76</v>
      </c>
      <c r="W260" s="191"/>
      <c r="X260" s="47"/>
      <c r="Y260" s="47"/>
    </row>
    <row r="261">
      <c r="A261" s="28">
        <f t="shared" si="12"/>
        <v>259</v>
      </c>
      <c r="B261" s="21"/>
      <c r="C261" s="21"/>
      <c r="D261" s="21"/>
      <c r="E261" s="190" t="s">
        <v>641</v>
      </c>
      <c r="F261" s="21"/>
      <c r="G261" s="21"/>
      <c r="H261" s="21"/>
      <c r="I261" s="190" t="s">
        <v>642</v>
      </c>
      <c r="J261" s="37" t="s">
        <v>645</v>
      </c>
      <c r="K261" s="34" t="s">
        <v>625</v>
      </c>
      <c r="L261" s="28">
        <f>IFERROR(__xludf.DUMMYFUNCTION("""COMPUTED_VALUE"""),450.0)</f>
        <v>450</v>
      </c>
      <c r="M261" s="28"/>
      <c r="N261" s="37" t="e">
        <v>#VALUE!</v>
      </c>
      <c r="O261" s="179"/>
      <c r="P261" s="179"/>
      <c r="Q261" s="179"/>
      <c r="R261" s="180"/>
      <c r="S261" s="34" t="s">
        <v>67</v>
      </c>
      <c r="T261" s="28" t="s">
        <v>68</v>
      </c>
      <c r="U261" s="28" t="s">
        <v>69</v>
      </c>
      <c r="V261" s="45" t="s">
        <v>76</v>
      </c>
      <c r="W261" s="191"/>
      <c r="X261" s="47"/>
      <c r="Y261" s="47"/>
    </row>
    <row r="262">
      <c r="A262" s="28">
        <f t="shared" si="12"/>
        <v>260</v>
      </c>
      <c r="B262" s="182">
        <v>460.0</v>
      </c>
      <c r="C262" s="91" t="s">
        <v>630</v>
      </c>
      <c r="D262" s="29" t="s">
        <v>620</v>
      </c>
      <c r="E262" s="183" t="s">
        <v>631</v>
      </c>
      <c r="F262" s="182">
        <v>460.0</v>
      </c>
      <c r="G262" s="91" t="s">
        <v>632</v>
      </c>
      <c r="H262" s="29" t="s">
        <v>623</v>
      </c>
      <c r="I262" s="183" t="s">
        <v>633</v>
      </c>
      <c r="J262" s="31" t="str">
        <f>'参照_各種特典'!D65</f>
        <v>Mystic Matrimony◆Collection Bonus</v>
      </c>
      <c r="K262" s="34" t="s">
        <v>625</v>
      </c>
      <c r="L262" s="28">
        <f>IFERROR(__xludf.DUMMYFUNCTION("""COMPUTED_VALUE"""),460.0)</f>
        <v>460</v>
      </c>
      <c r="M262" s="34">
        <v>4.0</v>
      </c>
      <c r="N262" s="37" t="s">
        <v>634</v>
      </c>
      <c r="O262" s="92" t="s">
        <v>67</v>
      </c>
      <c r="P262" s="92" t="s">
        <v>68</v>
      </c>
      <c r="Q262" s="92" t="s">
        <v>69</v>
      </c>
      <c r="R262" s="171">
        <v>46062.0</v>
      </c>
      <c r="S262" s="36"/>
      <c r="T262" s="36"/>
      <c r="U262" s="36"/>
      <c r="V262" s="36"/>
      <c r="W262" s="191"/>
      <c r="X262" s="47"/>
      <c r="Y262" s="47"/>
    </row>
    <row r="263">
      <c r="A263" s="28"/>
      <c r="B263" s="20"/>
      <c r="C263" s="20"/>
      <c r="D263" s="20"/>
      <c r="E263" s="183" t="s">
        <v>621</v>
      </c>
      <c r="F263" s="20"/>
      <c r="G263" s="20"/>
      <c r="H263" s="20"/>
      <c r="I263" s="187" t="s">
        <v>635</v>
      </c>
      <c r="J263" s="31" t="str">
        <f>'参照_各種特典'!F65</f>
        <v>Closet Storage</v>
      </c>
      <c r="K263" s="34" t="s">
        <v>625</v>
      </c>
      <c r="L263" s="28">
        <f>IFERROR(__xludf.DUMMYFUNCTION("""COMPUTED_VALUE"""),460.0)</f>
        <v>460</v>
      </c>
      <c r="M263" s="34">
        <v>11.0</v>
      </c>
      <c r="N263" s="37" t="s">
        <v>646</v>
      </c>
      <c r="O263" s="92" t="s">
        <v>67</v>
      </c>
      <c r="P263" s="92" t="s">
        <v>68</v>
      </c>
      <c r="Q263" s="92" t="s">
        <v>69</v>
      </c>
      <c r="R263" s="171">
        <v>46062.0</v>
      </c>
      <c r="S263" s="36"/>
      <c r="T263" s="36"/>
      <c r="U263" s="36"/>
      <c r="V263" s="36"/>
      <c r="W263" s="191"/>
      <c r="X263" s="47"/>
      <c r="Y263" s="47"/>
    </row>
    <row r="264">
      <c r="A264" s="28"/>
      <c r="B264" s="20"/>
      <c r="C264" s="21"/>
      <c r="D264" s="20"/>
      <c r="E264" s="187" t="s">
        <v>637</v>
      </c>
      <c r="F264" s="20"/>
      <c r="G264" s="21"/>
      <c r="H264" s="20"/>
      <c r="I264" s="187" t="s">
        <v>292</v>
      </c>
      <c r="J264" s="31">
        <f>'参照_各種特典'!H65</f>
        <v>1</v>
      </c>
      <c r="K264" s="34" t="s">
        <v>625</v>
      </c>
      <c r="L264" s="28">
        <f>IFERROR(__xludf.DUMMYFUNCTION("""COMPUTED_VALUE"""),460.0)</f>
        <v>460</v>
      </c>
      <c r="M264" s="34">
        <v>7.0</v>
      </c>
      <c r="N264" s="37" t="s">
        <v>639</v>
      </c>
      <c r="O264" s="92" t="s">
        <v>67</v>
      </c>
      <c r="P264" s="92" t="s">
        <v>68</v>
      </c>
      <c r="Q264" s="92" t="s">
        <v>69</v>
      </c>
      <c r="R264" s="171">
        <v>46062.0</v>
      </c>
      <c r="S264" s="36"/>
      <c r="T264" s="36"/>
      <c r="U264" s="36"/>
      <c r="V264" s="36"/>
      <c r="W264" s="191"/>
      <c r="X264" s="47"/>
      <c r="Y264" s="47"/>
    </row>
    <row r="265">
      <c r="A265" s="28">
        <f>ROW()-2</f>
        <v>263</v>
      </c>
      <c r="B265" s="20"/>
      <c r="C265" s="62" t="s">
        <v>72</v>
      </c>
      <c r="D265" s="21"/>
      <c r="E265" s="187" t="s">
        <v>617</v>
      </c>
      <c r="F265" s="20"/>
      <c r="G265" s="62" t="s">
        <v>74</v>
      </c>
      <c r="H265" s="21"/>
      <c r="I265" s="187" t="s">
        <v>618</v>
      </c>
      <c r="J265" s="31"/>
      <c r="K265" s="34" t="s">
        <v>625</v>
      </c>
      <c r="L265" s="28">
        <f>IFERROR(__xludf.DUMMYFUNCTION("""COMPUTED_VALUE"""),460.0)</f>
        <v>460</v>
      </c>
      <c r="M265" s="28"/>
      <c r="N265" s="37"/>
      <c r="O265" s="92" t="s">
        <v>67</v>
      </c>
      <c r="P265" s="92" t="s">
        <v>68</v>
      </c>
      <c r="Q265" s="92" t="s">
        <v>69</v>
      </c>
      <c r="R265" s="171">
        <v>46062.0</v>
      </c>
      <c r="S265" s="34" t="s">
        <v>67</v>
      </c>
      <c r="T265" s="28" t="s">
        <v>68</v>
      </c>
      <c r="U265" s="28" t="s">
        <v>69</v>
      </c>
      <c r="V265" s="45" t="s">
        <v>76</v>
      </c>
      <c r="W265" s="191"/>
      <c r="X265" s="47"/>
      <c r="Y265" s="47"/>
    </row>
    <row r="266">
      <c r="A266" s="28"/>
      <c r="B266" s="20"/>
      <c r="C266" s="20"/>
      <c r="D266" s="29" t="s">
        <v>626</v>
      </c>
      <c r="E266" s="187" t="s">
        <v>627</v>
      </c>
      <c r="F266" s="20"/>
      <c r="G266" s="20"/>
      <c r="H266" s="29" t="s">
        <v>628</v>
      </c>
      <c r="I266" s="187" t="s">
        <v>640</v>
      </c>
      <c r="J266" s="31"/>
      <c r="K266" s="34" t="s">
        <v>625</v>
      </c>
      <c r="L266" s="28">
        <f>IFERROR(__xludf.DUMMYFUNCTION("""COMPUTED_VALUE"""),460.0)</f>
        <v>460</v>
      </c>
      <c r="M266" s="28"/>
      <c r="N266" s="37"/>
      <c r="O266" s="179"/>
      <c r="P266" s="179"/>
      <c r="Q266" s="179"/>
      <c r="R266" s="180"/>
      <c r="S266" s="34" t="s">
        <v>67</v>
      </c>
      <c r="T266" s="28" t="s">
        <v>68</v>
      </c>
      <c r="U266" s="28" t="s">
        <v>69</v>
      </c>
      <c r="V266" s="45" t="s">
        <v>76</v>
      </c>
      <c r="W266" s="191"/>
      <c r="X266" s="47"/>
      <c r="Y266" s="47"/>
    </row>
    <row r="267">
      <c r="A267" s="28">
        <f>ROW()-2</f>
        <v>265</v>
      </c>
      <c r="B267" s="21"/>
      <c r="C267" s="21"/>
      <c r="D267" s="21"/>
      <c r="E267" s="187" t="s">
        <v>641</v>
      </c>
      <c r="F267" s="21"/>
      <c r="G267" s="21"/>
      <c r="H267" s="21"/>
      <c r="I267" s="187" t="s">
        <v>642</v>
      </c>
      <c r="J267" s="31" t="s">
        <v>645</v>
      </c>
      <c r="K267" s="34" t="s">
        <v>625</v>
      </c>
      <c r="L267" s="28">
        <f>IFERROR(__xludf.DUMMYFUNCTION("""COMPUTED_VALUE"""),460.0)</f>
        <v>460</v>
      </c>
      <c r="M267" s="28"/>
      <c r="N267" s="37" t="e">
        <v>#VALUE!</v>
      </c>
      <c r="O267" s="179"/>
      <c r="P267" s="179"/>
      <c r="Q267" s="179"/>
      <c r="R267" s="180"/>
      <c r="S267" s="34" t="s">
        <v>67</v>
      </c>
      <c r="T267" s="28" t="s">
        <v>68</v>
      </c>
      <c r="U267" s="28" t="s">
        <v>69</v>
      </c>
      <c r="V267" s="45" t="s">
        <v>76</v>
      </c>
      <c r="W267" s="191"/>
      <c r="X267" s="47"/>
      <c r="Y267" s="47"/>
    </row>
    <row r="268">
      <c r="A268" s="28"/>
      <c r="B268" s="173">
        <v>470.0</v>
      </c>
      <c r="C268" s="91" t="s">
        <v>630</v>
      </c>
      <c r="D268" s="59" t="s">
        <v>620</v>
      </c>
      <c r="E268" s="189" t="s">
        <v>631</v>
      </c>
      <c r="F268" s="173">
        <v>470.0</v>
      </c>
      <c r="G268" s="91" t="s">
        <v>632</v>
      </c>
      <c r="H268" s="59" t="s">
        <v>623</v>
      </c>
      <c r="I268" s="189" t="s">
        <v>633</v>
      </c>
      <c r="J268" s="37" t="str">
        <f>'参照_各種特典'!D66</f>
        <v>Mystic Matrimony◆Collection Bonus</v>
      </c>
      <c r="K268" s="34" t="s">
        <v>625</v>
      </c>
      <c r="L268" s="28">
        <f>IFERROR(__xludf.DUMMYFUNCTION("""COMPUTED_VALUE"""),470.0)</f>
        <v>470</v>
      </c>
      <c r="M268" s="34">
        <v>4.0</v>
      </c>
      <c r="N268" s="37" t="s">
        <v>634</v>
      </c>
      <c r="O268" s="92" t="s">
        <v>67</v>
      </c>
      <c r="P268" s="92" t="s">
        <v>68</v>
      </c>
      <c r="Q268" s="92" t="s">
        <v>69</v>
      </c>
      <c r="R268" s="171">
        <v>46062.0</v>
      </c>
      <c r="S268" s="36"/>
      <c r="T268" s="36"/>
      <c r="U268" s="36"/>
      <c r="V268" s="36"/>
      <c r="W268" s="191"/>
      <c r="X268" s="47"/>
      <c r="Y268" s="47"/>
    </row>
    <row r="269">
      <c r="A269" s="28">
        <f>ROW()-2</f>
        <v>267</v>
      </c>
      <c r="B269" s="20"/>
      <c r="C269" s="20"/>
      <c r="D269" s="20"/>
      <c r="E269" s="189" t="s">
        <v>621</v>
      </c>
      <c r="F269" s="20"/>
      <c r="G269" s="20"/>
      <c r="H269" s="20"/>
      <c r="I269" s="190" t="s">
        <v>635</v>
      </c>
      <c r="J269" s="37" t="str">
        <f>'参照_各種特典'!F66</f>
        <v>Dragon Horns</v>
      </c>
      <c r="K269" s="34" t="s">
        <v>625</v>
      </c>
      <c r="L269" s="28">
        <f>IFERROR(__xludf.DUMMYFUNCTION("""COMPUTED_VALUE"""),470.0)</f>
        <v>470</v>
      </c>
      <c r="M269" s="34">
        <v>11.0</v>
      </c>
      <c r="N269" s="37" t="s">
        <v>667</v>
      </c>
      <c r="O269" s="92" t="s">
        <v>67</v>
      </c>
      <c r="P269" s="92" t="s">
        <v>68</v>
      </c>
      <c r="Q269" s="92" t="s">
        <v>69</v>
      </c>
      <c r="R269" s="171">
        <v>46062.0</v>
      </c>
      <c r="S269" s="36"/>
      <c r="T269" s="36"/>
      <c r="U269" s="36"/>
      <c r="V269" s="36"/>
      <c r="W269" s="191"/>
      <c r="X269" s="47"/>
      <c r="Y269" s="47"/>
    </row>
    <row r="270">
      <c r="A270" s="28"/>
      <c r="B270" s="20"/>
      <c r="C270" s="21"/>
      <c r="D270" s="20"/>
      <c r="E270" s="190" t="s">
        <v>637</v>
      </c>
      <c r="F270" s="20"/>
      <c r="G270" s="21"/>
      <c r="H270" s="20"/>
      <c r="I270" s="190" t="s">
        <v>292</v>
      </c>
      <c r="J270" s="37">
        <f>'参照_各種特典'!H66</f>
        <v>1</v>
      </c>
      <c r="K270" s="34" t="s">
        <v>625</v>
      </c>
      <c r="L270" s="28">
        <f>IFERROR(__xludf.DUMMYFUNCTION("""COMPUTED_VALUE"""),470.0)</f>
        <v>470</v>
      </c>
      <c r="M270" s="34">
        <v>7.0</v>
      </c>
      <c r="N270" s="37" t="s">
        <v>639</v>
      </c>
      <c r="O270" s="92" t="s">
        <v>67</v>
      </c>
      <c r="P270" s="92" t="s">
        <v>68</v>
      </c>
      <c r="Q270" s="92" t="s">
        <v>69</v>
      </c>
      <c r="R270" s="171">
        <v>46062.0</v>
      </c>
      <c r="S270" s="36"/>
      <c r="T270" s="36"/>
      <c r="U270" s="36"/>
      <c r="V270" s="36"/>
      <c r="W270" s="191"/>
      <c r="X270" s="47"/>
      <c r="Y270" s="47"/>
    </row>
    <row r="271">
      <c r="A271" s="28">
        <f t="shared" ref="A271:A272" si="13">ROW()-2</f>
        <v>269</v>
      </c>
      <c r="B271" s="20"/>
      <c r="C271" s="62" t="s">
        <v>72</v>
      </c>
      <c r="D271" s="21"/>
      <c r="E271" s="190" t="s">
        <v>617</v>
      </c>
      <c r="F271" s="20"/>
      <c r="G271" s="62" t="s">
        <v>74</v>
      </c>
      <c r="H271" s="21"/>
      <c r="I271" s="190" t="s">
        <v>618</v>
      </c>
      <c r="J271" s="37"/>
      <c r="K271" s="34" t="s">
        <v>625</v>
      </c>
      <c r="L271" s="28">
        <f>IFERROR(__xludf.DUMMYFUNCTION("""COMPUTED_VALUE"""),470.0)</f>
        <v>470</v>
      </c>
      <c r="M271" s="28"/>
      <c r="N271" s="37"/>
      <c r="O271" s="92" t="s">
        <v>67</v>
      </c>
      <c r="P271" s="92" t="s">
        <v>68</v>
      </c>
      <c r="Q271" s="92" t="s">
        <v>69</v>
      </c>
      <c r="R271" s="171">
        <v>46062.0</v>
      </c>
      <c r="S271" s="34" t="s">
        <v>67</v>
      </c>
      <c r="T271" s="28" t="s">
        <v>68</v>
      </c>
      <c r="U271" s="28" t="s">
        <v>69</v>
      </c>
      <c r="V271" s="45" t="s">
        <v>76</v>
      </c>
      <c r="W271" s="191"/>
      <c r="X271" s="47"/>
      <c r="Y271" s="47"/>
    </row>
    <row r="272">
      <c r="A272" s="28">
        <f t="shared" si="13"/>
        <v>270</v>
      </c>
      <c r="B272" s="20"/>
      <c r="C272" s="20"/>
      <c r="D272" s="59" t="s">
        <v>626</v>
      </c>
      <c r="E272" s="190" t="s">
        <v>627</v>
      </c>
      <c r="F272" s="20"/>
      <c r="G272" s="20"/>
      <c r="H272" s="59" t="s">
        <v>628</v>
      </c>
      <c r="I272" s="190" t="s">
        <v>640</v>
      </c>
      <c r="J272" s="37"/>
      <c r="K272" s="34" t="s">
        <v>625</v>
      </c>
      <c r="L272" s="28">
        <f>IFERROR(__xludf.DUMMYFUNCTION("""COMPUTED_VALUE"""),470.0)</f>
        <v>470</v>
      </c>
      <c r="M272" s="28"/>
      <c r="N272" s="37"/>
      <c r="O272" s="179"/>
      <c r="P272" s="179"/>
      <c r="Q272" s="179"/>
      <c r="R272" s="180"/>
      <c r="S272" s="34" t="s">
        <v>67</v>
      </c>
      <c r="T272" s="28" t="s">
        <v>68</v>
      </c>
      <c r="U272" s="28" t="s">
        <v>69</v>
      </c>
      <c r="V272" s="45" t="s">
        <v>76</v>
      </c>
      <c r="W272" s="191"/>
      <c r="X272" s="47"/>
      <c r="Y272" s="47"/>
    </row>
    <row r="273">
      <c r="A273" s="28"/>
      <c r="B273" s="21"/>
      <c r="C273" s="21"/>
      <c r="D273" s="21"/>
      <c r="E273" s="190" t="s">
        <v>641</v>
      </c>
      <c r="F273" s="21"/>
      <c r="G273" s="21"/>
      <c r="H273" s="21"/>
      <c r="I273" s="190" t="s">
        <v>642</v>
      </c>
      <c r="J273" s="37" t="s">
        <v>645</v>
      </c>
      <c r="K273" s="34" t="s">
        <v>625</v>
      </c>
      <c r="L273" s="28">
        <f>IFERROR(__xludf.DUMMYFUNCTION("""COMPUTED_VALUE"""),470.0)</f>
        <v>470</v>
      </c>
      <c r="M273" s="28"/>
      <c r="N273" s="37" t="e">
        <v>#VALUE!</v>
      </c>
      <c r="O273" s="179"/>
      <c r="P273" s="179"/>
      <c r="Q273" s="179"/>
      <c r="R273" s="180"/>
      <c r="S273" s="34" t="s">
        <v>67</v>
      </c>
      <c r="T273" s="28" t="s">
        <v>68</v>
      </c>
      <c r="U273" s="28" t="s">
        <v>69</v>
      </c>
      <c r="V273" s="45" t="s">
        <v>76</v>
      </c>
      <c r="W273" s="191"/>
      <c r="X273" s="47"/>
      <c r="Y273" s="47"/>
    </row>
    <row r="274">
      <c r="A274" s="28">
        <f t="shared" ref="A274:A280" si="14">ROW()-2</f>
        <v>272</v>
      </c>
      <c r="B274" s="182">
        <v>480.0</v>
      </c>
      <c r="C274" s="91" t="s">
        <v>630</v>
      </c>
      <c r="D274" s="29" t="s">
        <v>620</v>
      </c>
      <c r="E274" s="183" t="s">
        <v>631</v>
      </c>
      <c r="F274" s="182">
        <v>480.0</v>
      </c>
      <c r="G274" s="91" t="s">
        <v>632</v>
      </c>
      <c r="H274" s="29" t="s">
        <v>623</v>
      </c>
      <c r="I274" s="183" t="s">
        <v>633</v>
      </c>
      <c r="J274" s="31" t="str">
        <f>'参照_各種特典'!D67</f>
        <v>Mystic Matrimony◆Collection Bonus</v>
      </c>
      <c r="K274" s="34" t="s">
        <v>625</v>
      </c>
      <c r="L274" s="28">
        <f>IFERROR(__xludf.DUMMYFUNCTION("""COMPUTED_VALUE"""),480.0)</f>
        <v>480</v>
      </c>
      <c r="M274" s="34">
        <v>4.0</v>
      </c>
      <c r="N274" s="37" t="s">
        <v>634</v>
      </c>
      <c r="O274" s="92" t="s">
        <v>67</v>
      </c>
      <c r="P274" s="92" t="s">
        <v>68</v>
      </c>
      <c r="Q274" s="92" t="s">
        <v>69</v>
      </c>
      <c r="R274" s="171">
        <v>46062.0</v>
      </c>
      <c r="S274" s="36"/>
      <c r="T274" s="36"/>
      <c r="U274" s="36"/>
      <c r="V274" s="36"/>
      <c r="W274" s="191"/>
      <c r="X274" s="47"/>
      <c r="Y274" s="47"/>
    </row>
    <row r="275">
      <c r="A275" s="28">
        <f t="shared" si="14"/>
        <v>273</v>
      </c>
      <c r="B275" s="20"/>
      <c r="C275" s="20"/>
      <c r="D275" s="20"/>
      <c r="E275" s="183" t="s">
        <v>621</v>
      </c>
      <c r="F275" s="20"/>
      <c r="G275" s="20"/>
      <c r="H275" s="20"/>
      <c r="I275" s="187" t="s">
        <v>635</v>
      </c>
      <c r="J275" s="31" t="str">
        <f>'参照_各種特典'!F67</f>
        <v>Closet Storage</v>
      </c>
      <c r="K275" s="34" t="s">
        <v>625</v>
      </c>
      <c r="L275" s="28">
        <f>IFERROR(__xludf.DUMMYFUNCTION("""COMPUTED_VALUE"""),480.0)</f>
        <v>480</v>
      </c>
      <c r="M275" s="34">
        <v>11.0</v>
      </c>
      <c r="N275" s="37" t="s">
        <v>646</v>
      </c>
      <c r="O275" s="92" t="s">
        <v>67</v>
      </c>
      <c r="P275" s="92" t="s">
        <v>68</v>
      </c>
      <c r="Q275" s="92" t="s">
        <v>69</v>
      </c>
      <c r="R275" s="171">
        <v>46062.0</v>
      </c>
      <c r="S275" s="36"/>
      <c r="T275" s="36"/>
      <c r="U275" s="36"/>
      <c r="V275" s="36"/>
      <c r="W275" s="191"/>
      <c r="X275" s="47"/>
      <c r="Y275" s="47"/>
    </row>
    <row r="276">
      <c r="A276" s="28">
        <f t="shared" si="14"/>
        <v>274</v>
      </c>
      <c r="B276" s="20"/>
      <c r="C276" s="21"/>
      <c r="D276" s="20"/>
      <c r="E276" s="187" t="s">
        <v>637</v>
      </c>
      <c r="F276" s="20"/>
      <c r="G276" s="21"/>
      <c r="H276" s="20"/>
      <c r="I276" s="187" t="s">
        <v>292</v>
      </c>
      <c r="J276" s="31">
        <f>'参照_各種特典'!H67</f>
        <v>1</v>
      </c>
      <c r="K276" s="34" t="s">
        <v>625</v>
      </c>
      <c r="L276" s="28">
        <f>IFERROR(__xludf.DUMMYFUNCTION("""COMPUTED_VALUE"""),480.0)</f>
        <v>480</v>
      </c>
      <c r="M276" s="34">
        <v>7.0</v>
      </c>
      <c r="N276" s="37" t="s">
        <v>639</v>
      </c>
      <c r="O276" s="92" t="s">
        <v>67</v>
      </c>
      <c r="P276" s="92" t="s">
        <v>68</v>
      </c>
      <c r="Q276" s="92" t="s">
        <v>69</v>
      </c>
      <c r="R276" s="171">
        <v>46062.0</v>
      </c>
      <c r="S276" s="36"/>
      <c r="T276" s="36"/>
      <c r="U276" s="36"/>
      <c r="V276" s="36"/>
      <c r="W276" s="191"/>
      <c r="X276" s="47"/>
      <c r="Y276" s="47"/>
    </row>
    <row r="277">
      <c r="A277" s="28">
        <f t="shared" si="14"/>
        <v>275</v>
      </c>
      <c r="B277" s="20"/>
      <c r="C277" s="62" t="s">
        <v>72</v>
      </c>
      <c r="D277" s="21"/>
      <c r="E277" s="187" t="s">
        <v>617</v>
      </c>
      <c r="F277" s="20"/>
      <c r="G277" s="62" t="s">
        <v>74</v>
      </c>
      <c r="H277" s="21"/>
      <c r="I277" s="187" t="s">
        <v>618</v>
      </c>
      <c r="J277" s="31"/>
      <c r="K277" s="34" t="s">
        <v>625</v>
      </c>
      <c r="L277" s="28">
        <f>IFERROR(__xludf.DUMMYFUNCTION("""COMPUTED_VALUE"""),480.0)</f>
        <v>480</v>
      </c>
      <c r="M277" s="28"/>
      <c r="N277" s="37"/>
      <c r="O277" s="92" t="s">
        <v>67</v>
      </c>
      <c r="P277" s="92" t="s">
        <v>68</v>
      </c>
      <c r="Q277" s="92" t="s">
        <v>69</v>
      </c>
      <c r="R277" s="171">
        <v>46062.0</v>
      </c>
      <c r="S277" s="34" t="s">
        <v>67</v>
      </c>
      <c r="T277" s="28" t="s">
        <v>68</v>
      </c>
      <c r="U277" s="28" t="s">
        <v>69</v>
      </c>
      <c r="V277" s="45" t="s">
        <v>76</v>
      </c>
      <c r="W277" s="191"/>
      <c r="X277" s="47"/>
      <c r="Y277" s="47"/>
    </row>
    <row r="278">
      <c r="A278" s="28">
        <f t="shared" si="14"/>
        <v>276</v>
      </c>
      <c r="B278" s="20"/>
      <c r="C278" s="20"/>
      <c r="D278" s="29" t="s">
        <v>626</v>
      </c>
      <c r="E278" s="187" t="s">
        <v>627</v>
      </c>
      <c r="F278" s="20"/>
      <c r="G278" s="20"/>
      <c r="H278" s="29" t="s">
        <v>628</v>
      </c>
      <c r="I278" s="187" t="s">
        <v>640</v>
      </c>
      <c r="J278" s="31"/>
      <c r="K278" s="34" t="s">
        <v>625</v>
      </c>
      <c r="L278" s="28">
        <f>IFERROR(__xludf.DUMMYFUNCTION("""COMPUTED_VALUE"""),480.0)</f>
        <v>480</v>
      </c>
      <c r="M278" s="28"/>
      <c r="N278" s="37"/>
      <c r="O278" s="179"/>
      <c r="P278" s="179"/>
      <c r="Q278" s="179"/>
      <c r="R278" s="180"/>
      <c r="S278" s="34" t="s">
        <v>67</v>
      </c>
      <c r="T278" s="28" t="s">
        <v>68</v>
      </c>
      <c r="U278" s="28" t="s">
        <v>69</v>
      </c>
      <c r="V278" s="45" t="s">
        <v>76</v>
      </c>
      <c r="W278" s="191"/>
      <c r="X278" s="47"/>
      <c r="Y278" s="47"/>
    </row>
    <row r="279">
      <c r="A279" s="28">
        <f t="shared" si="14"/>
        <v>277</v>
      </c>
      <c r="B279" s="21"/>
      <c r="C279" s="21"/>
      <c r="D279" s="21"/>
      <c r="E279" s="187" t="s">
        <v>641</v>
      </c>
      <c r="F279" s="21"/>
      <c r="G279" s="21"/>
      <c r="H279" s="21"/>
      <c r="I279" s="187" t="s">
        <v>642</v>
      </c>
      <c r="J279" s="31" t="s">
        <v>645</v>
      </c>
      <c r="K279" s="34" t="s">
        <v>625</v>
      </c>
      <c r="L279" s="28">
        <f>IFERROR(__xludf.DUMMYFUNCTION("""COMPUTED_VALUE"""),480.0)</f>
        <v>480</v>
      </c>
      <c r="M279" s="28"/>
      <c r="N279" s="37" t="e">
        <v>#VALUE!</v>
      </c>
      <c r="O279" s="179"/>
      <c r="P279" s="179"/>
      <c r="Q279" s="179"/>
      <c r="R279" s="180"/>
      <c r="S279" s="34" t="s">
        <v>67</v>
      </c>
      <c r="T279" s="28" t="s">
        <v>68</v>
      </c>
      <c r="U279" s="28" t="s">
        <v>69</v>
      </c>
      <c r="V279" s="45" t="s">
        <v>76</v>
      </c>
      <c r="W279" s="191"/>
      <c r="X279" s="47"/>
      <c r="Y279" s="47"/>
    </row>
    <row r="280">
      <c r="A280" s="28">
        <f t="shared" si="14"/>
        <v>278</v>
      </c>
      <c r="B280" s="173">
        <v>490.0</v>
      </c>
      <c r="C280" s="91" t="s">
        <v>630</v>
      </c>
      <c r="D280" s="59" t="s">
        <v>620</v>
      </c>
      <c r="E280" s="189" t="s">
        <v>631</v>
      </c>
      <c r="F280" s="173">
        <v>490.0</v>
      </c>
      <c r="G280" s="91" t="s">
        <v>632</v>
      </c>
      <c r="H280" s="59" t="s">
        <v>623</v>
      </c>
      <c r="I280" s="189" t="s">
        <v>633</v>
      </c>
      <c r="J280" s="37" t="str">
        <f>'参照_各種特典'!D68</f>
        <v>Mystic Matrimony◆Collection Bonus</v>
      </c>
      <c r="K280" s="34" t="s">
        <v>625</v>
      </c>
      <c r="L280" s="28">
        <f>IFERROR(__xludf.DUMMYFUNCTION("""COMPUTED_VALUE"""),490.0)</f>
        <v>490</v>
      </c>
      <c r="M280" s="34">
        <v>4.0</v>
      </c>
      <c r="N280" s="37" t="s">
        <v>634</v>
      </c>
      <c r="O280" s="92" t="s">
        <v>67</v>
      </c>
      <c r="P280" s="92" t="s">
        <v>68</v>
      </c>
      <c r="Q280" s="92" t="s">
        <v>69</v>
      </c>
      <c r="R280" s="171">
        <v>46062.0</v>
      </c>
      <c r="S280" s="36"/>
      <c r="T280" s="36"/>
      <c r="U280" s="36"/>
      <c r="V280" s="36"/>
      <c r="W280" s="191"/>
      <c r="X280" s="47"/>
      <c r="Y280" s="47"/>
    </row>
    <row r="281">
      <c r="A281" s="28"/>
      <c r="B281" s="20"/>
      <c r="C281" s="20"/>
      <c r="D281" s="20"/>
      <c r="E281" s="189" t="s">
        <v>621</v>
      </c>
      <c r="F281" s="20"/>
      <c r="G281" s="20"/>
      <c r="H281" s="20"/>
      <c r="I281" s="190" t="s">
        <v>635</v>
      </c>
      <c r="J281" s="37" t="str">
        <f>'参照_各種特典'!F68</f>
        <v>Shaved Ice (+50 Stamina)</v>
      </c>
      <c r="K281" s="34" t="s">
        <v>625</v>
      </c>
      <c r="L281" s="28">
        <f>IFERROR(__xludf.DUMMYFUNCTION("""COMPUTED_VALUE"""),490.0)</f>
        <v>490</v>
      </c>
      <c r="M281" s="34">
        <v>11.0</v>
      </c>
      <c r="N281" s="37" t="s">
        <v>636</v>
      </c>
      <c r="O281" s="92" t="s">
        <v>67</v>
      </c>
      <c r="P281" s="92" t="s">
        <v>68</v>
      </c>
      <c r="Q281" s="92" t="s">
        <v>69</v>
      </c>
      <c r="R281" s="171">
        <v>46062.0</v>
      </c>
      <c r="S281" s="36"/>
      <c r="T281" s="36"/>
      <c r="U281" s="36"/>
      <c r="V281" s="36"/>
      <c r="W281" s="191"/>
      <c r="X281" s="47"/>
      <c r="Y281" s="47"/>
    </row>
    <row r="282">
      <c r="A282" s="28"/>
      <c r="B282" s="20"/>
      <c r="C282" s="21"/>
      <c r="D282" s="20"/>
      <c r="E282" s="190" t="s">
        <v>637</v>
      </c>
      <c r="F282" s="20"/>
      <c r="G282" s="21"/>
      <c r="H282" s="20"/>
      <c r="I282" s="190" t="s">
        <v>292</v>
      </c>
      <c r="J282" s="37">
        <f>'参照_各種特典'!H68</f>
        <v>1</v>
      </c>
      <c r="K282" s="34" t="s">
        <v>625</v>
      </c>
      <c r="L282" s="28">
        <f>IFERROR(__xludf.DUMMYFUNCTION("""COMPUTED_VALUE"""),490.0)</f>
        <v>490</v>
      </c>
      <c r="M282" s="34">
        <v>7.0</v>
      </c>
      <c r="N282" s="37" t="s">
        <v>639</v>
      </c>
      <c r="O282" s="92" t="s">
        <v>67</v>
      </c>
      <c r="P282" s="92" t="s">
        <v>68</v>
      </c>
      <c r="Q282" s="92" t="s">
        <v>69</v>
      </c>
      <c r="R282" s="171">
        <v>46062.0</v>
      </c>
      <c r="S282" s="36"/>
      <c r="T282" s="36"/>
      <c r="U282" s="36"/>
      <c r="V282" s="36"/>
      <c r="W282" s="191"/>
      <c r="X282" s="47"/>
      <c r="Y282" s="47"/>
    </row>
    <row r="283">
      <c r="A283" s="28">
        <f>ROW()-2</f>
        <v>281</v>
      </c>
      <c r="B283" s="20"/>
      <c r="C283" s="62" t="s">
        <v>72</v>
      </c>
      <c r="D283" s="21"/>
      <c r="E283" s="190" t="s">
        <v>617</v>
      </c>
      <c r="F283" s="20"/>
      <c r="G283" s="62" t="s">
        <v>74</v>
      </c>
      <c r="H283" s="21"/>
      <c r="I283" s="190" t="s">
        <v>618</v>
      </c>
      <c r="J283" s="37"/>
      <c r="K283" s="34" t="s">
        <v>625</v>
      </c>
      <c r="L283" s="28">
        <f>IFERROR(__xludf.DUMMYFUNCTION("""COMPUTED_VALUE"""),490.0)</f>
        <v>490</v>
      </c>
      <c r="M283" s="28"/>
      <c r="N283" s="37"/>
      <c r="O283" s="92" t="s">
        <v>67</v>
      </c>
      <c r="P283" s="92" t="s">
        <v>68</v>
      </c>
      <c r="Q283" s="92" t="s">
        <v>69</v>
      </c>
      <c r="R283" s="171">
        <v>46062.0</v>
      </c>
      <c r="S283" s="34" t="s">
        <v>67</v>
      </c>
      <c r="T283" s="28" t="s">
        <v>68</v>
      </c>
      <c r="U283" s="28" t="s">
        <v>69</v>
      </c>
      <c r="V283" s="45" t="s">
        <v>76</v>
      </c>
      <c r="W283" s="191"/>
      <c r="X283" s="47"/>
      <c r="Y283" s="47"/>
    </row>
    <row r="284">
      <c r="A284" s="28"/>
      <c r="B284" s="20"/>
      <c r="C284" s="20"/>
      <c r="D284" s="59" t="s">
        <v>626</v>
      </c>
      <c r="E284" s="190" t="s">
        <v>627</v>
      </c>
      <c r="F284" s="20"/>
      <c r="G284" s="20"/>
      <c r="H284" s="59" t="s">
        <v>628</v>
      </c>
      <c r="I284" s="190" t="s">
        <v>640</v>
      </c>
      <c r="J284" s="37"/>
      <c r="K284" s="34" t="s">
        <v>625</v>
      </c>
      <c r="L284" s="28">
        <f>IFERROR(__xludf.DUMMYFUNCTION("""COMPUTED_VALUE"""),490.0)</f>
        <v>490</v>
      </c>
      <c r="M284" s="28"/>
      <c r="N284" s="37"/>
      <c r="O284" s="179"/>
      <c r="P284" s="179"/>
      <c r="Q284" s="179"/>
      <c r="R284" s="180"/>
      <c r="S284" s="34" t="s">
        <v>67</v>
      </c>
      <c r="T284" s="28" t="s">
        <v>68</v>
      </c>
      <c r="U284" s="28" t="s">
        <v>69</v>
      </c>
      <c r="V284" s="45" t="s">
        <v>76</v>
      </c>
      <c r="W284" s="191"/>
      <c r="X284" s="47"/>
      <c r="Y284" s="47"/>
    </row>
    <row r="285">
      <c r="A285" s="28">
        <f t="shared" ref="A285:A295" si="15">ROW()-2</f>
        <v>283</v>
      </c>
      <c r="B285" s="21"/>
      <c r="C285" s="21"/>
      <c r="D285" s="21"/>
      <c r="E285" s="190" t="s">
        <v>641</v>
      </c>
      <c r="F285" s="21"/>
      <c r="G285" s="21"/>
      <c r="H285" s="21"/>
      <c r="I285" s="190" t="s">
        <v>642</v>
      </c>
      <c r="J285" s="37" t="s">
        <v>645</v>
      </c>
      <c r="K285" s="34" t="s">
        <v>625</v>
      </c>
      <c r="L285" s="28">
        <f>IFERROR(__xludf.DUMMYFUNCTION("""COMPUTED_VALUE"""),490.0)</f>
        <v>490</v>
      </c>
      <c r="M285" s="28"/>
      <c r="N285" s="37" t="e">
        <v>#VALUE!</v>
      </c>
      <c r="O285" s="179"/>
      <c r="P285" s="179"/>
      <c r="Q285" s="179"/>
      <c r="R285" s="180"/>
      <c r="S285" s="34" t="s">
        <v>67</v>
      </c>
      <c r="T285" s="28" t="s">
        <v>68</v>
      </c>
      <c r="U285" s="28" t="s">
        <v>69</v>
      </c>
      <c r="V285" s="45" t="s">
        <v>76</v>
      </c>
      <c r="W285" s="191"/>
      <c r="X285" s="47"/>
      <c r="Y285" s="47"/>
    </row>
    <row r="286">
      <c r="A286" s="28">
        <f t="shared" si="15"/>
        <v>284</v>
      </c>
      <c r="B286" s="182">
        <v>500.0</v>
      </c>
      <c r="C286" s="96" t="s">
        <v>630</v>
      </c>
      <c r="D286" s="29" t="s">
        <v>620</v>
      </c>
      <c r="E286" s="183" t="s">
        <v>621</v>
      </c>
      <c r="F286" s="182">
        <v>500.0</v>
      </c>
      <c r="G286" s="96" t="s">
        <v>632</v>
      </c>
      <c r="H286" s="29" t="s">
        <v>623</v>
      </c>
      <c r="I286" s="187" t="s">
        <v>635</v>
      </c>
      <c r="J286" s="31" t="str">
        <f>'参照_各種特典'!$F$69</f>
        <v>Mystic Matrimony Bonus Story ～Nobunaga～</v>
      </c>
      <c r="K286" s="34" t="s">
        <v>625</v>
      </c>
      <c r="L286" s="28">
        <f>IFERROR(__xludf.DUMMYFUNCTION("""COMPUTED_VALUE"""),500.0)</f>
        <v>500</v>
      </c>
      <c r="M286" s="34">
        <v>11.0</v>
      </c>
      <c r="N286" s="37" t="s">
        <v>668</v>
      </c>
      <c r="O286" s="92" t="s">
        <v>67</v>
      </c>
      <c r="P286" s="92" t="s">
        <v>68</v>
      </c>
      <c r="Q286" s="92" t="s">
        <v>69</v>
      </c>
      <c r="R286" s="171">
        <v>46062.0</v>
      </c>
      <c r="S286" s="36"/>
      <c r="T286" s="36"/>
      <c r="U286" s="36"/>
      <c r="V286" s="36"/>
      <c r="W286" s="191"/>
      <c r="X286" s="47"/>
      <c r="Y286" s="47"/>
    </row>
    <row r="287">
      <c r="A287" s="28">
        <f t="shared" si="15"/>
        <v>285</v>
      </c>
      <c r="B287" s="20"/>
      <c r="C287" s="62" t="s">
        <v>72</v>
      </c>
      <c r="D287" s="21"/>
      <c r="E287" s="187" t="s">
        <v>617</v>
      </c>
      <c r="F287" s="20"/>
      <c r="G287" s="62" t="s">
        <v>74</v>
      </c>
      <c r="H287" s="21"/>
      <c r="I287" s="187" t="s">
        <v>618</v>
      </c>
      <c r="J287" s="31"/>
      <c r="K287" s="34" t="s">
        <v>625</v>
      </c>
      <c r="L287" s="28">
        <f>IFERROR(__xludf.DUMMYFUNCTION("""COMPUTED_VALUE"""),500.0)</f>
        <v>500</v>
      </c>
      <c r="M287" s="28"/>
      <c r="N287" s="37"/>
      <c r="O287" s="92" t="s">
        <v>67</v>
      </c>
      <c r="P287" s="92" t="s">
        <v>68</v>
      </c>
      <c r="Q287" s="92" t="s">
        <v>69</v>
      </c>
      <c r="R287" s="171">
        <v>46062.0</v>
      </c>
      <c r="S287" s="34" t="s">
        <v>67</v>
      </c>
      <c r="T287" s="28" t="s">
        <v>68</v>
      </c>
      <c r="U287" s="28" t="s">
        <v>69</v>
      </c>
      <c r="V287" s="45" t="s">
        <v>76</v>
      </c>
      <c r="W287" s="191"/>
      <c r="X287" s="47"/>
      <c r="Y287" s="47"/>
    </row>
    <row r="288">
      <c r="A288" s="28">
        <f t="shared" si="15"/>
        <v>286</v>
      </c>
      <c r="B288" s="21"/>
      <c r="C288" s="21"/>
      <c r="D288" s="31" t="s">
        <v>626</v>
      </c>
      <c r="E288" s="187" t="s">
        <v>627</v>
      </c>
      <c r="F288" s="21"/>
      <c r="G288" s="21"/>
      <c r="H288" s="31" t="s">
        <v>628</v>
      </c>
      <c r="I288" s="187" t="s">
        <v>640</v>
      </c>
      <c r="J288" s="31"/>
      <c r="K288" s="34" t="s">
        <v>625</v>
      </c>
      <c r="L288" s="28">
        <f>IFERROR(__xludf.DUMMYFUNCTION("""COMPUTED_VALUE"""),500.0)</f>
        <v>500</v>
      </c>
      <c r="M288" s="28"/>
      <c r="N288" s="37"/>
      <c r="O288" s="179"/>
      <c r="P288" s="179"/>
      <c r="Q288" s="179"/>
      <c r="R288" s="180"/>
      <c r="S288" s="34" t="s">
        <v>67</v>
      </c>
      <c r="T288" s="28" t="s">
        <v>68</v>
      </c>
      <c r="U288" s="28" t="s">
        <v>69</v>
      </c>
      <c r="V288" s="45" t="s">
        <v>76</v>
      </c>
      <c r="W288" s="191"/>
      <c r="X288" s="47"/>
      <c r="Y288" s="47"/>
    </row>
    <row r="289">
      <c r="A289" s="28">
        <f t="shared" si="15"/>
        <v>287</v>
      </c>
      <c r="B289" s="173">
        <v>510.0</v>
      </c>
      <c r="C289" s="91" t="s">
        <v>630</v>
      </c>
      <c r="D289" s="59" t="s">
        <v>620</v>
      </c>
      <c r="E289" s="189" t="s">
        <v>631</v>
      </c>
      <c r="F289" s="173">
        <v>510.0</v>
      </c>
      <c r="G289" s="91" t="s">
        <v>632</v>
      </c>
      <c r="H289" s="59" t="s">
        <v>623</v>
      </c>
      <c r="I289" s="189" t="s">
        <v>633</v>
      </c>
      <c r="J289" s="37" t="str">
        <f>'参照_各種特典'!D70</f>
        <v>Mystic Matrimony◆Collection Bonus</v>
      </c>
      <c r="K289" s="34" t="s">
        <v>625</v>
      </c>
      <c r="L289" s="28">
        <f>IFERROR(__xludf.DUMMYFUNCTION("""COMPUTED_VALUE"""),510.0)</f>
        <v>510</v>
      </c>
      <c r="M289" s="34">
        <v>4.0</v>
      </c>
      <c r="N289" s="37" t="s">
        <v>634</v>
      </c>
      <c r="O289" s="92" t="s">
        <v>67</v>
      </c>
      <c r="P289" s="92" t="s">
        <v>68</v>
      </c>
      <c r="Q289" s="92" t="s">
        <v>69</v>
      </c>
      <c r="R289" s="171">
        <v>46062.0</v>
      </c>
      <c r="S289" s="36"/>
      <c r="T289" s="36"/>
      <c r="U289" s="36"/>
      <c r="V289" s="36"/>
      <c r="W289" s="191"/>
      <c r="X289" s="47"/>
      <c r="Y289" s="47"/>
    </row>
    <row r="290">
      <c r="A290" s="28">
        <f t="shared" si="15"/>
        <v>288</v>
      </c>
      <c r="B290" s="20"/>
      <c r="C290" s="20"/>
      <c r="D290" s="20"/>
      <c r="E290" s="189" t="s">
        <v>621</v>
      </c>
      <c r="F290" s="20"/>
      <c r="G290" s="20"/>
      <c r="H290" s="20"/>
      <c r="I290" s="190" t="s">
        <v>635</v>
      </c>
      <c r="J290" s="37" t="str">
        <f>'参照_各種特典'!F70</f>
        <v>3000 Gold</v>
      </c>
      <c r="K290" s="34" t="s">
        <v>625</v>
      </c>
      <c r="L290" s="28">
        <f>IFERROR(__xludf.DUMMYFUNCTION("""COMPUTED_VALUE"""),510.0)</f>
        <v>510</v>
      </c>
      <c r="M290" s="34">
        <v>11.0</v>
      </c>
      <c r="N290" s="37" t="s">
        <v>669</v>
      </c>
      <c r="O290" s="92" t="s">
        <v>67</v>
      </c>
      <c r="P290" s="92" t="s">
        <v>68</v>
      </c>
      <c r="Q290" s="92" t="s">
        <v>69</v>
      </c>
      <c r="R290" s="171">
        <v>46062.0</v>
      </c>
      <c r="S290" s="36"/>
      <c r="T290" s="36"/>
      <c r="U290" s="36"/>
      <c r="V290" s="36"/>
      <c r="W290" s="191"/>
      <c r="X290" s="47"/>
      <c r="Y290" s="47"/>
    </row>
    <row r="291">
      <c r="A291" s="28">
        <f t="shared" si="15"/>
        <v>289</v>
      </c>
      <c r="B291" s="20"/>
      <c r="C291" s="21"/>
      <c r="D291" s="20"/>
      <c r="E291" s="190" t="s">
        <v>637</v>
      </c>
      <c r="F291" s="20"/>
      <c r="G291" s="21"/>
      <c r="H291" s="20"/>
      <c r="I291" s="190" t="s">
        <v>292</v>
      </c>
      <c r="J291" s="37">
        <f>'参照_各種特典'!H70</f>
        <v>1</v>
      </c>
      <c r="K291" s="34" t="s">
        <v>625</v>
      </c>
      <c r="L291" s="28">
        <f>IFERROR(__xludf.DUMMYFUNCTION("""COMPUTED_VALUE"""),510.0)</f>
        <v>510</v>
      </c>
      <c r="M291" s="34">
        <v>7.0</v>
      </c>
      <c r="N291" s="37" t="s">
        <v>639</v>
      </c>
      <c r="O291" s="92" t="s">
        <v>67</v>
      </c>
      <c r="P291" s="92" t="s">
        <v>68</v>
      </c>
      <c r="Q291" s="92" t="s">
        <v>69</v>
      </c>
      <c r="R291" s="171">
        <v>46062.0</v>
      </c>
      <c r="S291" s="36"/>
      <c r="T291" s="36"/>
      <c r="U291" s="36"/>
      <c r="V291" s="36"/>
      <c r="W291" s="191"/>
      <c r="X291" s="47"/>
      <c r="Y291" s="47"/>
    </row>
    <row r="292">
      <c r="A292" s="28">
        <f t="shared" si="15"/>
        <v>290</v>
      </c>
      <c r="B292" s="20"/>
      <c r="C292" s="62" t="s">
        <v>72</v>
      </c>
      <c r="D292" s="21"/>
      <c r="E292" s="190" t="s">
        <v>617</v>
      </c>
      <c r="F292" s="20"/>
      <c r="G292" s="62" t="s">
        <v>74</v>
      </c>
      <c r="H292" s="21"/>
      <c r="I292" s="190" t="s">
        <v>618</v>
      </c>
      <c r="J292" s="37"/>
      <c r="K292" s="34" t="s">
        <v>625</v>
      </c>
      <c r="L292" s="28">
        <f>IFERROR(__xludf.DUMMYFUNCTION("""COMPUTED_VALUE"""),510.0)</f>
        <v>510</v>
      </c>
      <c r="M292" s="28"/>
      <c r="N292" s="37"/>
      <c r="O292" s="92" t="s">
        <v>67</v>
      </c>
      <c r="P292" s="92" t="s">
        <v>68</v>
      </c>
      <c r="Q292" s="92" t="s">
        <v>69</v>
      </c>
      <c r="R292" s="171">
        <v>46062.0</v>
      </c>
      <c r="S292" s="34" t="s">
        <v>67</v>
      </c>
      <c r="T292" s="28" t="s">
        <v>68</v>
      </c>
      <c r="U292" s="28" t="s">
        <v>69</v>
      </c>
      <c r="V292" s="45" t="s">
        <v>76</v>
      </c>
      <c r="W292" s="191"/>
      <c r="X292" s="47"/>
      <c r="Y292" s="47"/>
    </row>
    <row r="293">
      <c r="A293" s="28">
        <f t="shared" si="15"/>
        <v>291</v>
      </c>
      <c r="B293" s="20"/>
      <c r="C293" s="20"/>
      <c r="D293" s="59" t="s">
        <v>626</v>
      </c>
      <c r="E293" s="190" t="s">
        <v>627</v>
      </c>
      <c r="F293" s="20"/>
      <c r="G293" s="20"/>
      <c r="H293" s="59" t="s">
        <v>628</v>
      </c>
      <c r="I293" s="190" t="s">
        <v>640</v>
      </c>
      <c r="J293" s="37"/>
      <c r="K293" s="34" t="s">
        <v>625</v>
      </c>
      <c r="L293" s="28">
        <f>IFERROR(__xludf.DUMMYFUNCTION("""COMPUTED_VALUE"""),510.0)</f>
        <v>510</v>
      </c>
      <c r="M293" s="28"/>
      <c r="N293" s="37"/>
      <c r="O293" s="179"/>
      <c r="P293" s="179"/>
      <c r="Q293" s="179"/>
      <c r="R293" s="180"/>
      <c r="S293" s="34" t="s">
        <v>67</v>
      </c>
      <c r="T293" s="28" t="s">
        <v>68</v>
      </c>
      <c r="U293" s="28" t="s">
        <v>69</v>
      </c>
      <c r="V293" s="45" t="s">
        <v>76</v>
      </c>
      <c r="W293" s="191"/>
      <c r="X293" s="47"/>
      <c r="Y293" s="47"/>
    </row>
    <row r="294">
      <c r="A294" s="28">
        <f t="shared" si="15"/>
        <v>292</v>
      </c>
      <c r="B294" s="21"/>
      <c r="C294" s="21"/>
      <c r="D294" s="21"/>
      <c r="E294" s="190" t="s">
        <v>641</v>
      </c>
      <c r="F294" s="21"/>
      <c r="G294" s="21"/>
      <c r="H294" s="21"/>
      <c r="I294" s="190" t="s">
        <v>642</v>
      </c>
      <c r="J294" s="37" t="s">
        <v>645</v>
      </c>
      <c r="K294" s="34" t="s">
        <v>625</v>
      </c>
      <c r="L294" s="28">
        <f>IFERROR(__xludf.DUMMYFUNCTION("""COMPUTED_VALUE"""),510.0)</f>
        <v>510</v>
      </c>
      <c r="M294" s="28"/>
      <c r="N294" s="37" t="e">
        <v>#VALUE!</v>
      </c>
      <c r="O294" s="179"/>
      <c r="P294" s="179"/>
      <c r="Q294" s="179"/>
      <c r="R294" s="180"/>
      <c r="S294" s="34" t="s">
        <v>67</v>
      </c>
      <c r="T294" s="28" t="s">
        <v>68</v>
      </c>
      <c r="U294" s="28" t="s">
        <v>69</v>
      </c>
      <c r="V294" s="45" t="s">
        <v>76</v>
      </c>
      <c r="W294" s="191"/>
      <c r="X294" s="47"/>
      <c r="Y294" s="47"/>
    </row>
    <row r="295">
      <c r="A295" s="28">
        <f t="shared" si="15"/>
        <v>293</v>
      </c>
      <c r="B295" s="182">
        <v>520.0</v>
      </c>
      <c r="C295" s="91" t="s">
        <v>630</v>
      </c>
      <c r="D295" s="29" t="s">
        <v>620</v>
      </c>
      <c r="E295" s="183" t="s">
        <v>631</v>
      </c>
      <c r="F295" s="182">
        <v>520.0</v>
      </c>
      <c r="G295" s="91" t="s">
        <v>632</v>
      </c>
      <c r="H295" s="29" t="s">
        <v>623</v>
      </c>
      <c r="I295" s="183" t="s">
        <v>633</v>
      </c>
      <c r="J295" s="31" t="str">
        <f>'参照_各種特典'!D71</f>
        <v>Mystic Matrimony◆Collection Bonus</v>
      </c>
      <c r="K295" s="34" t="s">
        <v>625</v>
      </c>
      <c r="L295" s="28">
        <f>IFERROR(__xludf.DUMMYFUNCTION("""COMPUTED_VALUE"""),520.0)</f>
        <v>520</v>
      </c>
      <c r="M295" s="34">
        <v>4.0</v>
      </c>
      <c r="N295" s="37" t="s">
        <v>634</v>
      </c>
      <c r="O295" s="92" t="s">
        <v>67</v>
      </c>
      <c r="P295" s="92" t="s">
        <v>68</v>
      </c>
      <c r="Q295" s="92" t="s">
        <v>69</v>
      </c>
      <c r="R295" s="171">
        <v>46062.0</v>
      </c>
      <c r="S295" s="36"/>
      <c r="T295" s="36"/>
      <c r="U295" s="36"/>
      <c r="V295" s="36"/>
      <c r="W295" s="191"/>
      <c r="X295" s="47"/>
      <c r="Y295" s="47"/>
    </row>
    <row r="296">
      <c r="A296" s="28"/>
      <c r="B296" s="20"/>
      <c r="C296" s="20"/>
      <c r="D296" s="20"/>
      <c r="E296" s="183" t="s">
        <v>621</v>
      </c>
      <c r="F296" s="20"/>
      <c r="G296" s="20"/>
      <c r="H296" s="20"/>
      <c r="I296" s="187" t="s">
        <v>635</v>
      </c>
      <c r="J296" s="31" t="str">
        <f>'参照_各種特典'!F71</f>
        <v>Ogre Horns</v>
      </c>
      <c r="K296" s="34" t="s">
        <v>625</v>
      </c>
      <c r="L296" s="28">
        <f>IFERROR(__xludf.DUMMYFUNCTION("""COMPUTED_VALUE"""),520.0)</f>
        <v>520</v>
      </c>
      <c r="M296" s="34">
        <v>11.0</v>
      </c>
      <c r="N296" s="37" t="s">
        <v>670</v>
      </c>
      <c r="O296" s="92" t="s">
        <v>67</v>
      </c>
      <c r="P296" s="92" t="s">
        <v>68</v>
      </c>
      <c r="Q296" s="92" t="s">
        <v>69</v>
      </c>
      <c r="R296" s="171">
        <v>46062.0</v>
      </c>
      <c r="S296" s="36"/>
      <c r="T296" s="36"/>
      <c r="U296" s="36"/>
      <c r="V296" s="36"/>
      <c r="W296" s="191"/>
      <c r="X296" s="47"/>
      <c r="Y296" s="47"/>
    </row>
    <row r="297">
      <c r="A297" s="28"/>
      <c r="B297" s="20"/>
      <c r="C297" s="21"/>
      <c r="D297" s="20"/>
      <c r="E297" s="187" t="s">
        <v>637</v>
      </c>
      <c r="F297" s="20"/>
      <c r="G297" s="21"/>
      <c r="H297" s="20"/>
      <c r="I297" s="187" t="s">
        <v>292</v>
      </c>
      <c r="J297" s="31">
        <f>'参照_各種特典'!H71</f>
        <v>1</v>
      </c>
      <c r="K297" s="34" t="s">
        <v>625</v>
      </c>
      <c r="L297" s="28">
        <f>IFERROR(__xludf.DUMMYFUNCTION("""COMPUTED_VALUE"""),520.0)</f>
        <v>520</v>
      </c>
      <c r="M297" s="34">
        <v>7.0</v>
      </c>
      <c r="N297" s="37" t="s">
        <v>639</v>
      </c>
      <c r="O297" s="92" t="s">
        <v>67</v>
      </c>
      <c r="P297" s="92" t="s">
        <v>68</v>
      </c>
      <c r="Q297" s="92" t="s">
        <v>69</v>
      </c>
      <c r="R297" s="171">
        <v>46062.0</v>
      </c>
      <c r="S297" s="36"/>
      <c r="T297" s="36"/>
      <c r="U297" s="36"/>
      <c r="V297" s="36"/>
      <c r="W297" s="191"/>
      <c r="X297" s="47"/>
      <c r="Y297" s="47"/>
    </row>
    <row r="298">
      <c r="A298" s="28">
        <f>ROW()-2</f>
        <v>296</v>
      </c>
      <c r="B298" s="20"/>
      <c r="C298" s="62" t="s">
        <v>72</v>
      </c>
      <c r="D298" s="21"/>
      <c r="E298" s="187" t="s">
        <v>617</v>
      </c>
      <c r="F298" s="20"/>
      <c r="G298" s="62" t="s">
        <v>74</v>
      </c>
      <c r="H298" s="21"/>
      <c r="I298" s="187" t="s">
        <v>618</v>
      </c>
      <c r="J298" s="31"/>
      <c r="K298" s="34" t="s">
        <v>625</v>
      </c>
      <c r="L298" s="28">
        <f>IFERROR(__xludf.DUMMYFUNCTION("""COMPUTED_VALUE"""),520.0)</f>
        <v>520</v>
      </c>
      <c r="M298" s="28"/>
      <c r="N298" s="37"/>
      <c r="O298" s="92" t="s">
        <v>67</v>
      </c>
      <c r="P298" s="92" t="s">
        <v>68</v>
      </c>
      <c r="Q298" s="92" t="s">
        <v>69</v>
      </c>
      <c r="R298" s="171">
        <v>46062.0</v>
      </c>
      <c r="S298" s="34" t="s">
        <v>67</v>
      </c>
      <c r="T298" s="28" t="s">
        <v>68</v>
      </c>
      <c r="U298" s="28" t="s">
        <v>69</v>
      </c>
      <c r="V298" s="45" t="s">
        <v>76</v>
      </c>
      <c r="W298" s="191"/>
      <c r="X298" s="47"/>
      <c r="Y298" s="47"/>
    </row>
    <row r="299">
      <c r="A299" s="28"/>
      <c r="B299" s="20"/>
      <c r="C299" s="20"/>
      <c r="D299" s="29" t="s">
        <v>626</v>
      </c>
      <c r="E299" s="187" t="s">
        <v>627</v>
      </c>
      <c r="F299" s="20"/>
      <c r="G299" s="20"/>
      <c r="H299" s="29" t="s">
        <v>628</v>
      </c>
      <c r="I299" s="187" t="s">
        <v>640</v>
      </c>
      <c r="J299" s="31"/>
      <c r="K299" s="34" t="s">
        <v>625</v>
      </c>
      <c r="L299" s="28">
        <f>IFERROR(__xludf.DUMMYFUNCTION("""COMPUTED_VALUE"""),520.0)</f>
        <v>520</v>
      </c>
      <c r="M299" s="28"/>
      <c r="N299" s="37"/>
      <c r="O299" s="179"/>
      <c r="P299" s="179"/>
      <c r="Q299" s="179"/>
      <c r="R299" s="180"/>
      <c r="S299" s="34" t="s">
        <v>67</v>
      </c>
      <c r="T299" s="28" t="s">
        <v>68</v>
      </c>
      <c r="U299" s="28" t="s">
        <v>69</v>
      </c>
      <c r="V299" s="45" t="s">
        <v>76</v>
      </c>
      <c r="W299" s="191"/>
      <c r="X299" s="47"/>
      <c r="Y299" s="47"/>
    </row>
    <row r="300">
      <c r="A300" s="28">
        <f t="shared" ref="A300:A326" si="16">ROW()-2</f>
        <v>298</v>
      </c>
      <c r="B300" s="21"/>
      <c r="C300" s="21"/>
      <c r="D300" s="21"/>
      <c r="E300" s="187" t="s">
        <v>641</v>
      </c>
      <c r="F300" s="21"/>
      <c r="G300" s="21"/>
      <c r="H300" s="21"/>
      <c r="I300" s="187" t="s">
        <v>642</v>
      </c>
      <c r="J300" s="31" t="s">
        <v>645</v>
      </c>
      <c r="K300" s="34" t="s">
        <v>625</v>
      </c>
      <c r="L300" s="28">
        <f>IFERROR(__xludf.DUMMYFUNCTION("""COMPUTED_VALUE"""),520.0)</f>
        <v>520</v>
      </c>
      <c r="M300" s="28"/>
      <c r="N300" s="37" t="e">
        <v>#VALUE!</v>
      </c>
      <c r="O300" s="179"/>
      <c r="P300" s="179"/>
      <c r="Q300" s="179"/>
      <c r="R300" s="180"/>
      <c r="S300" s="34" t="s">
        <v>67</v>
      </c>
      <c r="T300" s="28" t="s">
        <v>68</v>
      </c>
      <c r="U300" s="28" t="s">
        <v>69</v>
      </c>
      <c r="V300" s="45" t="s">
        <v>76</v>
      </c>
      <c r="W300" s="191"/>
      <c r="X300" s="47"/>
      <c r="Y300" s="47"/>
    </row>
    <row r="301">
      <c r="A301" s="28">
        <f t="shared" si="16"/>
        <v>299</v>
      </c>
      <c r="B301" s="173">
        <v>530.0</v>
      </c>
      <c r="C301" s="91" t="s">
        <v>630</v>
      </c>
      <c r="D301" s="59" t="s">
        <v>620</v>
      </c>
      <c r="E301" s="189" t="s">
        <v>631</v>
      </c>
      <c r="F301" s="173">
        <v>530.0</v>
      </c>
      <c r="G301" s="91" t="s">
        <v>632</v>
      </c>
      <c r="H301" s="59" t="s">
        <v>623</v>
      </c>
      <c r="I301" s="189" t="s">
        <v>633</v>
      </c>
      <c r="J301" s="37" t="str">
        <f>'参照_各種特典'!D72</f>
        <v>Mystic Matrimony◆Collection Bonus</v>
      </c>
      <c r="K301" s="34" t="s">
        <v>625</v>
      </c>
      <c r="L301" s="28">
        <f>IFERROR(__xludf.DUMMYFUNCTION("""COMPUTED_VALUE"""),530.0)</f>
        <v>530</v>
      </c>
      <c r="M301" s="34">
        <v>4.0</v>
      </c>
      <c r="N301" s="37" t="s">
        <v>634</v>
      </c>
      <c r="O301" s="92" t="s">
        <v>67</v>
      </c>
      <c r="P301" s="92" t="s">
        <v>68</v>
      </c>
      <c r="Q301" s="92" t="s">
        <v>69</v>
      </c>
      <c r="R301" s="171">
        <v>46062.0</v>
      </c>
      <c r="S301" s="36"/>
      <c r="T301" s="36"/>
      <c r="U301" s="36"/>
      <c r="V301" s="36"/>
      <c r="W301" s="191"/>
      <c r="X301" s="47"/>
      <c r="Y301" s="47"/>
    </row>
    <row r="302">
      <c r="A302" s="28">
        <f t="shared" si="16"/>
        <v>300</v>
      </c>
      <c r="B302" s="20"/>
      <c r="C302" s="20"/>
      <c r="D302" s="20"/>
      <c r="E302" s="189" t="s">
        <v>621</v>
      </c>
      <c r="F302" s="20"/>
      <c r="G302" s="20"/>
      <c r="H302" s="20"/>
      <c r="I302" s="190" t="s">
        <v>635</v>
      </c>
      <c r="J302" s="37" t="str">
        <f>'参照_各種特典'!F72</f>
        <v>Midnight Parkview Veranda</v>
      </c>
      <c r="K302" s="34" t="s">
        <v>625</v>
      </c>
      <c r="L302" s="28">
        <f>IFERROR(__xludf.DUMMYFUNCTION("""COMPUTED_VALUE"""),530.0)</f>
        <v>530</v>
      </c>
      <c r="M302" s="34">
        <v>11.0</v>
      </c>
      <c r="N302" s="37" t="s">
        <v>671</v>
      </c>
      <c r="O302" s="92" t="s">
        <v>67</v>
      </c>
      <c r="P302" s="92" t="s">
        <v>68</v>
      </c>
      <c r="Q302" s="92" t="s">
        <v>69</v>
      </c>
      <c r="R302" s="171">
        <v>46062.0</v>
      </c>
      <c r="S302" s="36"/>
      <c r="T302" s="36"/>
      <c r="U302" s="36"/>
      <c r="V302" s="36"/>
      <c r="W302" s="191"/>
      <c r="X302" s="47"/>
      <c r="Y302" s="47"/>
    </row>
    <row r="303">
      <c r="A303" s="28">
        <f t="shared" si="16"/>
        <v>301</v>
      </c>
      <c r="B303" s="20"/>
      <c r="C303" s="21"/>
      <c r="D303" s="20"/>
      <c r="E303" s="190" t="s">
        <v>637</v>
      </c>
      <c r="F303" s="20"/>
      <c r="G303" s="21"/>
      <c r="H303" s="20"/>
      <c r="I303" s="190" t="s">
        <v>292</v>
      </c>
      <c r="J303" s="37">
        <f>'参照_各種特典'!H72</f>
        <v>1</v>
      </c>
      <c r="K303" s="34" t="s">
        <v>625</v>
      </c>
      <c r="L303" s="28">
        <f>IFERROR(__xludf.DUMMYFUNCTION("""COMPUTED_VALUE"""),530.0)</f>
        <v>530</v>
      </c>
      <c r="M303" s="34">
        <v>7.0</v>
      </c>
      <c r="N303" s="37" t="s">
        <v>639</v>
      </c>
      <c r="O303" s="92" t="s">
        <v>67</v>
      </c>
      <c r="P303" s="92" t="s">
        <v>68</v>
      </c>
      <c r="Q303" s="92" t="s">
        <v>69</v>
      </c>
      <c r="R303" s="171">
        <v>46062.0</v>
      </c>
      <c r="S303" s="36"/>
      <c r="T303" s="36"/>
      <c r="U303" s="36"/>
      <c r="V303" s="36"/>
      <c r="W303" s="191"/>
      <c r="X303" s="47"/>
      <c r="Y303" s="47"/>
    </row>
    <row r="304">
      <c r="A304" s="28">
        <f t="shared" si="16"/>
        <v>302</v>
      </c>
      <c r="B304" s="20"/>
      <c r="C304" s="62" t="s">
        <v>72</v>
      </c>
      <c r="D304" s="21"/>
      <c r="E304" s="190" t="s">
        <v>617</v>
      </c>
      <c r="F304" s="20"/>
      <c r="G304" s="62" t="s">
        <v>74</v>
      </c>
      <c r="H304" s="21"/>
      <c r="I304" s="190" t="s">
        <v>618</v>
      </c>
      <c r="J304" s="37"/>
      <c r="K304" s="34" t="s">
        <v>625</v>
      </c>
      <c r="L304" s="28">
        <f>IFERROR(__xludf.DUMMYFUNCTION("""COMPUTED_VALUE"""),530.0)</f>
        <v>530</v>
      </c>
      <c r="M304" s="28"/>
      <c r="N304" s="37"/>
      <c r="O304" s="92" t="s">
        <v>67</v>
      </c>
      <c r="P304" s="92" t="s">
        <v>68</v>
      </c>
      <c r="Q304" s="92" t="s">
        <v>69</v>
      </c>
      <c r="R304" s="171">
        <v>46062.0</v>
      </c>
      <c r="S304" s="34" t="s">
        <v>67</v>
      </c>
      <c r="T304" s="28" t="s">
        <v>68</v>
      </c>
      <c r="U304" s="28" t="s">
        <v>69</v>
      </c>
      <c r="V304" s="45" t="s">
        <v>76</v>
      </c>
      <c r="W304" s="191"/>
      <c r="X304" s="47"/>
      <c r="Y304" s="47"/>
    </row>
    <row r="305">
      <c r="A305" s="28">
        <f t="shared" si="16"/>
        <v>303</v>
      </c>
      <c r="B305" s="20"/>
      <c r="C305" s="20"/>
      <c r="D305" s="59" t="s">
        <v>626</v>
      </c>
      <c r="E305" s="190" t="s">
        <v>627</v>
      </c>
      <c r="F305" s="20"/>
      <c r="G305" s="20"/>
      <c r="H305" s="59" t="s">
        <v>628</v>
      </c>
      <c r="I305" s="190" t="s">
        <v>640</v>
      </c>
      <c r="J305" s="37"/>
      <c r="K305" s="34" t="s">
        <v>625</v>
      </c>
      <c r="L305" s="28">
        <f>IFERROR(__xludf.DUMMYFUNCTION("""COMPUTED_VALUE"""),530.0)</f>
        <v>530</v>
      </c>
      <c r="M305" s="28"/>
      <c r="N305" s="37"/>
      <c r="O305" s="179"/>
      <c r="P305" s="179"/>
      <c r="Q305" s="179"/>
      <c r="R305" s="180"/>
      <c r="S305" s="34" t="s">
        <v>67</v>
      </c>
      <c r="T305" s="28" t="s">
        <v>68</v>
      </c>
      <c r="U305" s="28" t="s">
        <v>69</v>
      </c>
      <c r="V305" s="45" t="s">
        <v>76</v>
      </c>
      <c r="W305" s="191"/>
      <c r="X305" s="47"/>
      <c r="Y305" s="47"/>
    </row>
    <row r="306">
      <c r="A306" s="28">
        <f t="shared" si="16"/>
        <v>304</v>
      </c>
      <c r="B306" s="21"/>
      <c r="C306" s="21"/>
      <c r="D306" s="21"/>
      <c r="E306" s="190" t="s">
        <v>641</v>
      </c>
      <c r="F306" s="21"/>
      <c r="G306" s="21"/>
      <c r="H306" s="21"/>
      <c r="I306" s="190" t="s">
        <v>642</v>
      </c>
      <c r="J306" s="37" t="s">
        <v>645</v>
      </c>
      <c r="K306" s="34" t="s">
        <v>625</v>
      </c>
      <c r="L306" s="28">
        <f>IFERROR(__xludf.DUMMYFUNCTION("""COMPUTED_VALUE"""),530.0)</f>
        <v>530</v>
      </c>
      <c r="M306" s="28"/>
      <c r="N306" s="37" t="e">
        <v>#VALUE!</v>
      </c>
      <c r="O306" s="179"/>
      <c r="P306" s="179"/>
      <c r="Q306" s="179"/>
      <c r="R306" s="180"/>
      <c r="S306" s="34" t="s">
        <v>67</v>
      </c>
      <c r="T306" s="28" t="s">
        <v>68</v>
      </c>
      <c r="U306" s="28" t="s">
        <v>69</v>
      </c>
      <c r="V306" s="45" t="s">
        <v>76</v>
      </c>
      <c r="W306" s="191"/>
      <c r="X306" s="47"/>
      <c r="Y306" s="47"/>
    </row>
    <row r="307">
      <c r="A307" s="28">
        <f t="shared" si="16"/>
        <v>305</v>
      </c>
      <c r="B307" s="182">
        <v>540.0</v>
      </c>
      <c r="C307" s="91" t="s">
        <v>630</v>
      </c>
      <c r="D307" s="29" t="s">
        <v>620</v>
      </c>
      <c r="E307" s="183" t="s">
        <v>631</v>
      </c>
      <c r="F307" s="182">
        <v>540.0</v>
      </c>
      <c r="G307" s="91" t="s">
        <v>632</v>
      </c>
      <c r="H307" s="29" t="s">
        <v>623</v>
      </c>
      <c r="I307" s="183" t="s">
        <v>633</v>
      </c>
      <c r="J307" s="31" t="str">
        <f>'参照_各種特典'!D73</f>
        <v>Mystic Matrimony◆Collection Bonus</v>
      </c>
      <c r="K307" s="34" t="s">
        <v>625</v>
      </c>
      <c r="L307" s="28">
        <f>IFERROR(__xludf.DUMMYFUNCTION("""COMPUTED_VALUE"""),540.0)</f>
        <v>540</v>
      </c>
      <c r="M307" s="34">
        <v>4.0</v>
      </c>
      <c r="N307" s="37" t="s">
        <v>634</v>
      </c>
      <c r="O307" s="92" t="s">
        <v>67</v>
      </c>
      <c r="P307" s="92" t="s">
        <v>68</v>
      </c>
      <c r="Q307" s="92" t="s">
        <v>69</v>
      </c>
      <c r="R307" s="171">
        <v>46062.0</v>
      </c>
      <c r="S307" s="36"/>
      <c r="T307" s="36"/>
      <c r="U307" s="36"/>
      <c r="V307" s="36"/>
      <c r="W307" s="191"/>
      <c r="X307" s="47"/>
      <c r="Y307" s="47"/>
    </row>
    <row r="308">
      <c r="A308" s="28">
        <f t="shared" si="16"/>
        <v>306</v>
      </c>
      <c r="B308" s="20"/>
      <c r="C308" s="20"/>
      <c r="D308" s="20"/>
      <c r="E308" s="183" t="s">
        <v>621</v>
      </c>
      <c r="F308" s="20"/>
      <c r="G308" s="20"/>
      <c r="H308" s="20"/>
      <c r="I308" s="187" t="s">
        <v>635</v>
      </c>
      <c r="J308" s="31" t="str">
        <f>'参照_各種特典'!F73</f>
        <v>Gacha Token</v>
      </c>
      <c r="K308" s="34" t="s">
        <v>625</v>
      </c>
      <c r="L308" s="28">
        <f>IFERROR(__xludf.DUMMYFUNCTION("""COMPUTED_VALUE"""),540.0)</f>
        <v>540</v>
      </c>
      <c r="M308" s="34">
        <v>11.0</v>
      </c>
      <c r="N308" s="37" t="s">
        <v>672</v>
      </c>
      <c r="O308" s="92" t="s">
        <v>67</v>
      </c>
      <c r="P308" s="92" t="s">
        <v>68</v>
      </c>
      <c r="Q308" s="92" t="s">
        <v>69</v>
      </c>
      <c r="R308" s="171">
        <v>46062.0</v>
      </c>
      <c r="S308" s="36"/>
      <c r="T308" s="36"/>
      <c r="U308" s="36"/>
      <c r="V308" s="36"/>
      <c r="W308" s="191"/>
      <c r="X308" s="47"/>
      <c r="Y308" s="47"/>
    </row>
    <row r="309">
      <c r="A309" s="28">
        <f t="shared" si="16"/>
        <v>307</v>
      </c>
      <c r="B309" s="20"/>
      <c r="C309" s="21"/>
      <c r="D309" s="20"/>
      <c r="E309" s="187" t="s">
        <v>637</v>
      </c>
      <c r="F309" s="20"/>
      <c r="G309" s="21"/>
      <c r="H309" s="20"/>
      <c r="I309" s="187" t="s">
        <v>292</v>
      </c>
      <c r="J309" s="31">
        <f>'参照_各種特典'!H73</f>
        <v>1</v>
      </c>
      <c r="K309" s="34" t="s">
        <v>625</v>
      </c>
      <c r="L309" s="28">
        <f>IFERROR(__xludf.DUMMYFUNCTION("""COMPUTED_VALUE"""),540.0)</f>
        <v>540</v>
      </c>
      <c r="M309" s="34">
        <v>7.0</v>
      </c>
      <c r="N309" s="37" t="s">
        <v>639</v>
      </c>
      <c r="O309" s="92" t="s">
        <v>67</v>
      </c>
      <c r="P309" s="92" t="s">
        <v>68</v>
      </c>
      <c r="Q309" s="92" t="s">
        <v>69</v>
      </c>
      <c r="R309" s="171">
        <v>46062.0</v>
      </c>
      <c r="S309" s="36"/>
      <c r="T309" s="36"/>
      <c r="U309" s="36"/>
      <c r="V309" s="36"/>
      <c r="W309" s="191"/>
      <c r="X309" s="47"/>
      <c r="Y309" s="47"/>
    </row>
    <row r="310">
      <c r="A310" s="28">
        <f t="shared" si="16"/>
        <v>308</v>
      </c>
      <c r="B310" s="20"/>
      <c r="C310" s="62" t="s">
        <v>72</v>
      </c>
      <c r="D310" s="21"/>
      <c r="E310" s="187" t="s">
        <v>617</v>
      </c>
      <c r="F310" s="20"/>
      <c r="G310" s="62" t="s">
        <v>74</v>
      </c>
      <c r="H310" s="21"/>
      <c r="I310" s="187" t="s">
        <v>618</v>
      </c>
      <c r="J310" s="31"/>
      <c r="K310" s="34" t="s">
        <v>625</v>
      </c>
      <c r="L310" s="28">
        <f>IFERROR(__xludf.DUMMYFUNCTION("""COMPUTED_VALUE"""),540.0)</f>
        <v>540</v>
      </c>
      <c r="M310" s="28"/>
      <c r="N310" s="37"/>
      <c r="O310" s="92" t="s">
        <v>67</v>
      </c>
      <c r="P310" s="92" t="s">
        <v>68</v>
      </c>
      <c r="Q310" s="92" t="s">
        <v>69</v>
      </c>
      <c r="R310" s="171">
        <v>46062.0</v>
      </c>
      <c r="S310" s="34" t="s">
        <v>67</v>
      </c>
      <c r="T310" s="28" t="s">
        <v>68</v>
      </c>
      <c r="U310" s="28" t="s">
        <v>69</v>
      </c>
      <c r="V310" s="45" t="s">
        <v>76</v>
      </c>
      <c r="W310" s="191"/>
      <c r="X310" s="47"/>
      <c r="Y310" s="47"/>
    </row>
    <row r="311">
      <c r="A311" s="28">
        <f t="shared" si="16"/>
        <v>309</v>
      </c>
      <c r="B311" s="20"/>
      <c r="C311" s="20"/>
      <c r="D311" s="29" t="s">
        <v>626</v>
      </c>
      <c r="E311" s="187" t="s">
        <v>627</v>
      </c>
      <c r="F311" s="20"/>
      <c r="G311" s="20"/>
      <c r="H311" s="29" t="s">
        <v>628</v>
      </c>
      <c r="I311" s="187" t="s">
        <v>640</v>
      </c>
      <c r="J311" s="31"/>
      <c r="K311" s="34" t="s">
        <v>625</v>
      </c>
      <c r="L311" s="28">
        <f>IFERROR(__xludf.DUMMYFUNCTION("""COMPUTED_VALUE"""),540.0)</f>
        <v>540</v>
      </c>
      <c r="M311" s="28"/>
      <c r="N311" s="37"/>
      <c r="O311" s="179"/>
      <c r="P311" s="179"/>
      <c r="Q311" s="179"/>
      <c r="R311" s="180"/>
      <c r="S311" s="34" t="s">
        <v>67</v>
      </c>
      <c r="T311" s="28" t="s">
        <v>68</v>
      </c>
      <c r="U311" s="28" t="s">
        <v>69</v>
      </c>
      <c r="V311" s="45" t="s">
        <v>76</v>
      </c>
      <c r="W311" s="191"/>
      <c r="X311" s="47"/>
      <c r="Y311" s="47"/>
    </row>
    <row r="312">
      <c r="A312" s="28">
        <f t="shared" si="16"/>
        <v>310</v>
      </c>
      <c r="B312" s="21"/>
      <c r="C312" s="21"/>
      <c r="D312" s="21"/>
      <c r="E312" s="187" t="s">
        <v>641</v>
      </c>
      <c r="F312" s="21"/>
      <c r="G312" s="21"/>
      <c r="H312" s="21"/>
      <c r="I312" s="187" t="s">
        <v>642</v>
      </c>
      <c r="J312" s="31" t="s">
        <v>645</v>
      </c>
      <c r="K312" s="34" t="s">
        <v>625</v>
      </c>
      <c r="L312" s="28">
        <f>IFERROR(__xludf.DUMMYFUNCTION("""COMPUTED_VALUE"""),540.0)</f>
        <v>540</v>
      </c>
      <c r="M312" s="28"/>
      <c r="N312" s="37" t="e">
        <v>#VALUE!</v>
      </c>
      <c r="O312" s="179"/>
      <c r="P312" s="179"/>
      <c r="Q312" s="179"/>
      <c r="R312" s="180"/>
      <c r="S312" s="34" t="s">
        <v>67</v>
      </c>
      <c r="T312" s="28" t="s">
        <v>68</v>
      </c>
      <c r="U312" s="28" t="s">
        <v>69</v>
      </c>
      <c r="V312" s="45" t="s">
        <v>76</v>
      </c>
      <c r="W312" s="191"/>
      <c r="X312" s="47"/>
      <c r="Y312" s="47"/>
    </row>
    <row r="313">
      <c r="A313" s="28">
        <f t="shared" si="16"/>
        <v>311</v>
      </c>
      <c r="B313" s="173">
        <v>550.0</v>
      </c>
      <c r="C313" s="96" t="s">
        <v>630</v>
      </c>
      <c r="D313" s="59" t="s">
        <v>620</v>
      </c>
      <c r="E313" s="189" t="s">
        <v>621</v>
      </c>
      <c r="F313" s="173">
        <v>550.0</v>
      </c>
      <c r="G313" s="96" t="s">
        <v>632</v>
      </c>
      <c r="H313" s="59" t="s">
        <v>623</v>
      </c>
      <c r="I313" s="190" t="s">
        <v>635</v>
      </c>
      <c r="J313" s="37" t="str">
        <f>'参照_各種特典'!$F$74</f>
        <v>Mystic Matrimony Bonus Story ～Masamune～</v>
      </c>
      <c r="K313" s="34" t="s">
        <v>625</v>
      </c>
      <c r="L313" s="28">
        <f>IFERROR(__xludf.DUMMYFUNCTION("""COMPUTED_VALUE"""),550.0)</f>
        <v>550</v>
      </c>
      <c r="M313" s="34">
        <v>11.0</v>
      </c>
      <c r="N313" s="37" t="s">
        <v>673</v>
      </c>
      <c r="O313" s="92" t="s">
        <v>67</v>
      </c>
      <c r="P313" s="92" t="s">
        <v>68</v>
      </c>
      <c r="Q313" s="92" t="s">
        <v>69</v>
      </c>
      <c r="R313" s="171">
        <v>46062.0</v>
      </c>
      <c r="S313" s="36"/>
      <c r="T313" s="36"/>
      <c r="U313" s="36"/>
      <c r="V313" s="36"/>
      <c r="W313" s="191"/>
      <c r="X313" s="47"/>
      <c r="Y313" s="47"/>
    </row>
    <row r="314">
      <c r="A314" s="28">
        <f t="shared" si="16"/>
        <v>312</v>
      </c>
      <c r="B314" s="20"/>
      <c r="C314" s="62" t="s">
        <v>72</v>
      </c>
      <c r="D314" s="21"/>
      <c r="E314" s="190" t="s">
        <v>617</v>
      </c>
      <c r="F314" s="20"/>
      <c r="G314" s="62" t="s">
        <v>74</v>
      </c>
      <c r="H314" s="21"/>
      <c r="I314" s="190" t="s">
        <v>618</v>
      </c>
      <c r="J314" s="37"/>
      <c r="K314" s="34" t="s">
        <v>625</v>
      </c>
      <c r="L314" s="28">
        <f>IFERROR(__xludf.DUMMYFUNCTION("""COMPUTED_VALUE"""),550.0)</f>
        <v>550</v>
      </c>
      <c r="M314" s="28"/>
      <c r="N314" s="37"/>
      <c r="O314" s="92" t="s">
        <v>67</v>
      </c>
      <c r="P314" s="92" t="s">
        <v>68</v>
      </c>
      <c r="Q314" s="92" t="s">
        <v>69</v>
      </c>
      <c r="R314" s="171">
        <v>46062.0</v>
      </c>
      <c r="S314" s="34" t="s">
        <v>67</v>
      </c>
      <c r="T314" s="28" t="s">
        <v>68</v>
      </c>
      <c r="U314" s="28" t="s">
        <v>69</v>
      </c>
      <c r="V314" s="45" t="s">
        <v>76</v>
      </c>
      <c r="W314" s="191"/>
      <c r="X314" s="47"/>
      <c r="Y314" s="47"/>
    </row>
    <row r="315">
      <c r="A315" s="28">
        <f t="shared" si="16"/>
        <v>313</v>
      </c>
      <c r="B315" s="21"/>
      <c r="C315" s="21"/>
      <c r="D315" s="37" t="s">
        <v>626</v>
      </c>
      <c r="E315" s="190" t="s">
        <v>627</v>
      </c>
      <c r="F315" s="21"/>
      <c r="G315" s="21"/>
      <c r="H315" s="37" t="s">
        <v>628</v>
      </c>
      <c r="I315" s="190" t="s">
        <v>640</v>
      </c>
      <c r="J315" s="37"/>
      <c r="K315" s="34" t="s">
        <v>625</v>
      </c>
      <c r="L315" s="28">
        <f>IFERROR(__xludf.DUMMYFUNCTION("""COMPUTED_VALUE"""),550.0)</f>
        <v>550</v>
      </c>
      <c r="M315" s="28"/>
      <c r="N315" s="37"/>
      <c r="O315" s="179"/>
      <c r="P315" s="179"/>
      <c r="Q315" s="179"/>
      <c r="R315" s="180"/>
      <c r="S315" s="34" t="s">
        <v>67</v>
      </c>
      <c r="T315" s="28" t="s">
        <v>68</v>
      </c>
      <c r="U315" s="28" t="s">
        <v>69</v>
      </c>
      <c r="V315" s="45" t="s">
        <v>76</v>
      </c>
      <c r="W315" s="191"/>
      <c r="X315" s="47"/>
      <c r="Y315" s="47"/>
    </row>
    <row r="316">
      <c r="A316" s="28">
        <f t="shared" si="16"/>
        <v>314</v>
      </c>
      <c r="B316" s="182">
        <v>560.0</v>
      </c>
      <c r="C316" s="91" t="s">
        <v>630</v>
      </c>
      <c r="D316" s="29" t="s">
        <v>620</v>
      </c>
      <c r="E316" s="183" t="s">
        <v>631</v>
      </c>
      <c r="F316" s="182">
        <v>560.0</v>
      </c>
      <c r="G316" s="91" t="s">
        <v>632</v>
      </c>
      <c r="H316" s="29" t="s">
        <v>623</v>
      </c>
      <c r="I316" s="183" t="s">
        <v>633</v>
      </c>
      <c r="J316" s="31" t="str">
        <f>'参照_各種特典'!D75</f>
        <v>Mystic Matrimony◆Collection Bonus</v>
      </c>
      <c r="K316" s="34" t="s">
        <v>625</v>
      </c>
      <c r="L316" s="28">
        <f>IFERROR(__xludf.DUMMYFUNCTION("""COMPUTED_VALUE"""),560.0)</f>
        <v>560</v>
      </c>
      <c r="M316" s="34">
        <v>4.0</v>
      </c>
      <c r="N316" s="37" t="s">
        <v>634</v>
      </c>
      <c r="O316" s="92" t="s">
        <v>67</v>
      </c>
      <c r="P316" s="92" t="s">
        <v>68</v>
      </c>
      <c r="Q316" s="92" t="s">
        <v>69</v>
      </c>
      <c r="R316" s="171">
        <v>46062.0</v>
      </c>
      <c r="S316" s="36"/>
      <c r="T316" s="36"/>
      <c r="U316" s="36"/>
      <c r="V316" s="36"/>
      <c r="W316" s="191"/>
      <c r="X316" s="47"/>
      <c r="Y316" s="47"/>
    </row>
    <row r="317">
      <c r="A317" s="28">
        <f t="shared" si="16"/>
        <v>315</v>
      </c>
      <c r="B317" s="20"/>
      <c r="C317" s="20"/>
      <c r="D317" s="20"/>
      <c r="E317" s="183" t="s">
        <v>621</v>
      </c>
      <c r="F317" s="20"/>
      <c r="G317" s="20"/>
      <c r="H317" s="20"/>
      <c r="I317" s="187" t="s">
        <v>635</v>
      </c>
      <c r="J317" s="31" t="str">
        <f>'参照_各種特典'!F75</f>
        <v>Mystic Matrimony Trophy</v>
      </c>
      <c r="K317" s="34" t="s">
        <v>625</v>
      </c>
      <c r="L317" s="28">
        <f>IFERROR(__xludf.DUMMYFUNCTION("""COMPUTED_VALUE"""),560.0)</f>
        <v>560</v>
      </c>
      <c r="M317" s="34">
        <v>11.0</v>
      </c>
      <c r="N317" s="37" t="s">
        <v>674</v>
      </c>
      <c r="O317" s="92" t="s">
        <v>67</v>
      </c>
      <c r="P317" s="92" t="s">
        <v>68</v>
      </c>
      <c r="Q317" s="92" t="s">
        <v>69</v>
      </c>
      <c r="R317" s="171">
        <v>46062.0</v>
      </c>
      <c r="S317" s="36"/>
      <c r="T317" s="36"/>
      <c r="U317" s="36"/>
      <c r="V317" s="36"/>
      <c r="W317" s="191"/>
      <c r="X317" s="47"/>
      <c r="Y317" s="47"/>
    </row>
    <row r="318">
      <c r="A318" s="28">
        <f t="shared" si="16"/>
        <v>316</v>
      </c>
      <c r="B318" s="20"/>
      <c r="C318" s="21"/>
      <c r="D318" s="20"/>
      <c r="E318" s="187" t="s">
        <v>637</v>
      </c>
      <c r="F318" s="20"/>
      <c r="G318" s="21"/>
      <c r="H318" s="20"/>
      <c r="I318" s="187" t="s">
        <v>292</v>
      </c>
      <c r="J318" s="31">
        <f>'参照_各種特典'!H75</f>
        <v>1</v>
      </c>
      <c r="K318" s="34" t="s">
        <v>625</v>
      </c>
      <c r="L318" s="28">
        <f>IFERROR(__xludf.DUMMYFUNCTION("""COMPUTED_VALUE"""),560.0)</f>
        <v>560</v>
      </c>
      <c r="M318" s="34">
        <v>7.0</v>
      </c>
      <c r="N318" s="37" t="s">
        <v>639</v>
      </c>
      <c r="O318" s="92" t="s">
        <v>67</v>
      </c>
      <c r="P318" s="92" t="s">
        <v>68</v>
      </c>
      <c r="Q318" s="92" t="s">
        <v>69</v>
      </c>
      <c r="R318" s="171">
        <v>46062.0</v>
      </c>
      <c r="S318" s="36"/>
      <c r="T318" s="36"/>
      <c r="U318" s="36"/>
      <c r="V318" s="36"/>
      <c r="W318" s="191"/>
      <c r="X318" s="47"/>
      <c r="Y318" s="47"/>
    </row>
    <row r="319">
      <c r="A319" s="28">
        <f t="shared" si="16"/>
        <v>317</v>
      </c>
      <c r="B319" s="20"/>
      <c r="C319" s="62" t="s">
        <v>72</v>
      </c>
      <c r="D319" s="21"/>
      <c r="E319" s="187" t="s">
        <v>617</v>
      </c>
      <c r="F319" s="20"/>
      <c r="G319" s="62" t="s">
        <v>74</v>
      </c>
      <c r="H319" s="21"/>
      <c r="I319" s="187" t="s">
        <v>618</v>
      </c>
      <c r="J319" s="31"/>
      <c r="K319" s="34" t="s">
        <v>625</v>
      </c>
      <c r="L319" s="28">
        <f>IFERROR(__xludf.DUMMYFUNCTION("""COMPUTED_VALUE"""),560.0)</f>
        <v>560</v>
      </c>
      <c r="M319" s="28"/>
      <c r="N319" s="37"/>
      <c r="O319" s="92" t="s">
        <v>67</v>
      </c>
      <c r="P319" s="92" t="s">
        <v>68</v>
      </c>
      <c r="Q319" s="92" t="s">
        <v>69</v>
      </c>
      <c r="R319" s="171">
        <v>46062.0</v>
      </c>
      <c r="S319" s="34" t="s">
        <v>67</v>
      </c>
      <c r="T319" s="28" t="s">
        <v>68</v>
      </c>
      <c r="U319" s="28" t="s">
        <v>69</v>
      </c>
      <c r="V319" s="45" t="s">
        <v>76</v>
      </c>
      <c r="W319" s="191"/>
      <c r="X319" s="47"/>
      <c r="Y319" s="47"/>
    </row>
    <row r="320">
      <c r="A320" s="28">
        <f t="shared" si="16"/>
        <v>318</v>
      </c>
      <c r="B320" s="20"/>
      <c r="C320" s="20"/>
      <c r="D320" s="29" t="s">
        <v>626</v>
      </c>
      <c r="E320" s="187" t="s">
        <v>627</v>
      </c>
      <c r="F320" s="20"/>
      <c r="G320" s="20"/>
      <c r="H320" s="29" t="s">
        <v>628</v>
      </c>
      <c r="I320" s="187" t="s">
        <v>640</v>
      </c>
      <c r="J320" s="31"/>
      <c r="K320" s="34" t="s">
        <v>625</v>
      </c>
      <c r="L320" s="28">
        <f>IFERROR(__xludf.DUMMYFUNCTION("""COMPUTED_VALUE"""),560.0)</f>
        <v>560</v>
      </c>
      <c r="M320" s="28"/>
      <c r="N320" s="37"/>
      <c r="O320" s="179"/>
      <c r="P320" s="179"/>
      <c r="Q320" s="179"/>
      <c r="R320" s="180"/>
      <c r="S320" s="34" t="s">
        <v>67</v>
      </c>
      <c r="T320" s="28" t="s">
        <v>68</v>
      </c>
      <c r="U320" s="28" t="s">
        <v>69</v>
      </c>
      <c r="V320" s="45" t="s">
        <v>76</v>
      </c>
      <c r="W320" s="191"/>
      <c r="X320" s="47"/>
      <c r="Y320" s="47"/>
    </row>
    <row r="321">
      <c r="A321" s="28">
        <f t="shared" si="16"/>
        <v>319</v>
      </c>
      <c r="B321" s="20"/>
      <c r="C321" s="20"/>
      <c r="D321" s="20"/>
      <c r="E321" s="187" t="s">
        <v>641</v>
      </c>
      <c r="F321" s="20"/>
      <c r="G321" s="20"/>
      <c r="H321" s="20"/>
      <c r="I321" s="187" t="s">
        <v>642</v>
      </c>
      <c r="J321" s="31" t="s">
        <v>645</v>
      </c>
      <c r="K321" s="34" t="s">
        <v>625</v>
      </c>
      <c r="L321" s="28">
        <f>IFERROR(__xludf.DUMMYFUNCTION("""COMPUTED_VALUE"""),560.0)</f>
        <v>560</v>
      </c>
      <c r="M321" s="28"/>
      <c r="N321" s="37" t="e">
        <v>#VALUE!</v>
      </c>
      <c r="O321" s="179"/>
      <c r="P321" s="179"/>
      <c r="Q321" s="179"/>
      <c r="R321" s="180"/>
      <c r="S321" s="34" t="s">
        <v>67</v>
      </c>
      <c r="T321" s="28" t="s">
        <v>68</v>
      </c>
      <c r="U321" s="28" t="s">
        <v>69</v>
      </c>
      <c r="V321" s="45" t="s">
        <v>76</v>
      </c>
      <c r="W321" s="191"/>
      <c r="X321" s="47"/>
      <c r="Y321" s="47"/>
    </row>
    <row r="322">
      <c r="A322" s="28">
        <f t="shared" si="16"/>
        <v>320</v>
      </c>
      <c r="B322" s="21"/>
      <c r="C322" s="21"/>
      <c r="D322" s="21"/>
      <c r="E322" s="187" t="s">
        <v>627</v>
      </c>
      <c r="F322" s="21"/>
      <c r="G322" s="21"/>
      <c r="H322" s="21"/>
      <c r="I322" s="187" t="s">
        <v>640</v>
      </c>
      <c r="J322" s="31" t="str">
        <f>'参照_各種特典'!F18</f>
        <v>The Forest Where Spirits Dwell</v>
      </c>
      <c r="K322" s="34" t="s">
        <v>625</v>
      </c>
      <c r="L322" s="28">
        <f>IFERROR(__xludf.DUMMYFUNCTION("""COMPUTED_VALUE"""),560.0)</f>
        <v>560</v>
      </c>
      <c r="M322" s="28"/>
      <c r="N322" s="37" t="e">
        <v>#VALUE!</v>
      </c>
      <c r="O322" s="179"/>
      <c r="P322" s="179"/>
      <c r="Q322" s="179"/>
      <c r="R322" s="180"/>
      <c r="S322" s="34" t="s">
        <v>67</v>
      </c>
      <c r="T322" s="28" t="s">
        <v>68</v>
      </c>
      <c r="U322" s="28" t="s">
        <v>69</v>
      </c>
      <c r="V322" s="45" t="s">
        <v>76</v>
      </c>
      <c r="W322" s="191"/>
      <c r="X322" s="47"/>
      <c r="Y322" s="47"/>
    </row>
    <row r="323">
      <c r="A323" s="28">
        <f t="shared" si="16"/>
        <v>321</v>
      </c>
      <c r="B323" s="173">
        <v>570.0</v>
      </c>
      <c r="C323" s="62" t="s">
        <v>72</v>
      </c>
      <c r="D323" s="59" t="s">
        <v>675</v>
      </c>
      <c r="E323" s="190" t="s">
        <v>627</v>
      </c>
      <c r="F323" s="173">
        <v>570.0</v>
      </c>
      <c r="G323" s="62" t="s">
        <v>74</v>
      </c>
      <c r="H323" s="60" t="s">
        <v>676</v>
      </c>
      <c r="I323" s="190" t="s">
        <v>640</v>
      </c>
      <c r="J323" s="59" t="s">
        <v>677</v>
      </c>
      <c r="K323" s="28"/>
      <c r="L323" s="28">
        <f>IFERROR(__xludf.DUMMYFUNCTION("""COMPUTED_VALUE"""),570.0)</f>
        <v>570</v>
      </c>
      <c r="M323" s="28"/>
      <c r="N323" s="37" t="e">
        <v>#VALUE!</v>
      </c>
      <c r="O323" s="193"/>
      <c r="P323" s="193"/>
      <c r="Q323" s="193"/>
      <c r="R323" s="194"/>
      <c r="S323" s="34" t="s">
        <v>67</v>
      </c>
      <c r="T323" s="28" t="s">
        <v>68</v>
      </c>
      <c r="U323" s="28" t="s">
        <v>69</v>
      </c>
      <c r="V323" s="28" t="s">
        <v>76</v>
      </c>
      <c r="W323" s="191"/>
      <c r="X323" s="47"/>
      <c r="Y323" s="47"/>
    </row>
    <row r="324">
      <c r="A324" s="28">
        <f t="shared" si="16"/>
        <v>322</v>
      </c>
      <c r="B324" s="21"/>
      <c r="C324" s="20"/>
      <c r="D324" s="20"/>
      <c r="E324" s="190" t="s">
        <v>641</v>
      </c>
      <c r="F324" s="21"/>
      <c r="G324" s="20"/>
      <c r="H324" s="20"/>
      <c r="I324" s="195" t="s">
        <v>642</v>
      </c>
      <c r="J324" s="20"/>
      <c r="K324" s="28"/>
      <c r="L324" s="28">
        <f>IFERROR(__xludf.DUMMYFUNCTION("""COMPUTED_VALUE"""),570.0)</f>
        <v>570</v>
      </c>
      <c r="M324" s="28"/>
      <c r="N324" s="37"/>
      <c r="O324" s="193"/>
      <c r="P324" s="193"/>
      <c r="Q324" s="193"/>
      <c r="R324" s="194"/>
      <c r="S324" s="34" t="s">
        <v>67</v>
      </c>
      <c r="T324" s="28" t="s">
        <v>68</v>
      </c>
      <c r="U324" s="28" t="s">
        <v>69</v>
      </c>
      <c r="V324" s="28" t="s">
        <v>76</v>
      </c>
      <c r="W324" s="191"/>
      <c r="X324" s="47"/>
      <c r="Y324" s="47"/>
    </row>
    <row r="325">
      <c r="A325" s="28">
        <f t="shared" si="16"/>
        <v>323</v>
      </c>
      <c r="B325" s="173">
        <v>580.0</v>
      </c>
      <c r="C325" s="20"/>
      <c r="D325" s="20"/>
      <c r="E325" s="190" t="s">
        <v>627</v>
      </c>
      <c r="F325" s="173">
        <v>580.0</v>
      </c>
      <c r="G325" s="20"/>
      <c r="H325" s="20"/>
      <c r="I325" s="190" t="s">
        <v>640</v>
      </c>
      <c r="J325" s="20"/>
      <c r="K325" s="28"/>
      <c r="L325" s="28">
        <f>IFERROR(__xludf.DUMMYFUNCTION("""COMPUTED_VALUE"""),580.0)</f>
        <v>580</v>
      </c>
      <c r="M325" s="28"/>
      <c r="N325" s="37"/>
      <c r="O325" s="193"/>
      <c r="P325" s="193"/>
      <c r="Q325" s="193"/>
      <c r="R325" s="194"/>
      <c r="S325" s="34" t="s">
        <v>67</v>
      </c>
      <c r="T325" s="28" t="s">
        <v>68</v>
      </c>
      <c r="U325" s="28" t="s">
        <v>69</v>
      </c>
      <c r="V325" s="28" t="s">
        <v>76</v>
      </c>
      <c r="W325" s="191"/>
      <c r="X325" s="47"/>
      <c r="Y325" s="47"/>
    </row>
    <row r="326">
      <c r="A326" s="173">
        <f t="shared" si="16"/>
        <v>324</v>
      </c>
      <c r="B326" s="21"/>
      <c r="C326" s="21"/>
      <c r="D326" s="21"/>
      <c r="E326" s="196" t="s">
        <v>641</v>
      </c>
      <c r="F326" s="21"/>
      <c r="G326" s="21"/>
      <c r="H326" s="21"/>
      <c r="I326" s="196" t="s">
        <v>642</v>
      </c>
      <c r="J326" s="21"/>
      <c r="K326" s="173"/>
      <c r="L326" s="173">
        <f>IFERROR(__xludf.DUMMYFUNCTION("""COMPUTED_VALUE"""),580.0)</f>
        <v>580</v>
      </c>
      <c r="M326" s="173"/>
      <c r="N326" s="59"/>
      <c r="O326" s="197"/>
      <c r="P326" s="197"/>
      <c r="Q326" s="197"/>
      <c r="R326" s="198"/>
      <c r="S326" s="34" t="s">
        <v>67</v>
      </c>
      <c r="T326" s="28" t="s">
        <v>68</v>
      </c>
      <c r="U326" s="28" t="s">
        <v>69</v>
      </c>
      <c r="V326" s="28" t="s">
        <v>76</v>
      </c>
      <c r="W326" s="199"/>
      <c r="X326" s="48"/>
      <c r="Y326" s="48"/>
    </row>
    <row r="327">
      <c r="A327" s="200"/>
      <c r="B327" s="201"/>
      <c r="C327" s="202"/>
      <c r="D327" s="203"/>
      <c r="E327" s="204"/>
      <c r="F327" s="201"/>
      <c r="G327" s="202"/>
      <c r="H327" s="203"/>
      <c r="I327" s="205"/>
      <c r="J327" s="203"/>
      <c r="K327" s="201"/>
      <c r="L327" s="201"/>
      <c r="M327" s="206"/>
      <c r="N327" s="203"/>
      <c r="O327" s="207"/>
      <c r="P327" s="207"/>
      <c r="Q327" s="207"/>
      <c r="R327" s="208"/>
      <c r="S327" s="209"/>
      <c r="T327" s="209"/>
      <c r="U327" s="209"/>
      <c r="V327" s="209"/>
      <c r="W327" s="202"/>
      <c r="X327" s="210"/>
      <c r="Y327" s="211"/>
    </row>
    <row r="328">
      <c r="A328" s="212">
        <f t="shared" ref="A328:A393" si="17">ROW()-2</f>
        <v>326</v>
      </c>
      <c r="B328" s="213">
        <f>'参照_各種特典'!$K$82</f>
        <v>600</v>
      </c>
      <c r="C328" s="214" t="s">
        <v>288</v>
      </c>
      <c r="D328" s="215" t="s">
        <v>183</v>
      </c>
      <c r="E328" s="216" t="s">
        <v>621</v>
      </c>
      <c r="F328" s="213">
        <f>'参照_各種特典'!$K$82</f>
        <v>600</v>
      </c>
      <c r="G328" s="217" t="s">
        <v>288</v>
      </c>
      <c r="H328" s="215" t="s">
        <v>678</v>
      </c>
      <c r="I328" s="218" t="s">
        <v>635</v>
      </c>
      <c r="J328" s="219" t="str">
        <f>'参照_各種特典'!$F$82</f>
        <v>Mystic Matrimony ~Yoshimoto~</v>
      </c>
      <c r="K328" s="220" t="s">
        <v>679</v>
      </c>
      <c r="L328" s="220">
        <v>3780.0</v>
      </c>
      <c r="M328" s="220">
        <v>2.0</v>
      </c>
      <c r="N328" s="221" t="str">
        <f t="array" ref="N328">VLOOKUP(L328,INDIRECT(K328),M328,0)</f>
        <v>Mystic Matrimony ~Yoshimoto~</v>
      </c>
      <c r="O328" s="92" t="s">
        <v>67</v>
      </c>
      <c r="P328" s="92" t="s">
        <v>68</v>
      </c>
      <c r="Q328" s="92" t="s">
        <v>69</v>
      </c>
      <c r="R328" s="171">
        <v>46065.0</v>
      </c>
      <c r="S328" s="222"/>
      <c r="T328" s="222"/>
      <c r="U328" s="222"/>
      <c r="V328" s="222"/>
      <c r="W328" s="223"/>
      <c r="X328" s="224" t="s">
        <v>680</v>
      </c>
      <c r="Y328" s="225"/>
    </row>
    <row r="329">
      <c r="A329" s="28">
        <f t="shared" si="17"/>
        <v>327</v>
      </c>
      <c r="B329" s="20"/>
      <c r="C329" s="21"/>
      <c r="D329" s="21"/>
      <c r="E329" s="183" t="s">
        <v>617</v>
      </c>
      <c r="F329" s="20"/>
      <c r="G329" s="21"/>
      <c r="H329" s="21"/>
      <c r="I329" s="187" t="s">
        <v>618</v>
      </c>
      <c r="J329" s="31"/>
      <c r="K329" s="28"/>
      <c r="L329" s="28"/>
      <c r="M329" s="28"/>
      <c r="N329" s="37"/>
      <c r="O329" s="226" t="s">
        <v>67</v>
      </c>
      <c r="P329" s="226" t="s">
        <v>68</v>
      </c>
      <c r="Q329" s="226" t="s">
        <v>69</v>
      </c>
      <c r="R329" s="227">
        <v>46064.0</v>
      </c>
      <c r="S329" s="228"/>
      <c r="T329" s="228"/>
      <c r="U329" s="228"/>
      <c r="V329" s="228"/>
      <c r="W329" s="191"/>
      <c r="X329" s="47"/>
      <c r="Y329" s="47"/>
    </row>
    <row r="330">
      <c r="A330" s="28">
        <f t="shared" si="17"/>
        <v>328</v>
      </c>
      <c r="B330" s="21"/>
      <c r="C330" s="73" t="s">
        <v>72</v>
      </c>
      <c r="D330" s="31" t="s">
        <v>626</v>
      </c>
      <c r="E330" s="183" t="s">
        <v>627</v>
      </c>
      <c r="F330" s="21"/>
      <c r="G330" s="73" t="s">
        <v>74</v>
      </c>
      <c r="H330" s="31" t="s">
        <v>628</v>
      </c>
      <c r="I330" s="187" t="s">
        <v>640</v>
      </c>
      <c r="J330" s="31"/>
      <c r="K330" s="28"/>
      <c r="L330" s="28"/>
      <c r="M330" s="28"/>
      <c r="N330" s="37"/>
      <c r="O330" s="193"/>
      <c r="P330" s="193"/>
      <c r="Q330" s="193"/>
      <c r="R330" s="194"/>
      <c r="S330" s="34" t="s">
        <v>67</v>
      </c>
      <c r="T330" s="28" t="s">
        <v>68</v>
      </c>
      <c r="U330" s="28" t="s">
        <v>69</v>
      </c>
      <c r="V330" s="28" t="s">
        <v>76</v>
      </c>
      <c r="W330" s="191"/>
      <c r="X330" s="47"/>
      <c r="Y330" s="47"/>
    </row>
    <row r="331">
      <c r="A331" s="28">
        <f t="shared" si="17"/>
        <v>329</v>
      </c>
      <c r="B331" s="173">
        <f>'参照_各種特典'!$K$83</f>
        <v>600</v>
      </c>
      <c r="C331" s="91" t="s">
        <v>681</v>
      </c>
      <c r="D331" s="59" t="s">
        <v>183</v>
      </c>
      <c r="E331" s="189" t="s">
        <v>631</v>
      </c>
      <c r="F331" s="173">
        <f>'参照_各種特典'!$K$83</f>
        <v>600</v>
      </c>
      <c r="G331" s="229" t="s">
        <v>682</v>
      </c>
      <c r="H331" s="59" t="s">
        <v>678</v>
      </c>
      <c r="I331" s="189" t="s">
        <v>633</v>
      </c>
      <c r="J331" s="37" t="str">
        <f>'参照_各種特典'!D83</f>
        <v>Mystic Matrimony Special Collection Bonus</v>
      </c>
      <c r="K331" s="230" t="s">
        <v>683</v>
      </c>
      <c r="L331" s="28">
        <v>171906.0</v>
      </c>
      <c r="M331" s="34">
        <v>4.0</v>
      </c>
      <c r="N331" s="37" t="str">
        <f t="shared" ref="N331:N332" si="18">VLOOKUP(L331,INDIRECT(K331),M331)</f>
        <v>Mystic Matrimony Special Collection Bonus</v>
      </c>
      <c r="O331" s="92" t="s">
        <v>67</v>
      </c>
      <c r="P331" s="92" t="s">
        <v>68</v>
      </c>
      <c r="Q331" s="92" t="s">
        <v>69</v>
      </c>
      <c r="R331" s="171">
        <v>46063.0</v>
      </c>
      <c r="S331" s="228"/>
      <c r="T331" s="228"/>
      <c r="U331" s="228"/>
      <c r="V331" s="228"/>
      <c r="W331" s="191"/>
      <c r="X331" s="47"/>
      <c r="Y331" s="47"/>
    </row>
    <row r="332">
      <c r="A332" s="28">
        <f t="shared" si="17"/>
        <v>330</v>
      </c>
      <c r="B332" s="20"/>
      <c r="C332" s="20"/>
      <c r="D332" s="20"/>
      <c r="E332" s="189" t="s">
        <v>621</v>
      </c>
      <c r="F332" s="20"/>
      <c r="G332" s="20"/>
      <c r="H332" s="20"/>
      <c r="I332" s="190" t="s">
        <v>635</v>
      </c>
      <c r="J332" s="37" t="str">
        <f>'参照_各種特典'!F83</f>
        <v>Mystic Matrimony Yoshimoto</v>
      </c>
      <c r="K332" s="230" t="s">
        <v>683</v>
      </c>
      <c r="L332" s="28">
        <v>171906.0</v>
      </c>
      <c r="M332" s="34">
        <v>2.0</v>
      </c>
      <c r="N332" s="37" t="str">
        <f t="shared" si="18"/>
        <v>Mystic Matrimony Yoshimoto</v>
      </c>
      <c r="O332" s="92" t="s">
        <v>67</v>
      </c>
      <c r="P332" s="92" t="s">
        <v>68</v>
      </c>
      <c r="Q332" s="92" t="s">
        <v>69</v>
      </c>
      <c r="R332" s="171">
        <v>46063.0</v>
      </c>
      <c r="S332" s="228"/>
      <c r="T332" s="228"/>
      <c r="U332" s="228"/>
      <c r="V332" s="228"/>
      <c r="W332" s="191"/>
      <c r="X332" s="47"/>
      <c r="Y332" s="47"/>
    </row>
    <row r="333">
      <c r="A333" s="28">
        <f t="shared" si="17"/>
        <v>331</v>
      </c>
      <c r="B333" s="20"/>
      <c r="C333" s="231"/>
      <c r="D333" s="20"/>
      <c r="E333" s="190" t="s">
        <v>637</v>
      </c>
      <c r="F333" s="20"/>
      <c r="G333" s="231"/>
      <c r="H333" s="20"/>
      <c r="I333" s="190" t="s">
        <v>292</v>
      </c>
      <c r="J333" s="37">
        <f>'参照_各種特典'!H83</f>
        <v>1</v>
      </c>
      <c r="K333" s="230" t="s">
        <v>683</v>
      </c>
      <c r="L333" s="28">
        <v>171906.0</v>
      </c>
      <c r="M333" s="34">
        <v>3.0</v>
      </c>
      <c r="N333" s="37" t="str">
        <f>IFERROR(__xludf.DUMMYFUNCTION("TO_TEXT( VLOOKUP(L333,INDIRECT(K333),M333))"),"1")</f>
        <v>1</v>
      </c>
      <c r="O333" s="92" t="s">
        <v>67</v>
      </c>
      <c r="P333" s="92" t="s">
        <v>68</v>
      </c>
      <c r="Q333" s="92" t="s">
        <v>69</v>
      </c>
      <c r="R333" s="171">
        <v>46063.0</v>
      </c>
      <c r="S333" s="228"/>
      <c r="T333" s="228"/>
      <c r="U333" s="228"/>
      <c r="V333" s="228"/>
      <c r="W333" s="191"/>
      <c r="X333" s="47"/>
      <c r="Y333" s="47"/>
    </row>
    <row r="334">
      <c r="A334" s="28">
        <f t="shared" si="17"/>
        <v>332</v>
      </c>
      <c r="B334" s="20"/>
      <c r="C334" s="62" t="s">
        <v>72</v>
      </c>
      <c r="D334" s="21"/>
      <c r="E334" s="190" t="s">
        <v>617</v>
      </c>
      <c r="F334" s="20"/>
      <c r="G334" s="62" t="s">
        <v>74</v>
      </c>
      <c r="H334" s="21"/>
      <c r="I334" s="190" t="s">
        <v>618</v>
      </c>
      <c r="J334" s="37"/>
      <c r="K334" s="28"/>
      <c r="L334" s="28"/>
      <c r="M334" s="28"/>
      <c r="N334" s="37"/>
      <c r="O334" s="193"/>
      <c r="P334" s="193"/>
      <c r="Q334" s="193"/>
      <c r="R334" s="194"/>
      <c r="S334" s="34" t="s">
        <v>67</v>
      </c>
      <c r="T334" s="28" t="s">
        <v>68</v>
      </c>
      <c r="U334" s="28" t="s">
        <v>69</v>
      </c>
      <c r="V334" s="28" t="s">
        <v>76</v>
      </c>
      <c r="W334" s="191"/>
      <c r="X334" s="47"/>
      <c r="Y334" s="47"/>
    </row>
    <row r="335">
      <c r="A335" s="28">
        <f t="shared" si="17"/>
        <v>333</v>
      </c>
      <c r="B335" s="21"/>
      <c r="C335" s="21"/>
      <c r="D335" s="37" t="s">
        <v>626</v>
      </c>
      <c r="E335" s="190" t="s">
        <v>627</v>
      </c>
      <c r="F335" s="21"/>
      <c r="G335" s="21"/>
      <c r="H335" s="37" t="s">
        <v>628</v>
      </c>
      <c r="I335" s="190" t="s">
        <v>640</v>
      </c>
      <c r="J335" s="37"/>
      <c r="K335" s="28"/>
      <c r="L335" s="28"/>
      <c r="M335" s="28"/>
      <c r="N335" s="37"/>
      <c r="O335" s="193"/>
      <c r="P335" s="193"/>
      <c r="Q335" s="193"/>
      <c r="R335" s="194"/>
      <c r="S335" s="34" t="s">
        <v>67</v>
      </c>
      <c r="T335" s="28" t="s">
        <v>68</v>
      </c>
      <c r="U335" s="28" t="s">
        <v>69</v>
      </c>
      <c r="V335" s="28" t="s">
        <v>76</v>
      </c>
      <c r="W335" s="191"/>
      <c r="X335" s="47"/>
      <c r="Y335" s="47"/>
    </row>
    <row r="336" ht="31.5" customHeight="1">
      <c r="A336" s="28">
        <f t="shared" si="17"/>
        <v>334</v>
      </c>
      <c r="B336" s="182">
        <f>'参照_各種特典'!$K$84</f>
        <v>650</v>
      </c>
      <c r="C336" s="232" t="s">
        <v>681</v>
      </c>
      <c r="D336" s="29" t="s">
        <v>183</v>
      </c>
      <c r="E336" s="183" t="s">
        <v>621</v>
      </c>
      <c r="F336" s="182">
        <f>'参照_各種特典'!$K$84</f>
        <v>650</v>
      </c>
      <c r="G336" s="229" t="s">
        <v>682</v>
      </c>
      <c r="H336" s="29" t="s">
        <v>678</v>
      </c>
      <c r="I336" s="187" t="s">
        <v>635</v>
      </c>
      <c r="J336" s="31" t="str">
        <f>'参照_各種特典'!$F$84</f>
        <v>Mystic Matrimony After Story ～Yoshimoto～</v>
      </c>
      <c r="K336" s="220" t="s">
        <v>684</v>
      </c>
      <c r="L336" s="220">
        <v>6325.0</v>
      </c>
      <c r="M336" s="220">
        <v>2.0</v>
      </c>
      <c r="N336" s="233" t="str">
        <f t="array" ref="N336">VLOOKUP(L336,INDIRECT(K336),M336,0)</f>
        <v>Mystic Matrimony After Story ～Yoshimoto～</v>
      </c>
      <c r="O336" s="226" t="s">
        <v>67</v>
      </c>
      <c r="P336" s="226" t="s">
        <v>68</v>
      </c>
      <c r="Q336" s="226" t="s">
        <v>69</v>
      </c>
      <c r="R336" s="227">
        <v>46064.0</v>
      </c>
      <c r="S336" s="228"/>
      <c r="T336" s="228"/>
      <c r="U336" s="228"/>
      <c r="V336" s="228"/>
      <c r="W336" s="191"/>
      <c r="X336" s="47"/>
      <c r="Y336" s="47"/>
    </row>
    <row r="337" ht="31.5" customHeight="1">
      <c r="A337" s="28">
        <f t="shared" si="17"/>
        <v>335</v>
      </c>
      <c r="B337" s="20"/>
      <c r="C337" s="21"/>
      <c r="D337" s="21"/>
      <c r="E337" s="187" t="s">
        <v>617</v>
      </c>
      <c r="F337" s="20"/>
      <c r="G337" s="231"/>
      <c r="H337" s="21"/>
      <c r="I337" s="187" t="s">
        <v>618</v>
      </c>
      <c r="J337" s="31"/>
      <c r="K337" s="234"/>
      <c r="L337" s="28"/>
      <c r="M337" s="28"/>
      <c r="N337" s="235"/>
      <c r="O337" s="226" t="s">
        <v>67</v>
      </c>
      <c r="P337" s="226" t="s">
        <v>68</v>
      </c>
      <c r="Q337" s="226" t="s">
        <v>69</v>
      </c>
      <c r="R337" s="227">
        <v>46064.0</v>
      </c>
      <c r="S337" s="228"/>
      <c r="T337" s="228"/>
      <c r="U337" s="228"/>
      <c r="V337" s="228"/>
      <c r="W337" s="191"/>
      <c r="X337" s="47"/>
      <c r="Y337" s="47"/>
    </row>
    <row r="338" ht="31.5" customHeight="1">
      <c r="A338" s="28">
        <f t="shared" si="17"/>
        <v>336</v>
      </c>
      <c r="B338" s="21"/>
      <c r="C338" s="73" t="s">
        <v>72</v>
      </c>
      <c r="D338" s="31" t="s">
        <v>626</v>
      </c>
      <c r="E338" s="187" t="s">
        <v>627</v>
      </c>
      <c r="F338" s="21"/>
      <c r="G338" s="73" t="s">
        <v>74</v>
      </c>
      <c r="H338" s="31" t="s">
        <v>628</v>
      </c>
      <c r="I338" s="187" t="s">
        <v>640</v>
      </c>
      <c r="J338" s="31"/>
      <c r="K338" s="28"/>
      <c r="L338" s="28"/>
      <c r="M338" s="28"/>
      <c r="N338" s="37"/>
      <c r="O338" s="193"/>
      <c r="P338" s="193"/>
      <c r="Q338" s="193"/>
      <c r="R338" s="194"/>
      <c r="S338" s="34" t="s">
        <v>67</v>
      </c>
      <c r="T338" s="28" t="s">
        <v>68</v>
      </c>
      <c r="U338" s="28" t="s">
        <v>69</v>
      </c>
      <c r="V338" s="28" t="s">
        <v>76</v>
      </c>
      <c r="W338" s="191"/>
      <c r="X338" s="47"/>
      <c r="Y338" s="47"/>
    </row>
    <row r="339" ht="31.5" customHeight="1">
      <c r="A339" s="28">
        <f t="shared" si="17"/>
        <v>337</v>
      </c>
      <c r="B339" s="173">
        <f>'参照_各種特典'!$K$85</f>
        <v>700</v>
      </c>
      <c r="C339" s="236" t="s">
        <v>288</v>
      </c>
      <c r="D339" s="59" t="s">
        <v>183</v>
      </c>
      <c r="E339" s="189" t="s">
        <v>621</v>
      </c>
      <c r="F339" s="173">
        <f>'参照_各種特典'!$K$85</f>
        <v>700</v>
      </c>
      <c r="G339" s="91" t="s">
        <v>288</v>
      </c>
      <c r="H339" s="59" t="s">
        <v>678</v>
      </c>
      <c r="I339" s="190" t="s">
        <v>635</v>
      </c>
      <c r="J339" s="37" t="str">
        <f>'参照_各種特典'!$F$85</f>
        <v>Mystic Matrimony ~Motonari~</v>
      </c>
      <c r="K339" s="220" t="s">
        <v>679</v>
      </c>
      <c r="L339" s="220">
        <v>3779.0</v>
      </c>
      <c r="M339" s="220">
        <v>2.0</v>
      </c>
      <c r="N339" s="221" t="str">
        <f t="array" ref="N339">VLOOKUP(L339,INDIRECT(K339),M339,0)</f>
        <v>Mystic Matrimony ~Motonari~</v>
      </c>
      <c r="O339" s="92" t="s">
        <v>67</v>
      </c>
      <c r="P339" s="92" t="s">
        <v>68</v>
      </c>
      <c r="Q339" s="92" t="s">
        <v>69</v>
      </c>
      <c r="R339" s="171">
        <v>46065.0</v>
      </c>
      <c r="S339" s="228"/>
      <c r="T339" s="228"/>
      <c r="U339" s="228"/>
      <c r="V339" s="228"/>
      <c r="W339" s="191"/>
      <c r="X339" s="224" t="s">
        <v>680</v>
      </c>
      <c r="Y339" s="47"/>
    </row>
    <row r="340" ht="31.5" customHeight="1">
      <c r="A340" s="28">
        <f t="shared" si="17"/>
        <v>338</v>
      </c>
      <c r="B340" s="20"/>
      <c r="C340" s="21"/>
      <c r="D340" s="21"/>
      <c r="E340" s="190" t="s">
        <v>617</v>
      </c>
      <c r="F340" s="20"/>
      <c r="G340" s="21"/>
      <c r="H340" s="21"/>
      <c r="I340" s="190" t="s">
        <v>618</v>
      </c>
      <c r="J340" s="37"/>
      <c r="K340" s="234"/>
      <c r="L340" s="28"/>
      <c r="M340" s="28"/>
      <c r="N340" s="37"/>
      <c r="O340" s="226" t="s">
        <v>67</v>
      </c>
      <c r="P340" s="226" t="s">
        <v>68</v>
      </c>
      <c r="Q340" s="226" t="s">
        <v>69</v>
      </c>
      <c r="R340" s="227">
        <v>46064.0</v>
      </c>
      <c r="S340" s="228"/>
      <c r="T340" s="228"/>
      <c r="U340" s="228"/>
      <c r="V340" s="228"/>
      <c r="W340" s="191"/>
      <c r="X340" s="47"/>
      <c r="Y340" s="47"/>
    </row>
    <row r="341" ht="31.5" customHeight="1">
      <c r="A341" s="28">
        <f t="shared" si="17"/>
        <v>339</v>
      </c>
      <c r="B341" s="21"/>
      <c r="C341" s="73" t="s">
        <v>72</v>
      </c>
      <c r="D341" s="37" t="s">
        <v>626</v>
      </c>
      <c r="E341" s="190" t="s">
        <v>627</v>
      </c>
      <c r="F341" s="21"/>
      <c r="G341" s="73" t="s">
        <v>74</v>
      </c>
      <c r="H341" s="37" t="s">
        <v>628</v>
      </c>
      <c r="I341" s="190" t="s">
        <v>640</v>
      </c>
      <c r="J341" s="37"/>
      <c r="K341" s="28"/>
      <c r="L341" s="28"/>
      <c r="M341" s="28"/>
      <c r="N341" s="37"/>
      <c r="O341" s="193"/>
      <c r="P341" s="193"/>
      <c r="Q341" s="193"/>
      <c r="R341" s="194"/>
      <c r="S341" s="34" t="s">
        <v>67</v>
      </c>
      <c r="T341" s="28" t="s">
        <v>68</v>
      </c>
      <c r="U341" s="28" t="s">
        <v>69</v>
      </c>
      <c r="V341" s="28" t="s">
        <v>76</v>
      </c>
      <c r="W341" s="191"/>
      <c r="X341" s="47"/>
      <c r="Y341" s="47"/>
    </row>
    <row r="342" ht="31.5" customHeight="1">
      <c r="A342" s="28">
        <f t="shared" si="17"/>
        <v>340</v>
      </c>
      <c r="B342" s="182">
        <f>'参照_各種特典'!$K$86</f>
        <v>700</v>
      </c>
      <c r="C342" s="91" t="s">
        <v>681</v>
      </c>
      <c r="D342" s="29" t="s">
        <v>183</v>
      </c>
      <c r="E342" s="183" t="s">
        <v>631</v>
      </c>
      <c r="F342" s="182">
        <f>'参照_各種特典'!$K$86</f>
        <v>700</v>
      </c>
      <c r="G342" s="229" t="s">
        <v>682</v>
      </c>
      <c r="H342" s="29" t="s">
        <v>678</v>
      </c>
      <c r="I342" s="183" t="s">
        <v>633</v>
      </c>
      <c r="J342" s="31" t="str">
        <f>'参照_各種特典'!D86</f>
        <v>Mystic Matrimony Special Collection Bonus</v>
      </c>
      <c r="K342" s="230" t="s">
        <v>683</v>
      </c>
      <c r="L342" s="28">
        <v>171909.0</v>
      </c>
      <c r="M342" s="34">
        <v>4.0</v>
      </c>
      <c r="N342" s="37" t="str">
        <f t="shared" ref="N342:N343" si="19">VLOOKUP(L342,INDIRECT(K342),M342)</f>
        <v>Mystic Matrimony Special Collection Bonus</v>
      </c>
      <c r="O342" s="92" t="s">
        <v>67</v>
      </c>
      <c r="P342" s="92" t="s">
        <v>68</v>
      </c>
      <c r="Q342" s="92" t="s">
        <v>69</v>
      </c>
      <c r="R342" s="171">
        <v>46063.0</v>
      </c>
      <c r="S342" s="228"/>
      <c r="T342" s="228"/>
      <c r="U342" s="228"/>
      <c r="V342" s="228"/>
      <c r="W342" s="191"/>
      <c r="X342" s="47"/>
      <c r="Y342" s="47"/>
    </row>
    <row r="343" ht="31.5" customHeight="1">
      <c r="A343" s="28">
        <f t="shared" si="17"/>
        <v>341</v>
      </c>
      <c r="B343" s="20"/>
      <c r="C343" s="20"/>
      <c r="D343" s="20"/>
      <c r="E343" s="183" t="s">
        <v>621</v>
      </c>
      <c r="F343" s="20"/>
      <c r="G343" s="20"/>
      <c r="H343" s="20"/>
      <c r="I343" s="187" t="s">
        <v>635</v>
      </c>
      <c r="J343" s="31" t="str">
        <f>'参照_各種特典'!F86</f>
        <v>Mystic Matrimony Motonari</v>
      </c>
      <c r="K343" s="230" t="s">
        <v>683</v>
      </c>
      <c r="L343" s="28">
        <v>171909.0</v>
      </c>
      <c r="M343" s="34">
        <v>2.0</v>
      </c>
      <c r="N343" s="37" t="str">
        <f t="shared" si="19"/>
        <v>Mystic Matrimony Motonari</v>
      </c>
      <c r="O343" s="92" t="s">
        <v>67</v>
      </c>
      <c r="P343" s="92" t="s">
        <v>68</v>
      </c>
      <c r="Q343" s="92" t="s">
        <v>69</v>
      </c>
      <c r="R343" s="171">
        <v>46063.0</v>
      </c>
      <c r="S343" s="228"/>
      <c r="T343" s="228"/>
      <c r="U343" s="228"/>
      <c r="V343" s="228"/>
      <c r="W343" s="191"/>
      <c r="X343" s="47"/>
      <c r="Y343" s="47"/>
    </row>
    <row r="344" ht="31.5" customHeight="1">
      <c r="A344" s="28">
        <f t="shared" si="17"/>
        <v>342</v>
      </c>
      <c r="B344" s="20"/>
      <c r="C344" s="231"/>
      <c r="D344" s="20"/>
      <c r="E344" s="187" t="s">
        <v>637</v>
      </c>
      <c r="F344" s="20"/>
      <c r="G344" s="20"/>
      <c r="H344" s="20"/>
      <c r="I344" s="187" t="s">
        <v>292</v>
      </c>
      <c r="J344" s="31">
        <f>'参照_各種特典'!H86</f>
        <v>1</v>
      </c>
      <c r="K344" s="230" t="s">
        <v>683</v>
      </c>
      <c r="L344" s="28">
        <v>171909.0</v>
      </c>
      <c r="M344" s="34">
        <v>3.0</v>
      </c>
      <c r="N344" s="37" t="str">
        <f>IFERROR(__xludf.DUMMYFUNCTION("TO_TEXT( VLOOKUP(L344,INDIRECT(K344),M344))"),"1")</f>
        <v>1</v>
      </c>
      <c r="O344" s="92" t="s">
        <v>67</v>
      </c>
      <c r="P344" s="92" t="s">
        <v>68</v>
      </c>
      <c r="Q344" s="92" t="s">
        <v>69</v>
      </c>
      <c r="R344" s="171">
        <v>46063.0</v>
      </c>
      <c r="S344" s="228"/>
      <c r="T344" s="228"/>
      <c r="U344" s="228"/>
      <c r="V344" s="228"/>
      <c r="W344" s="191"/>
      <c r="X344" s="47"/>
      <c r="Y344" s="47"/>
    </row>
    <row r="345" ht="31.5" customHeight="1">
      <c r="A345" s="28">
        <f t="shared" si="17"/>
        <v>343</v>
      </c>
      <c r="B345" s="20"/>
      <c r="C345" s="62" t="s">
        <v>72</v>
      </c>
      <c r="D345" s="21"/>
      <c r="E345" s="187" t="s">
        <v>617</v>
      </c>
      <c r="F345" s="20"/>
      <c r="G345" s="231"/>
      <c r="H345" s="21"/>
      <c r="I345" s="187" t="s">
        <v>618</v>
      </c>
      <c r="J345" s="31"/>
      <c r="K345" s="28"/>
      <c r="L345" s="28"/>
      <c r="M345" s="28"/>
      <c r="N345" s="37"/>
      <c r="O345" s="226" t="s">
        <v>67</v>
      </c>
      <c r="P345" s="226" t="s">
        <v>68</v>
      </c>
      <c r="Q345" s="226" t="s">
        <v>69</v>
      </c>
      <c r="R345" s="227">
        <v>46064.0</v>
      </c>
      <c r="S345" s="34" t="s">
        <v>67</v>
      </c>
      <c r="T345" s="28" t="s">
        <v>68</v>
      </c>
      <c r="U345" s="28" t="s">
        <v>69</v>
      </c>
      <c r="V345" s="28" t="s">
        <v>76</v>
      </c>
      <c r="W345" s="191"/>
      <c r="X345" s="47"/>
      <c r="Y345" s="47"/>
    </row>
    <row r="346" ht="31.5" customHeight="1">
      <c r="A346" s="28">
        <f t="shared" si="17"/>
        <v>344</v>
      </c>
      <c r="B346" s="21"/>
      <c r="C346" s="21"/>
      <c r="D346" s="31" t="s">
        <v>626</v>
      </c>
      <c r="E346" s="187" t="s">
        <v>627</v>
      </c>
      <c r="F346" s="21"/>
      <c r="G346" s="73" t="s">
        <v>74</v>
      </c>
      <c r="H346" s="31" t="s">
        <v>628</v>
      </c>
      <c r="I346" s="187" t="s">
        <v>640</v>
      </c>
      <c r="J346" s="31"/>
      <c r="K346" s="28"/>
      <c r="L346" s="28"/>
      <c r="M346" s="28"/>
      <c r="N346" s="37"/>
      <c r="O346" s="193"/>
      <c r="P346" s="193"/>
      <c r="Q346" s="193"/>
      <c r="R346" s="194"/>
      <c r="S346" s="34" t="s">
        <v>67</v>
      </c>
      <c r="T346" s="28" t="s">
        <v>68</v>
      </c>
      <c r="U346" s="28" t="s">
        <v>69</v>
      </c>
      <c r="V346" s="28" t="s">
        <v>76</v>
      </c>
      <c r="W346" s="191"/>
      <c r="X346" s="47"/>
      <c r="Y346" s="47"/>
    </row>
    <row r="347" ht="31.5" customHeight="1">
      <c r="A347" s="28">
        <f t="shared" si="17"/>
        <v>345</v>
      </c>
      <c r="B347" s="173">
        <f>'参照_各種特典'!$K$87</f>
        <v>750</v>
      </c>
      <c r="C347" s="91" t="s">
        <v>681</v>
      </c>
      <c r="D347" s="59" t="s">
        <v>183</v>
      </c>
      <c r="E347" s="189" t="s">
        <v>621</v>
      </c>
      <c r="F347" s="173">
        <f>'参照_各種特典'!$K$87</f>
        <v>750</v>
      </c>
      <c r="G347" s="229" t="s">
        <v>682</v>
      </c>
      <c r="H347" s="59" t="s">
        <v>678</v>
      </c>
      <c r="I347" s="190" t="s">
        <v>635</v>
      </c>
      <c r="J347" s="37" t="str">
        <f>'参照_各種特典'!$F$87</f>
        <v>Mystic Matrimony After Story ～Motonari～</v>
      </c>
      <c r="K347" s="220" t="s">
        <v>684</v>
      </c>
      <c r="L347" s="34">
        <v>6324.0</v>
      </c>
      <c r="M347" s="220">
        <v>2.0</v>
      </c>
      <c r="N347" s="233" t="str">
        <f t="array" ref="N347">VLOOKUP(L347,INDIRECT(K347),M347,0)</f>
        <v>Mystic Matrimony After Story ～Motonari～</v>
      </c>
      <c r="O347" s="226" t="s">
        <v>67</v>
      </c>
      <c r="P347" s="226" t="s">
        <v>68</v>
      </c>
      <c r="Q347" s="226" t="s">
        <v>69</v>
      </c>
      <c r="R347" s="227">
        <v>46064.0</v>
      </c>
      <c r="S347" s="228"/>
      <c r="T347" s="228"/>
      <c r="U347" s="228"/>
      <c r="V347" s="228"/>
      <c r="W347" s="191"/>
      <c r="X347" s="47"/>
      <c r="Y347" s="47"/>
    </row>
    <row r="348" ht="31.5" customHeight="1">
      <c r="A348" s="28">
        <f t="shared" si="17"/>
        <v>346</v>
      </c>
      <c r="B348" s="20"/>
      <c r="C348" s="231"/>
      <c r="D348" s="21"/>
      <c r="E348" s="190" t="s">
        <v>617</v>
      </c>
      <c r="F348" s="20"/>
      <c r="G348" s="231"/>
      <c r="H348" s="21"/>
      <c r="I348" s="190" t="s">
        <v>618</v>
      </c>
      <c r="J348" s="37"/>
      <c r="K348" s="234"/>
      <c r="L348" s="28"/>
      <c r="M348" s="28"/>
      <c r="N348" s="235"/>
      <c r="O348" s="226" t="s">
        <v>67</v>
      </c>
      <c r="P348" s="226" t="s">
        <v>68</v>
      </c>
      <c r="Q348" s="226" t="s">
        <v>69</v>
      </c>
      <c r="R348" s="227">
        <v>46064.0</v>
      </c>
      <c r="S348" s="228"/>
      <c r="T348" s="228"/>
      <c r="U348" s="228"/>
      <c r="V348" s="228"/>
      <c r="W348" s="191"/>
      <c r="X348" s="47"/>
      <c r="Y348" s="47"/>
    </row>
    <row r="349" ht="31.5" customHeight="1">
      <c r="A349" s="28">
        <f t="shared" si="17"/>
        <v>347</v>
      </c>
      <c r="B349" s="21"/>
      <c r="C349" s="73" t="s">
        <v>72</v>
      </c>
      <c r="D349" s="37" t="s">
        <v>626</v>
      </c>
      <c r="E349" s="190" t="s">
        <v>627</v>
      </c>
      <c r="F349" s="21"/>
      <c r="G349" s="73" t="s">
        <v>74</v>
      </c>
      <c r="H349" s="37" t="s">
        <v>628</v>
      </c>
      <c r="I349" s="190" t="s">
        <v>640</v>
      </c>
      <c r="J349" s="37"/>
      <c r="K349" s="28"/>
      <c r="L349" s="28"/>
      <c r="M349" s="28"/>
      <c r="N349" s="37"/>
      <c r="O349" s="193"/>
      <c r="P349" s="193"/>
      <c r="Q349" s="193"/>
      <c r="R349" s="194"/>
      <c r="S349" s="34" t="s">
        <v>67</v>
      </c>
      <c r="T349" s="28" t="s">
        <v>68</v>
      </c>
      <c r="U349" s="28" t="s">
        <v>69</v>
      </c>
      <c r="V349" s="28" t="s">
        <v>76</v>
      </c>
      <c r="W349" s="191"/>
      <c r="X349" s="47"/>
      <c r="Y349" s="47"/>
    </row>
    <row r="350" ht="31.5" customHeight="1">
      <c r="A350" s="28">
        <f t="shared" si="17"/>
        <v>348</v>
      </c>
      <c r="B350" s="182">
        <f>'参照_各種特典'!$K$88</f>
        <v>800</v>
      </c>
      <c r="C350" s="91" t="s">
        <v>681</v>
      </c>
      <c r="D350" s="29" t="s">
        <v>183</v>
      </c>
      <c r="E350" s="183" t="s">
        <v>621</v>
      </c>
      <c r="F350" s="182">
        <f>'参照_各種特典'!$K$88</f>
        <v>800</v>
      </c>
      <c r="G350" s="229" t="s">
        <v>682</v>
      </c>
      <c r="H350" s="29" t="s">
        <v>678</v>
      </c>
      <c r="I350" s="187" t="s">
        <v>635</v>
      </c>
      <c r="J350" s="31" t="str">
        <f>'参照_各種特典'!$F$88</f>
        <v>Mystic Matrimony After Story ～Kicho～</v>
      </c>
      <c r="K350" s="220" t="s">
        <v>684</v>
      </c>
      <c r="L350" s="34">
        <v>6323.0</v>
      </c>
      <c r="M350" s="220">
        <v>2.0</v>
      </c>
      <c r="N350" s="233" t="str">
        <f t="array" ref="N350">VLOOKUP(L350,INDIRECT(K350),M350,0)</f>
        <v>Mystic Matrimony After Story ～Kicho～</v>
      </c>
      <c r="O350" s="226" t="s">
        <v>67</v>
      </c>
      <c r="P350" s="226" t="s">
        <v>68</v>
      </c>
      <c r="Q350" s="226" t="s">
        <v>69</v>
      </c>
      <c r="R350" s="227">
        <v>46064.0</v>
      </c>
      <c r="S350" s="228"/>
      <c r="T350" s="228"/>
      <c r="U350" s="228"/>
      <c r="V350" s="228"/>
      <c r="W350" s="191"/>
      <c r="X350" s="47"/>
      <c r="Y350" s="47"/>
    </row>
    <row r="351" ht="31.5" customHeight="1">
      <c r="A351" s="28">
        <f t="shared" si="17"/>
        <v>349</v>
      </c>
      <c r="B351" s="20"/>
      <c r="C351" s="231"/>
      <c r="D351" s="21"/>
      <c r="E351" s="187" t="s">
        <v>617</v>
      </c>
      <c r="F351" s="20"/>
      <c r="G351" s="231"/>
      <c r="H351" s="21"/>
      <c r="I351" s="187" t="s">
        <v>618</v>
      </c>
      <c r="J351" s="31"/>
      <c r="K351" s="234"/>
      <c r="L351" s="28"/>
      <c r="M351" s="28"/>
      <c r="N351" s="235"/>
      <c r="O351" s="226" t="s">
        <v>67</v>
      </c>
      <c r="P351" s="226" t="s">
        <v>68</v>
      </c>
      <c r="Q351" s="226" t="s">
        <v>69</v>
      </c>
      <c r="R351" s="227">
        <v>46064.0</v>
      </c>
      <c r="S351" s="228"/>
      <c r="T351" s="228"/>
      <c r="U351" s="228"/>
      <c r="V351" s="228"/>
      <c r="W351" s="191"/>
      <c r="X351" s="47"/>
      <c r="Y351" s="47"/>
    </row>
    <row r="352" ht="31.5" customHeight="1">
      <c r="A352" s="28">
        <f t="shared" si="17"/>
        <v>350</v>
      </c>
      <c r="B352" s="21"/>
      <c r="C352" s="73" t="s">
        <v>72</v>
      </c>
      <c r="D352" s="31" t="s">
        <v>626</v>
      </c>
      <c r="E352" s="187" t="s">
        <v>627</v>
      </c>
      <c r="F352" s="21"/>
      <c r="G352" s="73" t="s">
        <v>74</v>
      </c>
      <c r="H352" s="31" t="s">
        <v>628</v>
      </c>
      <c r="I352" s="187" t="s">
        <v>640</v>
      </c>
      <c r="J352" s="31"/>
      <c r="K352" s="28"/>
      <c r="L352" s="28"/>
      <c r="M352" s="28"/>
      <c r="N352" s="37"/>
      <c r="O352" s="193"/>
      <c r="P352" s="193"/>
      <c r="Q352" s="193"/>
      <c r="R352" s="194"/>
      <c r="S352" s="34" t="s">
        <v>67</v>
      </c>
      <c r="T352" s="28" t="s">
        <v>68</v>
      </c>
      <c r="U352" s="28" t="s">
        <v>69</v>
      </c>
      <c r="V352" s="28" t="s">
        <v>76</v>
      </c>
      <c r="W352" s="191"/>
      <c r="X352" s="47"/>
      <c r="Y352" s="47"/>
    </row>
    <row r="353" ht="31.5" customHeight="1">
      <c r="A353" s="28">
        <f t="shared" si="17"/>
        <v>351</v>
      </c>
      <c r="B353" s="173">
        <f>'参照_各種特典'!$K$89</f>
        <v>800</v>
      </c>
      <c r="C353" s="236" t="s">
        <v>288</v>
      </c>
      <c r="D353" s="59" t="s">
        <v>183</v>
      </c>
      <c r="E353" s="189" t="s">
        <v>621</v>
      </c>
      <c r="F353" s="173">
        <f>'参照_各種特典'!$K$89</f>
        <v>800</v>
      </c>
      <c r="G353" s="91" t="s">
        <v>288</v>
      </c>
      <c r="H353" s="59" t="s">
        <v>678</v>
      </c>
      <c r="I353" s="190" t="s">
        <v>635</v>
      </c>
      <c r="J353" s="37" t="str">
        <f>'参照_各種特典'!$F$89</f>
        <v>Mystic Matrimony ~Kicho~</v>
      </c>
      <c r="K353" s="220" t="s">
        <v>679</v>
      </c>
      <c r="L353" s="220">
        <v>3778.0</v>
      </c>
      <c r="M353" s="220">
        <v>2.0</v>
      </c>
      <c r="N353" s="221" t="str">
        <f t="array" ref="N353">VLOOKUP(L353,INDIRECT(K353),M353,0)</f>
        <v>Mystic Matrimony ~Kicho~</v>
      </c>
      <c r="O353" s="92" t="s">
        <v>67</v>
      </c>
      <c r="P353" s="92" t="s">
        <v>68</v>
      </c>
      <c r="Q353" s="92" t="s">
        <v>69</v>
      </c>
      <c r="R353" s="171">
        <v>46065.0</v>
      </c>
      <c r="S353" s="228"/>
      <c r="T353" s="228"/>
      <c r="U353" s="228"/>
      <c r="V353" s="228"/>
      <c r="W353" s="191"/>
      <c r="X353" s="224" t="s">
        <v>680</v>
      </c>
      <c r="Y353" s="47"/>
    </row>
    <row r="354" ht="31.5" customHeight="1">
      <c r="A354" s="28">
        <f t="shared" si="17"/>
        <v>352</v>
      </c>
      <c r="B354" s="20"/>
      <c r="C354" s="21"/>
      <c r="D354" s="21"/>
      <c r="E354" s="190" t="s">
        <v>617</v>
      </c>
      <c r="F354" s="20"/>
      <c r="G354" s="21"/>
      <c r="H354" s="21"/>
      <c r="I354" s="190" t="s">
        <v>618</v>
      </c>
      <c r="J354" s="37"/>
      <c r="K354" s="234"/>
      <c r="L354" s="28"/>
      <c r="M354" s="28"/>
      <c r="N354" s="37"/>
      <c r="O354" s="226" t="s">
        <v>67</v>
      </c>
      <c r="P354" s="226" t="s">
        <v>68</v>
      </c>
      <c r="Q354" s="226" t="s">
        <v>69</v>
      </c>
      <c r="R354" s="227">
        <v>46064.0</v>
      </c>
      <c r="S354" s="228"/>
      <c r="T354" s="228"/>
      <c r="U354" s="228"/>
      <c r="V354" s="228"/>
      <c r="W354" s="191"/>
      <c r="X354" s="47"/>
      <c r="Y354" s="47"/>
    </row>
    <row r="355" ht="31.5" customHeight="1">
      <c r="A355" s="28">
        <f t="shared" si="17"/>
        <v>353</v>
      </c>
      <c r="B355" s="21"/>
      <c r="C355" s="73" t="s">
        <v>72</v>
      </c>
      <c r="D355" s="37" t="s">
        <v>626</v>
      </c>
      <c r="E355" s="190" t="s">
        <v>627</v>
      </c>
      <c r="F355" s="21"/>
      <c r="G355" s="73" t="s">
        <v>74</v>
      </c>
      <c r="H355" s="37" t="s">
        <v>628</v>
      </c>
      <c r="I355" s="190" t="s">
        <v>640</v>
      </c>
      <c r="J355" s="37"/>
      <c r="K355" s="28"/>
      <c r="L355" s="28"/>
      <c r="M355" s="28"/>
      <c r="N355" s="37"/>
      <c r="O355" s="193"/>
      <c r="P355" s="193"/>
      <c r="Q355" s="193"/>
      <c r="R355" s="194"/>
      <c r="S355" s="34" t="s">
        <v>67</v>
      </c>
      <c r="T355" s="28" t="s">
        <v>68</v>
      </c>
      <c r="U355" s="28" t="s">
        <v>69</v>
      </c>
      <c r="V355" s="28" t="s">
        <v>76</v>
      </c>
      <c r="W355" s="191"/>
      <c r="X355" s="47"/>
      <c r="Y355" s="47"/>
    </row>
    <row r="356" ht="31.5" customHeight="1">
      <c r="A356" s="28">
        <f t="shared" si="17"/>
        <v>354</v>
      </c>
      <c r="B356" s="182">
        <f>'参照_各種特典'!$K$90</f>
        <v>800</v>
      </c>
      <c r="C356" s="91" t="s">
        <v>681</v>
      </c>
      <c r="D356" s="29" t="s">
        <v>183</v>
      </c>
      <c r="E356" s="183" t="s">
        <v>631</v>
      </c>
      <c r="F356" s="182">
        <f>'参照_各種特典'!$K$90</f>
        <v>800</v>
      </c>
      <c r="G356" s="91" t="s">
        <v>288</v>
      </c>
      <c r="H356" s="29" t="s">
        <v>678</v>
      </c>
      <c r="I356" s="183" t="s">
        <v>633</v>
      </c>
      <c r="J356" s="31" t="str">
        <f>'参照_各種特典'!D90</f>
        <v>Mystic Matrimony Special Collection Bonus</v>
      </c>
      <c r="K356" s="230" t="s">
        <v>683</v>
      </c>
      <c r="L356" s="28">
        <v>171912.0</v>
      </c>
      <c r="M356" s="34">
        <v>4.0</v>
      </c>
      <c r="N356" s="37" t="str">
        <f t="shared" ref="N356:N357" si="20">VLOOKUP(L356,INDIRECT(K356),M356)</f>
        <v>Mystic Matrimony Special Collection Bonus</v>
      </c>
      <c r="O356" s="92" t="s">
        <v>67</v>
      </c>
      <c r="P356" s="92" t="s">
        <v>68</v>
      </c>
      <c r="Q356" s="92" t="s">
        <v>69</v>
      </c>
      <c r="R356" s="171">
        <v>46063.0</v>
      </c>
      <c r="S356" s="228"/>
      <c r="T356" s="228"/>
      <c r="U356" s="228"/>
      <c r="V356" s="228"/>
      <c r="W356" s="191"/>
      <c r="X356" s="47"/>
      <c r="Y356" s="47"/>
    </row>
    <row r="357" ht="31.5" customHeight="1">
      <c r="A357" s="28">
        <f t="shared" si="17"/>
        <v>355</v>
      </c>
      <c r="B357" s="20"/>
      <c r="C357" s="20"/>
      <c r="D357" s="20"/>
      <c r="E357" s="183" t="s">
        <v>621</v>
      </c>
      <c r="F357" s="20"/>
      <c r="G357" s="20"/>
      <c r="H357" s="20"/>
      <c r="I357" s="187" t="s">
        <v>635</v>
      </c>
      <c r="J357" s="31" t="str">
        <f>'参照_各種特典'!F90</f>
        <v>Mystic Matrimony Kicho</v>
      </c>
      <c r="K357" s="230" t="s">
        <v>683</v>
      </c>
      <c r="L357" s="28">
        <v>171912.0</v>
      </c>
      <c r="M357" s="34">
        <v>2.0</v>
      </c>
      <c r="N357" s="37" t="str">
        <f t="shared" si="20"/>
        <v>Mystic Matrimony Kicho</v>
      </c>
      <c r="O357" s="92" t="s">
        <v>67</v>
      </c>
      <c r="P357" s="92" t="s">
        <v>68</v>
      </c>
      <c r="Q357" s="92" t="s">
        <v>69</v>
      </c>
      <c r="R357" s="171">
        <v>46063.0</v>
      </c>
      <c r="S357" s="228"/>
      <c r="T357" s="228"/>
      <c r="U357" s="228"/>
      <c r="V357" s="228"/>
      <c r="W357" s="191"/>
      <c r="X357" s="47"/>
      <c r="Y357" s="47"/>
    </row>
    <row r="358" ht="31.5" customHeight="1">
      <c r="A358" s="28">
        <f t="shared" si="17"/>
        <v>356</v>
      </c>
      <c r="B358" s="20"/>
      <c r="C358" s="20"/>
      <c r="D358" s="20"/>
      <c r="E358" s="187" t="s">
        <v>637</v>
      </c>
      <c r="F358" s="20"/>
      <c r="G358" s="20"/>
      <c r="H358" s="20"/>
      <c r="I358" s="187" t="s">
        <v>292</v>
      </c>
      <c r="J358" s="31">
        <f>'参照_各種特典'!H90</f>
        <v>1</v>
      </c>
      <c r="K358" s="230" t="s">
        <v>683</v>
      </c>
      <c r="L358" s="28">
        <v>171912.0</v>
      </c>
      <c r="M358" s="34">
        <v>3.0</v>
      </c>
      <c r="N358" s="37" t="str">
        <f>IFERROR(__xludf.DUMMYFUNCTION("TO_TEXT( VLOOKUP(L358,INDIRECT(K358),M358))"),"1")</f>
        <v>1</v>
      </c>
      <c r="O358" s="92" t="s">
        <v>67</v>
      </c>
      <c r="P358" s="92" t="s">
        <v>68</v>
      </c>
      <c r="Q358" s="92" t="s">
        <v>69</v>
      </c>
      <c r="R358" s="171">
        <v>46063.0</v>
      </c>
      <c r="S358" s="228"/>
      <c r="T358" s="228"/>
      <c r="U358" s="228"/>
      <c r="V358" s="228"/>
      <c r="W358" s="191"/>
      <c r="X358" s="47"/>
      <c r="Y358" s="47"/>
    </row>
    <row r="359" ht="31.5" customHeight="1">
      <c r="A359" s="28">
        <f t="shared" si="17"/>
        <v>357</v>
      </c>
      <c r="B359" s="20"/>
      <c r="C359" s="231"/>
      <c r="D359" s="21"/>
      <c r="E359" s="187" t="s">
        <v>617</v>
      </c>
      <c r="F359" s="20"/>
      <c r="G359" s="21"/>
      <c r="H359" s="21"/>
      <c r="I359" s="187" t="s">
        <v>618</v>
      </c>
      <c r="J359" s="31"/>
      <c r="K359" s="234"/>
      <c r="L359" s="28"/>
      <c r="M359" s="28"/>
      <c r="N359" s="37"/>
      <c r="O359" s="226" t="s">
        <v>67</v>
      </c>
      <c r="P359" s="226" t="s">
        <v>68</v>
      </c>
      <c r="Q359" s="226" t="s">
        <v>69</v>
      </c>
      <c r="R359" s="227">
        <v>46064.0</v>
      </c>
      <c r="S359" s="228"/>
      <c r="T359" s="228"/>
      <c r="U359" s="228"/>
      <c r="V359" s="228"/>
      <c r="W359" s="191"/>
      <c r="X359" s="47"/>
      <c r="Y359" s="47"/>
    </row>
    <row r="360" ht="31.5" customHeight="1">
      <c r="A360" s="28">
        <f t="shared" si="17"/>
        <v>358</v>
      </c>
      <c r="B360" s="21"/>
      <c r="C360" s="73" t="s">
        <v>72</v>
      </c>
      <c r="D360" s="31" t="s">
        <v>626</v>
      </c>
      <c r="E360" s="187" t="s">
        <v>627</v>
      </c>
      <c r="F360" s="21"/>
      <c r="G360" s="73" t="s">
        <v>74</v>
      </c>
      <c r="H360" s="31" t="s">
        <v>628</v>
      </c>
      <c r="I360" s="187" t="s">
        <v>640</v>
      </c>
      <c r="J360" s="31"/>
      <c r="K360" s="28"/>
      <c r="L360" s="28"/>
      <c r="M360" s="28"/>
      <c r="N360" s="37"/>
      <c r="O360" s="193"/>
      <c r="P360" s="193"/>
      <c r="Q360" s="193"/>
      <c r="R360" s="194"/>
      <c r="S360" s="34" t="s">
        <v>67</v>
      </c>
      <c r="T360" s="28" t="s">
        <v>68</v>
      </c>
      <c r="U360" s="28" t="s">
        <v>69</v>
      </c>
      <c r="V360" s="28" t="s">
        <v>76</v>
      </c>
      <c r="W360" s="191"/>
      <c r="X360" s="47"/>
      <c r="Y360" s="47"/>
    </row>
    <row r="361" ht="31.5" customHeight="1">
      <c r="A361" s="28">
        <f t="shared" si="17"/>
        <v>359</v>
      </c>
      <c r="B361" s="173">
        <f>'参照_各種特典'!$K$91</f>
        <v>850</v>
      </c>
      <c r="C361" s="91" t="s">
        <v>681</v>
      </c>
      <c r="D361" s="59" t="s">
        <v>183</v>
      </c>
      <c r="E361" s="189" t="s">
        <v>621</v>
      </c>
      <c r="F361" s="173">
        <f>'参照_各種特典'!$K$91</f>
        <v>850</v>
      </c>
      <c r="G361" s="229" t="s">
        <v>682</v>
      </c>
      <c r="H361" s="59" t="s">
        <v>678</v>
      </c>
      <c r="I361" s="190" t="s">
        <v>635</v>
      </c>
      <c r="J361" s="37" t="str">
        <f>'参照_各種特典'!$F$91</f>
        <v>Mystic Matrimony After Story ～Kanetsugu～</v>
      </c>
      <c r="K361" s="220" t="s">
        <v>684</v>
      </c>
      <c r="L361" s="34">
        <v>6322.0</v>
      </c>
      <c r="M361" s="220">
        <v>2.0</v>
      </c>
      <c r="N361" s="233" t="str">
        <f t="array" ref="N361">VLOOKUP(L361,INDIRECT(K361),M361,0)</f>
        <v>Mystic Matrimony After Story ～Kanetsugu～</v>
      </c>
      <c r="O361" s="226" t="s">
        <v>67</v>
      </c>
      <c r="P361" s="226" t="s">
        <v>68</v>
      </c>
      <c r="Q361" s="226" t="s">
        <v>69</v>
      </c>
      <c r="R361" s="227">
        <v>46064.0</v>
      </c>
      <c r="S361" s="228"/>
      <c r="T361" s="228"/>
      <c r="U361" s="228"/>
      <c r="V361" s="228"/>
      <c r="W361" s="191"/>
      <c r="X361" s="47"/>
      <c r="Y361" s="47"/>
    </row>
    <row r="362" ht="31.5" customHeight="1">
      <c r="A362" s="28">
        <f t="shared" si="17"/>
        <v>360</v>
      </c>
      <c r="B362" s="20"/>
      <c r="C362" s="231"/>
      <c r="D362" s="21"/>
      <c r="E362" s="190" t="s">
        <v>617</v>
      </c>
      <c r="F362" s="20"/>
      <c r="G362" s="231"/>
      <c r="H362" s="21"/>
      <c r="I362" s="190" t="s">
        <v>618</v>
      </c>
      <c r="J362" s="37"/>
      <c r="K362" s="234"/>
      <c r="L362" s="28"/>
      <c r="M362" s="28"/>
      <c r="N362" s="235"/>
      <c r="O362" s="226" t="s">
        <v>67</v>
      </c>
      <c r="P362" s="226" t="s">
        <v>68</v>
      </c>
      <c r="Q362" s="226" t="s">
        <v>69</v>
      </c>
      <c r="R362" s="227">
        <v>46064.0</v>
      </c>
      <c r="S362" s="228"/>
      <c r="T362" s="228"/>
      <c r="U362" s="228"/>
      <c r="V362" s="228"/>
      <c r="W362" s="191"/>
      <c r="X362" s="47"/>
      <c r="Y362" s="47"/>
    </row>
    <row r="363" ht="31.5" customHeight="1">
      <c r="A363" s="28">
        <f t="shared" si="17"/>
        <v>361</v>
      </c>
      <c r="B363" s="21"/>
      <c r="C363" s="73" t="s">
        <v>72</v>
      </c>
      <c r="D363" s="37" t="s">
        <v>626</v>
      </c>
      <c r="E363" s="190" t="s">
        <v>627</v>
      </c>
      <c r="F363" s="21"/>
      <c r="G363" s="73" t="s">
        <v>74</v>
      </c>
      <c r="H363" s="37" t="s">
        <v>628</v>
      </c>
      <c r="I363" s="190" t="s">
        <v>640</v>
      </c>
      <c r="J363" s="37"/>
      <c r="K363" s="28"/>
      <c r="L363" s="28"/>
      <c r="M363" s="28"/>
      <c r="N363" s="37"/>
      <c r="O363" s="193"/>
      <c r="P363" s="193"/>
      <c r="Q363" s="193"/>
      <c r="R363" s="194"/>
      <c r="S363" s="34" t="s">
        <v>67</v>
      </c>
      <c r="T363" s="28" t="s">
        <v>68</v>
      </c>
      <c r="U363" s="28" t="s">
        <v>69</v>
      </c>
      <c r="V363" s="28" t="s">
        <v>76</v>
      </c>
      <c r="W363" s="191"/>
      <c r="X363" s="47"/>
      <c r="Y363" s="47"/>
    </row>
    <row r="364" ht="31.5" customHeight="1">
      <c r="A364" s="28">
        <f t="shared" si="17"/>
        <v>362</v>
      </c>
      <c r="B364" s="182">
        <f>'参照_各種特典'!$K$92</f>
        <v>850</v>
      </c>
      <c r="C364" s="236" t="s">
        <v>288</v>
      </c>
      <c r="D364" s="29" t="s">
        <v>183</v>
      </c>
      <c r="E364" s="183" t="s">
        <v>621</v>
      </c>
      <c r="F364" s="182">
        <f>'参照_各種特典'!$K$92</f>
        <v>850</v>
      </c>
      <c r="G364" s="229" t="s">
        <v>288</v>
      </c>
      <c r="H364" s="29" t="s">
        <v>678</v>
      </c>
      <c r="I364" s="187" t="s">
        <v>635</v>
      </c>
      <c r="J364" s="31" t="str">
        <f>'参照_各種特典'!$F$92</f>
        <v>Mystic Matrimony ~Kanetsugu~</v>
      </c>
      <c r="K364" s="220" t="s">
        <v>679</v>
      </c>
      <c r="L364" s="220">
        <v>3777.0</v>
      </c>
      <c r="M364" s="220">
        <v>2.0</v>
      </c>
      <c r="N364" s="221" t="str">
        <f t="array" ref="N364">VLOOKUP(L364,INDIRECT(K364),M364,0)</f>
        <v>Mystic Matrimony ~Kanetsugu~</v>
      </c>
      <c r="O364" s="92" t="s">
        <v>67</v>
      </c>
      <c r="P364" s="92" t="s">
        <v>68</v>
      </c>
      <c r="Q364" s="92" t="s">
        <v>69</v>
      </c>
      <c r="R364" s="171">
        <v>46065.0</v>
      </c>
      <c r="S364" s="228"/>
      <c r="T364" s="228"/>
      <c r="U364" s="228"/>
      <c r="V364" s="228"/>
      <c r="W364" s="191"/>
      <c r="X364" s="224" t="s">
        <v>680</v>
      </c>
      <c r="Y364" s="47"/>
    </row>
    <row r="365" ht="31.5" customHeight="1">
      <c r="A365" s="28">
        <f t="shared" si="17"/>
        <v>363</v>
      </c>
      <c r="B365" s="20"/>
      <c r="C365" s="21"/>
      <c r="D365" s="21"/>
      <c r="E365" s="187" t="s">
        <v>617</v>
      </c>
      <c r="F365" s="20"/>
      <c r="G365" s="231"/>
      <c r="H365" s="21"/>
      <c r="I365" s="187" t="s">
        <v>618</v>
      </c>
      <c r="J365" s="31"/>
      <c r="K365" s="234"/>
      <c r="L365" s="28"/>
      <c r="M365" s="28"/>
      <c r="N365" s="235"/>
      <c r="O365" s="226" t="s">
        <v>67</v>
      </c>
      <c r="P365" s="226" t="s">
        <v>68</v>
      </c>
      <c r="Q365" s="226" t="s">
        <v>69</v>
      </c>
      <c r="R365" s="227">
        <v>46064.0</v>
      </c>
      <c r="S365" s="228"/>
      <c r="T365" s="228"/>
      <c r="U365" s="228"/>
      <c r="V365" s="228"/>
      <c r="W365" s="191"/>
      <c r="X365" s="47"/>
      <c r="Y365" s="47"/>
    </row>
    <row r="366" ht="31.5" customHeight="1">
      <c r="A366" s="28">
        <f t="shared" si="17"/>
        <v>364</v>
      </c>
      <c r="B366" s="21"/>
      <c r="C366" s="73" t="s">
        <v>72</v>
      </c>
      <c r="D366" s="31" t="s">
        <v>626</v>
      </c>
      <c r="E366" s="187" t="s">
        <v>627</v>
      </c>
      <c r="F366" s="21"/>
      <c r="G366" s="73" t="s">
        <v>74</v>
      </c>
      <c r="H366" s="31" t="s">
        <v>628</v>
      </c>
      <c r="I366" s="187" t="s">
        <v>640</v>
      </c>
      <c r="J366" s="31"/>
      <c r="K366" s="28"/>
      <c r="L366" s="28"/>
      <c r="M366" s="28"/>
      <c r="N366" s="37"/>
      <c r="O366" s="193"/>
      <c r="P366" s="193"/>
      <c r="Q366" s="193"/>
      <c r="R366" s="194"/>
      <c r="S366" s="34" t="s">
        <v>67</v>
      </c>
      <c r="T366" s="28" t="s">
        <v>68</v>
      </c>
      <c r="U366" s="28" t="s">
        <v>69</v>
      </c>
      <c r="V366" s="28" t="s">
        <v>76</v>
      </c>
      <c r="W366" s="191"/>
      <c r="X366" s="47"/>
      <c r="Y366" s="47"/>
    </row>
    <row r="367" ht="31.5" customHeight="1">
      <c r="A367" s="28">
        <f t="shared" si="17"/>
        <v>365</v>
      </c>
      <c r="B367" s="173">
        <f>'参照_各種特典'!$K$93</f>
        <v>850</v>
      </c>
      <c r="C367" s="91" t="s">
        <v>681</v>
      </c>
      <c r="D367" s="59" t="s">
        <v>183</v>
      </c>
      <c r="E367" s="189" t="s">
        <v>631</v>
      </c>
      <c r="F367" s="173">
        <f>'参照_各種特典'!$K$93</f>
        <v>850</v>
      </c>
      <c r="G367" s="229" t="s">
        <v>682</v>
      </c>
      <c r="H367" s="59" t="s">
        <v>678</v>
      </c>
      <c r="I367" s="189" t="s">
        <v>633</v>
      </c>
      <c r="J367" s="37" t="str">
        <f>'参照_各種特典'!D93</f>
        <v>Mystic Matrimony Special Collection Bonus</v>
      </c>
      <c r="K367" s="230" t="s">
        <v>683</v>
      </c>
      <c r="L367" s="34">
        <v>171914.0</v>
      </c>
      <c r="M367" s="34">
        <v>4.0</v>
      </c>
      <c r="N367" s="37" t="str">
        <f t="shared" ref="N367:N368" si="21">VLOOKUP(L367,INDIRECT(K367),M367)</f>
        <v>Mystic Matrimony Special Collection Bonus</v>
      </c>
      <c r="O367" s="92" t="s">
        <v>67</v>
      </c>
      <c r="P367" s="92" t="s">
        <v>68</v>
      </c>
      <c r="Q367" s="92" t="s">
        <v>69</v>
      </c>
      <c r="R367" s="171">
        <v>46063.0</v>
      </c>
      <c r="S367" s="228"/>
      <c r="T367" s="228"/>
      <c r="U367" s="228"/>
      <c r="V367" s="228"/>
      <c r="W367" s="191"/>
      <c r="X367" s="47"/>
      <c r="Y367" s="47"/>
    </row>
    <row r="368" ht="31.5" customHeight="1">
      <c r="A368" s="28">
        <f t="shared" si="17"/>
        <v>366</v>
      </c>
      <c r="B368" s="20"/>
      <c r="C368" s="20"/>
      <c r="D368" s="20"/>
      <c r="E368" s="189" t="s">
        <v>621</v>
      </c>
      <c r="F368" s="20"/>
      <c r="G368" s="20"/>
      <c r="H368" s="20"/>
      <c r="I368" s="190" t="s">
        <v>635</v>
      </c>
      <c r="J368" s="37" t="str">
        <f>'参照_各種特典'!F93</f>
        <v>Mystic Matrimony Kanetsugu</v>
      </c>
      <c r="K368" s="230" t="s">
        <v>683</v>
      </c>
      <c r="L368" s="34">
        <v>171914.0</v>
      </c>
      <c r="M368" s="34">
        <v>2.0</v>
      </c>
      <c r="N368" s="37" t="str">
        <f t="shared" si="21"/>
        <v>Mystic Matrimony Kanetsugu</v>
      </c>
      <c r="O368" s="92" t="s">
        <v>67</v>
      </c>
      <c r="P368" s="92" t="s">
        <v>68</v>
      </c>
      <c r="Q368" s="92" t="s">
        <v>69</v>
      </c>
      <c r="R368" s="171">
        <v>46063.0</v>
      </c>
      <c r="S368" s="228"/>
      <c r="T368" s="228"/>
      <c r="U368" s="228"/>
      <c r="V368" s="228"/>
      <c r="W368" s="191"/>
      <c r="X368" s="47"/>
      <c r="Y368" s="47"/>
    </row>
    <row r="369" ht="31.5" customHeight="1">
      <c r="A369" s="28">
        <f t="shared" si="17"/>
        <v>367</v>
      </c>
      <c r="B369" s="20"/>
      <c r="C369" s="20"/>
      <c r="D369" s="20"/>
      <c r="E369" s="190" t="s">
        <v>637</v>
      </c>
      <c r="F369" s="20"/>
      <c r="G369" s="20"/>
      <c r="H369" s="20"/>
      <c r="I369" s="190" t="s">
        <v>292</v>
      </c>
      <c r="J369" s="37">
        <f>'参照_各種特典'!H93</f>
        <v>1</v>
      </c>
      <c r="K369" s="230" t="s">
        <v>683</v>
      </c>
      <c r="L369" s="34">
        <v>171914.0</v>
      </c>
      <c r="M369" s="34">
        <v>3.0</v>
      </c>
      <c r="N369" s="37" t="str">
        <f>IFERROR(__xludf.DUMMYFUNCTION("TO_TEXT( VLOOKUP(L369,INDIRECT(K369),M369))"),"1")</f>
        <v>1</v>
      </c>
      <c r="O369" s="92" t="s">
        <v>67</v>
      </c>
      <c r="P369" s="92" t="s">
        <v>68</v>
      </c>
      <c r="Q369" s="92" t="s">
        <v>69</v>
      </c>
      <c r="R369" s="171">
        <v>46063.0</v>
      </c>
      <c r="S369" s="228"/>
      <c r="T369" s="228"/>
      <c r="U369" s="228"/>
      <c r="V369" s="228"/>
      <c r="W369" s="191"/>
      <c r="X369" s="47"/>
      <c r="Y369" s="47"/>
    </row>
    <row r="370" ht="31.5" customHeight="1">
      <c r="A370" s="28">
        <f t="shared" si="17"/>
        <v>368</v>
      </c>
      <c r="B370" s="20"/>
      <c r="C370" s="231"/>
      <c r="D370" s="21"/>
      <c r="E370" s="190" t="s">
        <v>617</v>
      </c>
      <c r="F370" s="20"/>
      <c r="G370" s="231"/>
      <c r="H370" s="21"/>
      <c r="I370" s="190" t="s">
        <v>618</v>
      </c>
      <c r="J370" s="37"/>
      <c r="K370" s="234"/>
      <c r="L370" s="28"/>
      <c r="M370" s="28"/>
      <c r="N370" s="235"/>
      <c r="O370" s="226" t="s">
        <v>67</v>
      </c>
      <c r="P370" s="226" t="s">
        <v>68</v>
      </c>
      <c r="Q370" s="226" t="s">
        <v>69</v>
      </c>
      <c r="R370" s="227">
        <v>46064.0</v>
      </c>
      <c r="S370" s="228"/>
      <c r="T370" s="228"/>
      <c r="U370" s="228"/>
      <c r="V370" s="228"/>
      <c r="W370" s="191"/>
      <c r="X370" s="47"/>
      <c r="Y370" s="47"/>
    </row>
    <row r="371" ht="31.5" customHeight="1">
      <c r="A371" s="28">
        <f t="shared" si="17"/>
        <v>369</v>
      </c>
      <c r="B371" s="21"/>
      <c r="C371" s="73" t="s">
        <v>72</v>
      </c>
      <c r="D371" s="37" t="s">
        <v>626</v>
      </c>
      <c r="E371" s="190" t="s">
        <v>627</v>
      </c>
      <c r="F371" s="21"/>
      <c r="G371" s="73" t="s">
        <v>74</v>
      </c>
      <c r="H371" s="37" t="s">
        <v>628</v>
      </c>
      <c r="I371" s="190" t="s">
        <v>640</v>
      </c>
      <c r="J371" s="37"/>
      <c r="K371" s="28"/>
      <c r="L371" s="28"/>
      <c r="M371" s="28"/>
      <c r="N371" s="37"/>
      <c r="O371" s="193"/>
      <c r="P371" s="193"/>
      <c r="Q371" s="193"/>
      <c r="R371" s="194"/>
      <c r="S371" s="34" t="s">
        <v>67</v>
      </c>
      <c r="T371" s="28" t="s">
        <v>68</v>
      </c>
      <c r="U371" s="28" t="s">
        <v>69</v>
      </c>
      <c r="V371" s="28" t="s">
        <v>76</v>
      </c>
      <c r="W371" s="191"/>
      <c r="X371" s="47"/>
      <c r="Y371" s="47"/>
    </row>
    <row r="372" ht="31.5" customHeight="1">
      <c r="A372" s="28">
        <f t="shared" si="17"/>
        <v>370</v>
      </c>
      <c r="B372" s="182">
        <f>'参照_各種特典'!$K$94</f>
        <v>900</v>
      </c>
      <c r="C372" s="91" t="s">
        <v>681</v>
      </c>
      <c r="D372" s="29" t="s">
        <v>183</v>
      </c>
      <c r="E372" s="183" t="s">
        <v>621</v>
      </c>
      <c r="F372" s="182">
        <f>'参照_各種特典'!$K$94</f>
        <v>900</v>
      </c>
      <c r="G372" s="229" t="s">
        <v>682</v>
      </c>
      <c r="H372" s="29" t="s">
        <v>678</v>
      </c>
      <c r="I372" s="187" t="s">
        <v>635</v>
      </c>
      <c r="J372" s="31" t="str">
        <f>'参照_各種特典'!$F$94</f>
        <v>Mystic Matrimony After Story ～Nobunaga～</v>
      </c>
      <c r="K372" s="220" t="s">
        <v>684</v>
      </c>
      <c r="L372" s="34">
        <v>6321.0</v>
      </c>
      <c r="M372" s="220">
        <v>2.0</v>
      </c>
      <c r="N372" s="233" t="str">
        <f t="array" ref="N372">VLOOKUP(L372,INDIRECT(K372),M372,0)</f>
        <v>Mystic Matrimony After Story ～Nobunaga～</v>
      </c>
      <c r="O372" s="226" t="s">
        <v>67</v>
      </c>
      <c r="P372" s="226" t="s">
        <v>68</v>
      </c>
      <c r="Q372" s="226" t="s">
        <v>69</v>
      </c>
      <c r="R372" s="227">
        <v>46064.0</v>
      </c>
      <c r="S372" s="228"/>
      <c r="T372" s="228"/>
      <c r="U372" s="228"/>
      <c r="V372" s="228"/>
      <c r="W372" s="191"/>
      <c r="X372" s="47"/>
      <c r="Y372" s="47"/>
    </row>
    <row r="373" ht="31.5" customHeight="1">
      <c r="A373" s="28">
        <f t="shared" si="17"/>
        <v>371</v>
      </c>
      <c r="B373" s="20"/>
      <c r="C373" s="231"/>
      <c r="D373" s="21"/>
      <c r="E373" s="187" t="s">
        <v>617</v>
      </c>
      <c r="F373" s="20"/>
      <c r="G373" s="231"/>
      <c r="H373" s="21"/>
      <c r="I373" s="187" t="s">
        <v>618</v>
      </c>
      <c r="J373" s="31"/>
      <c r="K373" s="234"/>
      <c r="L373" s="28"/>
      <c r="M373" s="28"/>
      <c r="N373" s="235"/>
      <c r="O373" s="226" t="s">
        <v>67</v>
      </c>
      <c r="P373" s="226" t="s">
        <v>68</v>
      </c>
      <c r="Q373" s="226" t="s">
        <v>69</v>
      </c>
      <c r="R373" s="227">
        <v>46064.0</v>
      </c>
      <c r="S373" s="228"/>
      <c r="T373" s="228"/>
      <c r="U373" s="228"/>
      <c r="V373" s="228"/>
      <c r="W373" s="191"/>
      <c r="X373" s="47"/>
      <c r="Y373" s="47"/>
    </row>
    <row r="374" ht="31.5" customHeight="1">
      <c r="A374" s="28">
        <f t="shared" si="17"/>
        <v>372</v>
      </c>
      <c r="B374" s="21"/>
      <c r="C374" s="73" t="s">
        <v>72</v>
      </c>
      <c r="D374" s="31" t="s">
        <v>626</v>
      </c>
      <c r="E374" s="187" t="s">
        <v>627</v>
      </c>
      <c r="F374" s="21"/>
      <c r="G374" s="73" t="s">
        <v>74</v>
      </c>
      <c r="H374" s="31" t="s">
        <v>628</v>
      </c>
      <c r="I374" s="187" t="s">
        <v>640</v>
      </c>
      <c r="J374" s="31"/>
      <c r="K374" s="28"/>
      <c r="L374" s="28"/>
      <c r="M374" s="28"/>
      <c r="N374" s="37"/>
      <c r="O374" s="193"/>
      <c r="P374" s="193"/>
      <c r="Q374" s="193"/>
      <c r="R374" s="194"/>
      <c r="S374" s="34" t="s">
        <v>67</v>
      </c>
      <c r="T374" s="28" t="s">
        <v>68</v>
      </c>
      <c r="U374" s="28" t="s">
        <v>69</v>
      </c>
      <c r="V374" s="28" t="s">
        <v>76</v>
      </c>
      <c r="W374" s="191"/>
      <c r="X374" s="47"/>
      <c r="Y374" s="47"/>
    </row>
    <row r="375" ht="31.5" customHeight="1">
      <c r="A375" s="28">
        <f t="shared" si="17"/>
        <v>373</v>
      </c>
      <c r="B375" s="173">
        <f>'参照_各種特典'!$K$95</f>
        <v>900</v>
      </c>
      <c r="C375" s="236" t="s">
        <v>288</v>
      </c>
      <c r="D375" s="59" t="s">
        <v>183</v>
      </c>
      <c r="E375" s="189" t="s">
        <v>621</v>
      </c>
      <c r="F375" s="173">
        <f>'参照_各種特典'!$K$95</f>
        <v>900</v>
      </c>
      <c r="G375" s="91" t="s">
        <v>288</v>
      </c>
      <c r="H375" s="59" t="s">
        <v>678</v>
      </c>
      <c r="I375" s="190" t="s">
        <v>635</v>
      </c>
      <c r="J375" s="37" t="str">
        <f>'参照_各種特典'!$F$95</f>
        <v>Mystic Matrimony ~Nobunaga~</v>
      </c>
      <c r="K375" s="220" t="s">
        <v>679</v>
      </c>
      <c r="L375" s="220">
        <v>3776.0</v>
      </c>
      <c r="M375" s="220">
        <v>2.0</v>
      </c>
      <c r="N375" s="221" t="str">
        <f t="array" ref="N375">VLOOKUP(L375,INDIRECT(K375),M375,0)</f>
        <v>Mystic Matrimony ~Nobunaga~</v>
      </c>
      <c r="O375" s="92" t="s">
        <v>67</v>
      </c>
      <c r="P375" s="92" t="s">
        <v>68</v>
      </c>
      <c r="Q375" s="92" t="s">
        <v>69</v>
      </c>
      <c r="R375" s="171">
        <v>46065.0</v>
      </c>
      <c r="S375" s="228"/>
      <c r="T375" s="228"/>
      <c r="U375" s="228"/>
      <c r="V375" s="228"/>
      <c r="W375" s="191"/>
      <c r="X375" s="224" t="s">
        <v>680</v>
      </c>
      <c r="Y375" s="47"/>
    </row>
    <row r="376" ht="31.5" customHeight="1">
      <c r="A376" s="28">
        <f t="shared" si="17"/>
        <v>374</v>
      </c>
      <c r="B376" s="20"/>
      <c r="C376" s="21"/>
      <c r="D376" s="21"/>
      <c r="E376" s="190" t="s">
        <v>617</v>
      </c>
      <c r="F376" s="20"/>
      <c r="G376" s="21"/>
      <c r="H376" s="21"/>
      <c r="I376" s="190" t="s">
        <v>618</v>
      </c>
      <c r="J376" s="37"/>
      <c r="K376" s="234"/>
      <c r="L376" s="28"/>
      <c r="M376" s="28"/>
      <c r="N376" s="37"/>
      <c r="O376" s="226" t="s">
        <v>67</v>
      </c>
      <c r="P376" s="226" t="s">
        <v>68</v>
      </c>
      <c r="Q376" s="226" t="s">
        <v>69</v>
      </c>
      <c r="R376" s="227">
        <v>46064.0</v>
      </c>
      <c r="S376" s="228"/>
      <c r="T376" s="228"/>
      <c r="U376" s="228"/>
      <c r="V376" s="228"/>
      <c r="W376" s="191"/>
      <c r="X376" s="47"/>
      <c r="Y376" s="47"/>
    </row>
    <row r="377" ht="31.5" customHeight="1">
      <c r="A377" s="28">
        <f t="shared" si="17"/>
        <v>375</v>
      </c>
      <c r="B377" s="21"/>
      <c r="C377" s="73" t="s">
        <v>72</v>
      </c>
      <c r="D377" s="37" t="s">
        <v>626</v>
      </c>
      <c r="E377" s="190" t="s">
        <v>627</v>
      </c>
      <c r="F377" s="21"/>
      <c r="G377" s="73" t="s">
        <v>74</v>
      </c>
      <c r="H377" s="37" t="s">
        <v>628</v>
      </c>
      <c r="I377" s="190" t="s">
        <v>640</v>
      </c>
      <c r="J377" s="37"/>
      <c r="K377" s="28"/>
      <c r="L377" s="28"/>
      <c r="M377" s="28"/>
      <c r="N377" s="37"/>
      <c r="O377" s="193"/>
      <c r="P377" s="193"/>
      <c r="Q377" s="193"/>
      <c r="R377" s="194"/>
      <c r="S377" s="34" t="s">
        <v>67</v>
      </c>
      <c r="T377" s="28" t="s">
        <v>68</v>
      </c>
      <c r="U377" s="28" t="s">
        <v>69</v>
      </c>
      <c r="V377" s="28" t="s">
        <v>76</v>
      </c>
      <c r="W377" s="191"/>
      <c r="X377" s="47"/>
      <c r="Y377" s="47"/>
    </row>
    <row r="378" ht="31.5" customHeight="1">
      <c r="A378" s="28">
        <f t="shared" si="17"/>
        <v>376</v>
      </c>
      <c r="B378" s="182">
        <f>'参照_各種特典'!$K$96</f>
        <v>900</v>
      </c>
      <c r="C378" s="91" t="s">
        <v>681</v>
      </c>
      <c r="D378" s="29" t="s">
        <v>183</v>
      </c>
      <c r="E378" s="183" t="s">
        <v>631</v>
      </c>
      <c r="F378" s="182">
        <f>'参照_各種特典'!$K$96</f>
        <v>900</v>
      </c>
      <c r="G378" s="229" t="s">
        <v>682</v>
      </c>
      <c r="H378" s="29" t="s">
        <v>678</v>
      </c>
      <c r="I378" s="183" t="s">
        <v>633</v>
      </c>
      <c r="J378" s="31" t="str">
        <f>'参照_各種特典'!D96</f>
        <v>Mystic Matrimony Special Collection Bonus</v>
      </c>
      <c r="K378" s="230" t="s">
        <v>683</v>
      </c>
      <c r="L378" s="34">
        <v>171916.0</v>
      </c>
      <c r="M378" s="34">
        <v>4.0</v>
      </c>
      <c r="N378" s="37" t="str">
        <f t="shared" ref="N378:N379" si="22">VLOOKUP(L378,INDIRECT(K378),M378)</f>
        <v>Mystic Matrimony Special Collection Bonus</v>
      </c>
      <c r="O378" s="92" t="s">
        <v>67</v>
      </c>
      <c r="P378" s="92" t="s">
        <v>68</v>
      </c>
      <c r="Q378" s="92" t="s">
        <v>69</v>
      </c>
      <c r="R378" s="171">
        <v>46063.0</v>
      </c>
      <c r="S378" s="228"/>
      <c r="T378" s="228"/>
      <c r="U378" s="228"/>
      <c r="V378" s="228"/>
      <c r="W378" s="191"/>
      <c r="X378" s="47"/>
      <c r="Y378" s="47"/>
    </row>
    <row r="379" ht="31.5" customHeight="1">
      <c r="A379" s="28">
        <f t="shared" si="17"/>
        <v>377</v>
      </c>
      <c r="B379" s="20"/>
      <c r="C379" s="20"/>
      <c r="D379" s="20"/>
      <c r="E379" s="183" t="s">
        <v>621</v>
      </c>
      <c r="F379" s="20"/>
      <c r="G379" s="20"/>
      <c r="H379" s="20"/>
      <c r="I379" s="187" t="s">
        <v>635</v>
      </c>
      <c r="J379" s="31" t="str">
        <f>'参照_各種特典'!F96</f>
        <v>Mystic Matrimony Nobunaga</v>
      </c>
      <c r="K379" s="230" t="s">
        <v>683</v>
      </c>
      <c r="L379" s="34">
        <v>171916.0</v>
      </c>
      <c r="M379" s="34">
        <v>2.0</v>
      </c>
      <c r="N379" s="37" t="str">
        <f t="shared" si="22"/>
        <v>Mystic Matrimony Nobunaga</v>
      </c>
      <c r="O379" s="92" t="s">
        <v>67</v>
      </c>
      <c r="P379" s="92" t="s">
        <v>68</v>
      </c>
      <c r="Q379" s="92" t="s">
        <v>69</v>
      </c>
      <c r="R379" s="171">
        <v>46063.0</v>
      </c>
      <c r="S379" s="228"/>
      <c r="T379" s="228"/>
      <c r="U379" s="228"/>
      <c r="V379" s="228"/>
      <c r="W379" s="191"/>
      <c r="X379" s="47"/>
      <c r="Y379" s="47"/>
    </row>
    <row r="380" ht="31.5" customHeight="1">
      <c r="A380" s="28">
        <f t="shared" si="17"/>
        <v>378</v>
      </c>
      <c r="B380" s="20"/>
      <c r="C380" s="20"/>
      <c r="D380" s="20"/>
      <c r="E380" s="187" t="s">
        <v>637</v>
      </c>
      <c r="F380" s="20"/>
      <c r="G380" s="20"/>
      <c r="H380" s="20"/>
      <c r="I380" s="187" t="s">
        <v>292</v>
      </c>
      <c r="J380" s="31">
        <f>'参照_各種特典'!H96</f>
        <v>1</v>
      </c>
      <c r="K380" s="230" t="s">
        <v>683</v>
      </c>
      <c r="L380" s="34">
        <v>171916.0</v>
      </c>
      <c r="M380" s="34">
        <v>3.0</v>
      </c>
      <c r="N380" s="37" t="str">
        <f>IFERROR(__xludf.DUMMYFUNCTION("TO_TEXT( VLOOKUP(L380,INDIRECT(K380),M380))"),"1")</f>
        <v>1</v>
      </c>
      <c r="O380" s="92" t="s">
        <v>67</v>
      </c>
      <c r="P380" s="92" t="s">
        <v>68</v>
      </c>
      <c r="Q380" s="92" t="s">
        <v>69</v>
      </c>
      <c r="R380" s="171">
        <v>46063.0</v>
      </c>
      <c r="S380" s="228"/>
      <c r="T380" s="228"/>
      <c r="U380" s="228"/>
      <c r="V380" s="228"/>
      <c r="W380" s="191"/>
      <c r="X380" s="47"/>
      <c r="Y380" s="47"/>
    </row>
    <row r="381" ht="31.5" customHeight="1">
      <c r="A381" s="28">
        <f t="shared" si="17"/>
        <v>379</v>
      </c>
      <c r="B381" s="20"/>
      <c r="C381" s="231"/>
      <c r="D381" s="21"/>
      <c r="E381" s="187" t="s">
        <v>617</v>
      </c>
      <c r="F381" s="20"/>
      <c r="G381" s="231"/>
      <c r="H381" s="21"/>
      <c r="I381" s="187" t="s">
        <v>618</v>
      </c>
      <c r="J381" s="31"/>
      <c r="K381" s="234"/>
      <c r="L381" s="28"/>
      <c r="M381" s="28"/>
      <c r="N381" s="235"/>
      <c r="O381" s="226" t="s">
        <v>67</v>
      </c>
      <c r="P381" s="226" t="s">
        <v>68</v>
      </c>
      <c r="Q381" s="226" t="s">
        <v>69</v>
      </c>
      <c r="R381" s="227">
        <v>46064.0</v>
      </c>
      <c r="S381" s="228"/>
      <c r="T381" s="228"/>
      <c r="U381" s="228"/>
      <c r="V381" s="228"/>
      <c r="W381" s="191"/>
      <c r="X381" s="47"/>
      <c r="Y381" s="47"/>
    </row>
    <row r="382" ht="31.5" customHeight="1">
      <c r="A382" s="28">
        <f t="shared" si="17"/>
        <v>380</v>
      </c>
      <c r="B382" s="21"/>
      <c r="C382" s="73" t="s">
        <v>72</v>
      </c>
      <c r="D382" s="31" t="s">
        <v>626</v>
      </c>
      <c r="E382" s="187" t="s">
        <v>627</v>
      </c>
      <c r="F382" s="21"/>
      <c r="G382" s="73" t="s">
        <v>74</v>
      </c>
      <c r="H382" s="31" t="s">
        <v>628</v>
      </c>
      <c r="I382" s="187" t="s">
        <v>640</v>
      </c>
      <c r="J382" s="31"/>
      <c r="K382" s="28"/>
      <c r="L382" s="28"/>
      <c r="M382" s="28"/>
      <c r="N382" s="37"/>
      <c r="O382" s="193"/>
      <c r="P382" s="193"/>
      <c r="Q382" s="193"/>
      <c r="R382" s="194"/>
      <c r="S382" s="34" t="s">
        <v>67</v>
      </c>
      <c r="T382" s="28" t="s">
        <v>68</v>
      </c>
      <c r="U382" s="28" t="s">
        <v>69</v>
      </c>
      <c r="V382" s="28" t="s">
        <v>76</v>
      </c>
      <c r="W382" s="191"/>
      <c r="X382" s="47"/>
      <c r="Y382" s="47"/>
    </row>
    <row r="383" ht="31.5" customHeight="1">
      <c r="A383" s="28">
        <f t="shared" si="17"/>
        <v>381</v>
      </c>
      <c r="B383" s="173">
        <f>'参照_各種特典'!$K$97</f>
        <v>950</v>
      </c>
      <c r="C383" s="91" t="s">
        <v>681</v>
      </c>
      <c r="D383" s="59" t="s">
        <v>183</v>
      </c>
      <c r="E383" s="189" t="s">
        <v>621</v>
      </c>
      <c r="F383" s="173">
        <f>'参照_各種特典'!$K$97</f>
        <v>950</v>
      </c>
      <c r="G383" s="229" t="s">
        <v>682</v>
      </c>
      <c r="H383" s="59" t="s">
        <v>678</v>
      </c>
      <c r="I383" s="190" t="s">
        <v>635</v>
      </c>
      <c r="J383" s="37" t="str">
        <f>'参照_各種特典'!$F$97</f>
        <v>Mystic Matrimony After Story ～Masamune～</v>
      </c>
      <c r="K383" s="220" t="s">
        <v>684</v>
      </c>
      <c r="L383" s="34">
        <v>6320.0</v>
      </c>
      <c r="M383" s="220">
        <v>2.0</v>
      </c>
      <c r="N383" s="233" t="str">
        <f t="array" ref="N383">VLOOKUP(L383,INDIRECT(K383),M383,0)</f>
        <v>Mystic Matrimony After Story ～Masamune～</v>
      </c>
      <c r="O383" s="226" t="s">
        <v>67</v>
      </c>
      <c r="P383" s="226" t="s">
        <v>68</v>
      </c>
      <c r="Q383" s="226" t="s">
        <v>69</v>
      </c>
      <c r="R383" s="227">
        <v>46064.0</v>
      </c>
      <c r="S383" s="228"/>
      <c r="T383" s="228"/>
      <c r="U383" s="228"/>
      <c r="V383" s="228"/>
      <c r="W383" s="191"/>
      <c r="X383" s="47"/>
      <c r="Y383" s="47"/>
    </row>
    <row r="384" ht="31.5" customHeight="1">
      <c r="A384" s="28">
        <f t="shared" si="17"/>
        <v>382</v>
      </c>
      <c r="B384" s="20"/>
      <c r="C384" s="231"/>
      <c r="D384" s="21"/>
      <c r="E384" s="190" t="s">
        <v>617</v>
      </c>
      <c r="F384" s="20"/>
      <c r="G384" s="231"/>
      <c r="H384" s="21"/>
      <c r="I384" s="190" t="s">
        <v>618</v>
      </c>
      <c r="J384" s="37"/>
      <c r="K384" s="234"/>
      <c r="L384" s="28"/>
      <c r="M384" s="28"/>
      <c r="N384" s="235"/>
      <c r="O384" s="226" t="s">
        <v>67</v>
      </c>
      <c r="P384" s="226" t="s">
        <v>68</v>
      </c>
      <c r="Q384" s="226" t="s">
        <v>69</v>
      </c>
      <c r="R384" s="227">
        <v>46064.0</v>
      </c>
      <c r="S384" s="228"/>
      <c r="T384" s="228"/>
      <c r="U384" s="228"/>
      <c r="V384" s="228"/>
      <c r="W384" s="191"/>
      <c r="X384" s="47"/>
      <c r="Y384" s="47"/>
    </row>
    <row r="385" ht="31.5" customHeight="1">
      <c r="A385" s="28">
        <f t="shared" si="17"/>
        <v>383</v>
      </c>
      <c r="B385" s="21"/>
      <c r="C385" s="73" t="s">
        <v>72</v>
      </c>
      <c r="D385" s="37" t="s">
        <v>626</v>
      </c>
      <c r="E385" s="190" t="s">
        <v>627</v>
      </c>
      <c r="F385" s="21"/>
      <c r="G385" s="73" t="s">
        <v>74</v>
      </c>
      <c r="H385" s="37" t="s">
        <v>628</v>
      </c>
      <c r="I385" s="190" t="s">
        <v>640</v>
      </c>
      <c r="J385" s="37"/>
      <c r="K385" s="28"/>
      <c r="L385" s="28"/>
      <c r="M385" s="28"/>
      <c r="N385" s="37"/>
      <c r="O385" s="193"/>
      <c r="P385" s="193"/>
      <c r="Q385" s="193"/>
      <c r="R385" s="194"/>
      <c r="S385" s="34" t="s">
        <v>67</v>
      </c>
      <c r="T385" s="28" t="s">
        <v>68</v>
      </c>
      <c r="U385" s="28" t="s">
        <v>69</v>
      </c>
      <c r="V385" s="28" t="s">
        <v>76</v>
      </c>
      <c r="W385" s="191"/>
      <c r="X385" s="47"/>
      <c r="Y385" s="47"/>
    </row>
    <row r="386" ht="31.5" customHeight="1">
      <c r="A386" s="28">
        <f t="shared" si="17"/>
        <v>384</v>
      </c>
      <c r="B386" s="182">
        <f>'参照_各種特典'!$K$97</f>
        <v>950</v>
      </c>
      <c r="C386" s="236" t="s">
        <v>288</v>
      </c>
      <c r="D386" s="29" t="s">
        <v>183</v>
      </c>
      <c r="E386" s="183" t="s">
        <v>621</v>
      </c>
      <c r="F386" s="182">
        <f>'参照_各種特典'!$K$97</f>
        <v>950</v>
      </c>
      <c r="G386" s="229" t="s">
        <v>682</v>
      </c>
      <c r="H386" s="29" t="s">
        <v>678</v>
      </c>
      <c r="I386" s="187" t="s">
        <v>635</v>
      </c>
      <c r="J386" s="31" t="str">
        <f>'参照_各種特典'!$F$98</f>
        <v>Mystic Matrimony ~Masamune~</v>
      </c>
      <c r="K386" s="220" t="s">
        <v>679</v>
      </c>
      <c r="L386" s="34">
        <v>3775.0</v>
      </c>
      <c r="M386" s="220">
        <v>2.0</v>
      </c>
      <c r="N386" s="221" t="str">
        <f t="array" ref="N386">VLOOKUP(L386,INDIRECT(K386),M386,0)</f>
        <v>Mystic Matrimony ~Masamune~</v>
      </c>
      <c r="O386" s="92" t="s">
        <v>67</v>
      </c>
      <c r="P386" s="92" t="s">
        <v>68</v>
      </c>
      <c r="Q386" s="92" t="s">
        <v>69</v>
      </c>
      <c r="R386" s="171">
        <v>46065.0</v>
      </c>
      <c r="S386" s="228"/>
      <c r="T386" s="228"/>
      <c r="U386" s="228"/>
      <c r="V386" s="228"/>
      <c r="W386" s="191"/>
      <c r="X386" s="224" t="s">
        <v>680</v>
      </c>
      <c r="Y386" s="47"/>
    </row>
    <row r="387" ht="31.5" customHeight="1">
      <c r="A387" s="28">
        <f t="shared" si="17"/>
        <v>385</v>
      </c>
      <c r="B387" s="20"/>
      <c r="C387" s="21"/>
      <c r="D387" s="21"/>
      <c r="E387" s="187" t="s">
        <v>617</v>
      </c>
      <c r="F387" s="20"/>
      <c r="G387" s="231"/>
      <c r="H387" s="21"/>
      <c r="I387" s="187" t="s">
        <v>618</v>
      </c>
      <c r="J387" s="31"/>
      <c r="K387" s="234"/>
      <c r="L387" s="28"/>
      <c r="M387" s="28"/>
      <c r="N387" s="235"/>
      <c r="O387" s="226" t="s">
        <v>67</v>
      </c>
      <c r="P387" s="226" t="s">
        <v>68</v>
      </c>
      <c r="Q387" s="226" t="s">
        <v>69</v>
      </c>
      <c r="R387" s="227">
        <v>46064.0</v>
      </c>
      <c r="S387" s="228"/>
      <c r="T387" s="228"/>
      <c r="U387" s="228"/>
      <c r="V387" s="228"/>
      <c r="W387" s="191"/>
      <c r="X387" s="47"/>
      <c r="Y387" s="47"/>
    </row>
    <row r="388" ht="31.5" customHeight="1">
      <c r="A388" s="28">
        <f t="shared" si="17"/>
        <v>386</v>
      </c>
      <c r="B388" s="21"/>
      <c r="C388" s="73" t="s">
        <v>72</v>
      </c>
      <c r="D388" s="31" t="s">
        <v>626</v>
      </c>
      <c r="E388" s="187" t="s">
        <v>627</v>
      </c>
      <c r="F388" s="21"/>
      <c r="G388" s="73" t="s">
        <v>74</v>
      </c>
      <c r="H388" s="31" t="s">
        <v>628</v>
      </c>
      <c r="I388" s="187" t="s">
        <v>640</v>
      </c>
      <c r="J388" s="31"/>
      <c r="K388" s="28"/>
      <c r="L388" s="28"/>
      <c r="M388" s="28"/>
      <c r="N388" s="37"/>
      <c r="O388" s="193"/>
      <c r="P388" s="193"/>
      <c r="Q388" s="193"/>
      <c r="R388" s="194"/>
      <c r="S388" s="34" t="s">
        <v>67</v>
      </c>
      <c r="T388" s="28" t="s">
        <v>68</v>
      </c>
      <c r="U388" s="28" t="s">
        <v>69</v>
      </c>
      <c r="V388" s="28" t="s">
        <v>76</v>
      </c>
      <c r="W388" s="191"/>
      <c r="X388" s="47"/>
      <c r="Y388" s="47"/>
    </row>
    <row r="389" ht="31.5" customHeight="1">
      <c r="A389" s="28">
        <f t="shared" si="17"/>
        <v>387</v>
      </c>
      <c r="B389" s="173">
        <f>'参照_各種特典'!$K$96</f>
        <v>900</v>
      </c>
      <c r="C389" s="91" t="s">
        <v>681</v>
      </c>
      <c r="D389" s="59" t="s">
        <v>183</v>
      </c>
      <c r="E389" s="189" t="s">
        <v>631</v>
      </c>
      <c r="F389" s="173">
        <f>'参照_各種特典'!$K$96</f>
        <v>900</v>
      </c>
      <c r="G389" s="229" t="s">
        <v>682</v>
      </c>
      <c r="H389" s="59" t="s">
        <v>678</v>
      </c>
      <c r="I389" s="189" t="s">
        <v>633</v>
      </c>
      <c r="J389" s="37" t="str">
        <f>'参照_各種特典'!D99</f>
        <v>Mystic Matrimony Special Collection Bonus</v>
      </c>
      <c r="K389" s="230" t="s">
        <v>683</v>
      </c>
      <c r="L389" s="34">
        <v>171918.0</v>
      </c>
      <c r="M389" s="34">
        <v>4.0</v>
      </c>
      <c r="N389" s="37" t="str">
        <f t="shared" ref="N389:N390" si="23">VLOOKUP(L389,INDIRECT(K389),M389)</f>
        <v>Mystic Matrimony Special Collection Bonus</v>
      </c>
      <c r="O389" s="92" t="s">
        <v>67</v>
      </c>
      <c r="P389" s="92" t="s">
        <v>68</v>
      </c>
      <c r="Q389" s="92" t="s">
        <v>69</v>
      </c>
      <c r="R389" s="171">
        <v>46063.0</v>
      </c>
      <c r="S389" s="228"/>
      <c r="T389" s="228"/>
      <c r="U389" s="228"/>
      <c r="V389" s="228"/>
      <c r="W389" s="191"/>
      <c r="X389" s="47"/>
      <c r="Y389" s="47"/>
    </row>
    <row r="390" ht="31.5" customHeight="1">
      <c r="A390" s="28">
        <f t="shared" si="17"/>
        <v>388</v>
      </c>
      <c r="B390" s="20"/>
      <c r="C390" s="20"/>
      <c r="D390" s="20"/>
      <c r="E390" s="189" t="s">
        <v>621</v>
      </c>
      <c r="F390" s="20"/>
      <c r="G390" s="20"/>
      <c r="H390" s="20"/>
      <c r="I390" s="190" t="s">
        <v>635</v>
      </c>
      <c r="J390" s="37" t="str">
        <f>'参照_各種特典'!F99</f>
        <v>Mystic Matrimony Masamune</v>
      </c>
      <c r="K390" s="230" t="s">
        <v>683</v>
      </c>
      <c r="L390" s="34">
        <v>171918.0</v>
      </c>
      <c r="M390" s="34">
        <v>2.0</v>
      </c>
      <c r="N390" s="37" t="str">
        <f t="shared" si="23"/>
        <v>Mystic Matrimony Masamune</v>
      </c>
      <c r="O390" s="92" t="s">
        <v>67</v>
      </c>
      <c r="P390" s="92" t="s">
        <v>68</v>
      </c>
      <c r="Q390" s="92" t="s">
        <v>69</v>
      </c>
      <c r="R390" s="171">
        <v>46063.0</v>
      </c>
      <c r="S390" s="228"/>
      <c r="T390" s="228"/>
      <c r="U390" s="228"/>
      <c r="V390" s="228"/>
      <c r="W390" s="191"/>
      <c r="X390" s="47"/>
      <c r="Y390" s="47"/>
    </row>
    <row r="391" ht="31.5" customHeight="1">
      <c r="A391" s="28">
        <f t="shared" si="17"/>
        <v>389</v>
      </c>
      <c r="B391" s="20"/>
      <c r="C391" s="20"/>
      <c r="D391" s="20"/>
      <c r="E391" s="190" t="s">
        <v>637</v>
      </c>
      <c r="F391" s="20"/>
      <c r="G391" s="20"/>
      <c r="H391" s="20"/>
      <c r="I391" s="190" t="s">
        <v>292</v>
      </c>
      <c r="J391" s="37">
        <f>'参照_各種特典'!H99</f>
        <v>1</v>
      </c>
      <c r="K391" s="230" t="s">
        <v>683</v>
      </c>
      <c r="L391" s="34">
        <v>171918.0</v>
      </c>
      <c r="M391" s="34">
        <v>3.0</v>
      </c>
      <c r="N391" s="37" t="str">
        <f>IFERROR(__xludf.DUMMYFUNCTION("TO_TEXT( VLOOKUP(L391,INDIRECT(K391),M391))"),"1")</f>
        <v>1</v>
      </c>
      <c r="O391" s="92" t="s">
        <v>67</v>
      </c>
      <c r="P391" s="92" t="s">
        <v>68</v>
      </c>
      <c r="Q391" s="92" t="s">
        <v>69</v>
      </c>
      <c r="R391" s="171">
        <v>46063.0</v>
      </c>
      <c r="S391" s="228"/>
      <c r="T391" s="228"/>
      <c r="U391" s="228"/>
      <c r="V391" s="228"/>
      <c r="W391" s="191"/>
      <c r="X391" s="47"/>
      <c r="Y391" s="47"/>
    </row>
    <row r="392" ht="31.5" customHeight="1">
      <c r="A392" s="28">
        <f t="shared" si="17"/>
        <v>390</v>
      </c>
      <c r="B392" s="20"/>
      <c r="C392" s="231"/>
      <c r="D392" s="21"/>
      <c r="E392" s="190" t="s">
        <v>617</v>
      </c>
      <c r="F392" s="20"/>
      <c r="G392" s="231"/>
      <c r="H392" s="21"/>
      <c r="I392" s="190" t="s">
        <v>618</v>
      </c>
      <c r="J392" s="37"/>
      <c r="K392" s="234"/>
      <c r="L392" s="28"/>
      <c r="M392" s="28"/>
      <c r="N392" s="235"/>
      <c r="O392" s="226" t="s">
        <v>67</v>
      </c>
      <c r="P392" s="226" t="s">
        <v>68</v>
      </c>
      <c r="Q392" s="226" t="s">
        <v>69</v>
      </c>
      <c r="R392" s="227">
        <v>46064.0</v>
      </c>
      <c r="S392" s="228"/>
      <c r="T392" s="228"/>
      <c r="U392" s="228"/>
      <c r="V392" s="228"/>
      <c r="W392" s="191"/>
      <c r="X392" s="47"/>
      <c r="Y392" s="47"/>
    </row>
    <row r="393">
      <c r="A393" s="28">
        <f t="shared" si="17"/>
        <v>391</v>
      </c>
      <c r="B393" s="21"/>
      <c r="C393" s="73" t="s">
        <v>72</v>
      </c>
      <c r="D393" s="37" t="s">
        <v>626</v>
      </c>
      <c r="E393" s="190" t="s">
        <v>627</v>
      </c>
      <c r="F393" s="21"/>
      <c r="G393" s="73" t="s">
        <v>74</v>
      </c>
      <c r="H393" s="37" t="s">
        <v>628</v>
      </c>
      <c r="I393" s="190" t="s">
        <v>640</v>
      </c>
      <c r="J393" s="37"/>
      <c r="K393" s="28"/>
      <c r="L393" s="28"/>
      <c r="M393" s="28"/>
      <c r="N393" s="37"/>
      <c r="O393" s="193"/>
      <c r="P393" s="193"/>
      <c r="Q393" s="193"/>
      <c r="R393" s="194"/>
      <c r="S393" s="34" t="s">
        <v>67</v>
      </c>
      <c r="T393" s="28" t="s">
        <v>68</v>
      </c>
      <c r="U393" s="28" t="s">
        <v>69</v>
      </c>
      <c r="V393" s="28" t="s">
        <v>76</v>
      </c>
      <c r="W393" s="191"/>
      <c r="X393" s="47"/>
      <c r="Y393" s="47"/>
    </row>
  </sheetData>
  <customSheetViews>
    <customSheetView guid="{1ABAEFC5-7779-47AF-8E40-B46656CFF8B1}" filter="1" showAutoFilter="1">
      <autoFilter ref="$A$1:$Y$393"/>
    </customSheetView>
  </customSheetViews>
  <mergeCells count="666">
    <mergeCell ref="C128:C130"/>
    <mergeCell ref="C131:C133"/>
    <mergeCell ref="C108:C109"/>
    <mergeCell ref="C110:C112"/>
    <mergeCell ref="C113:C115"/>
    <mergeCell ref="C116:C118"/>
    <mergeCell ref="C119:C121"/>
    <mergeCell ref="C122:C124"/>
    <mergeCell ref="C125:C127"/>
    <mergeCell ref="B110:B115"/>
    <mergeCell ref="B116:B121"/>
    <mergeCell ref="B122:B127"/>
    <mergeCell ref="B128:B133"/>
    <mergeCell ref="B134:B140"/>
    <mergeCell ref="B141:B146"/>
    <mergeCell ref="B147:B152"/>
    <mergeCell ref="B153:B158"/>
    <mergeCell ref="B159:B164"/>
    <mergeCell ref="B165:B170"/>
    <mergeCell ref="B171:B173"/>
    <mergeCell ref="B174:B179"/>
    <mergeCell ref="B180:B185"/>
    <mergeCell ref="B186:B191"/>
    <mergeCell ref="B192:B197"/>
    <mergeCell ref="B198:B203"/>
    <mergeCell ref="B204:B209"/>
    <mergeCell ref="B210:B215"/>
    <mergeCell ref="B216:B221"/>
    <mergeCell ref="B222:B227"/>
    <mergeCell ref="B228:B234"/>
    <mergeCell ref="B235:B237"/>
    <mergeCell ref="B238:B243"/>
    <mergeCell ref="B244:B249"/>
    <mergeCell ref="B250:B255"/>
    <mergeCell ref="B256:B261"/>
    <mergeCell ref="B262:B267"/>
    <mergeCell ref="B268:B273"/>
    <mergeCell ref="B274:B279"/>
    <mergeCell ref="B280:B285"/>
    <mergeCell ref="B286:B288"/>
    <mergeCell ref="B289:B294"/>
    <mergeCell ref="B295:B300"/>
    <mergeCell ref="B301:B306"/>
    <mergeCell ref="B307:B312"/>
    <mergeCell ref="B313:B315"/>
    <mergeCell ref="B316:B322"/>
    <mergeCell ref="B323:B324"/>
    <mergeCell ref="B325:B326"/>
    <mergeCell ref="B328:B330"/>
    <mergeCell ref="B331:B335"/>
    <mergeCell ref="B336:B338"/>
    <mergeCell ref="B364:B366"/>
    <mergeCell ref="B367:B371"/>
    <mergeCell ref="B372:B374"/>
    <mergeCell ref="B375:B377"/>
    <mergeCell ref="B378:B382"/>
    <mergeCell ref="B383:B385"/>
    <mergeCell ref="B386:B388"/>
    <mergeCell ref="B389:B393"/>
    <mergeCell ref="B339:B341"/>
    <mergeCell ref="B342:B346"/>
    <mergeCell ref="B347:B349"/>
    <mergeCell ref="B350:B352"/>
    <mergeCell ref="B353:B355"/>
    <mergeCell ref="B356:B360"/>
    <mergeCell ref="B361:B363"/>
    <mergeCell ref="C19:C21"/>
    <mergeCell ref="C22:C24"/>
    <mergeCell ref="B25:B30"/>
    <mergeCell ref="C25:C27"/>
    <mergeCell ref="C28:C30"/>
    <mergeCell ref="C31:C33"/>
    <mergeCell ref="C34:C36"/>
    <mergeCell ref="C43:C45"/>
    <mergeCell ref="C46:C48"/>
    <mergeCell ref="C49:C51"/>
    <mergeCell ref="C52:C54"/>
    <mergeCell ref="C56:C57"/>
    <mergeCell ref="C58:C60"/>
    <mergeCell ref="C61:C63"/>
    <mergeCell ref="B31:B36"/>
    <mergeCell ref="B37:B42"/>
    <mergeCell ref="B43:B48"/>
    <mergeCell ref="B49:B54"/>
    <mergeCell ref="B55:B57"/>
    <mergeCell ref="B58:B63"/>
    <mergeCell ref="B64:B69"/>
    <mergeCell ref="C64:C66"/>
    <mergeCell ref="C67:C69"/>
    <mergeCell ref="C70:C72"/>
    <mergeCell ref="C73:C75"/>
    <mergeCell ref="C76:C78"/>
    <mergeCell ref="C79:C82"/>
    <mergeCell ref="C83:C85"/>
    <mergeCell ref="B70:B75"/>
    <mergeCell ref="B76:B82"/>
    <mergeCell ref="B83:B88"/>
    <mergeCell ref="B89:B94"/>
    <mergeCell ref="B95:B100"/>
    <mergeCell ref="B101:B106"/>
    <mergeCell ref="B107:B109"/>
    <mergeCell ref="C86:C88"/>
    <mergeCell ref="C89:C91"/>
    <mergeCell ref="C92:C94"/>
    <mergeCell ref="C95:C97"/>
    <mergeCell ref="C98:C100"/>
    <mergeCell ref="C101:C103"/>
    <mergeCell ref="C104:C106"/>
    <mergeCell ref="C134:C136"/>
    <mergeCell ref="C137:C140"/>
    <mergeCell ref="C141:C143"/>
    <mergeCell ref="C144:C146"/>
    <mergeCell ref="C147:C149"/>
    <mergeCell ref="C150:C152"/>
    <mergeCell ref="C153:C155"/>
    <mergeCell ref="C283:C285"/>
    <mergeCell ref="C287:C288"/>
    <mergeCell ref="C289:C291"/>
    <mergeCell ref="C292:C294"/>
    <mergeCell ref="C295:C297"/>
    <mergeCell ref="C298:C300"/>
    <mergeCell ref="C301:C303"/>
    <mergeCell ref="C304:C306"/>
    <mergeCell ref="C307:C309"/>
    <mergeCell ref="C310:C312"/>
    <mergeCell ref="C314:C315"/>
    <mergeCell ref="C316:C318"/>
    <mergeCell ref="C319:C322"/>
    <mergeCell ref="C323:C326"/>
    <mergeCell ref="C328:C329"/>
    <mergeCell ref="C331:C333"/>
    <mergeCell ref="C334:C335"/>
    <mergeCell ref="C336:C337"/>
    <mergeCell ref="C339:C340"/>
    <mergeCell ref="C342:C344"/>
    <mergeCell ref="C345:C346"/>
    <mergeCell ref="C347:C348"/>
    <mergeCell ref="C350:C351"/>
    <mergeCell ref="C353:C354"/>
    <mergeCell ref="C356:C359"/>
    <mergeCell ref="C361:C362"/>
    <mergeCell ref="C364:C365"/>
    <mergeCell ref="C367:C370"/>
    <mergeCell ref="C156:C158"/>
    <mergeCell ref="C159:C161"/>
    <mergeCell ref="C162:C164"/>
    <mergeCell ref="C165:C167"/>
    <mergeCell ref="C168:C170"/>
    <mergeCell ref="C172:C173"/>
    <mergeCell ref="C174:C176"/>
    <mergeCell ref="C177:C179"/>
    <mergeCell ref="C180:C182"/>
    <mergeCell ref="C183:C185"/>
    <mergeCell ref="C186:C188"/>
    <mergeCell ref="C189:C191"/>
    <mergeCell ref="C192:C194"/>
    <mergeCell ref="C195:C197"/>
    <mergeCell ref="C198:C200"/>
    <mergeCell ref="C201:C203"/>
    <mergeCell ref="C204:C206"/>
    <mergeCell ref="C207:C209"/>
    <mergeCell ref="C210:C212"/>
    <mergeCell ref="C213:C215"/>
    <mergeCell ref="C216:C218"/>
    <mergeCell ref="C219:C221"/>
    <mergeCell ref="C222:C224"/>
    <mergeCell ref="C225:C227"/>
    <mergeCell ref="C228:C230"/>
    <mergeCell ref="C231:C234"/>
    <mergeCell ref="C236:C237"/>
    <mergeCell ref="C238:C240"/>
    <mergeCell ref="C241:C243"/>
    <mergeCell ref="C244:C246"/>
    <mergeCell ref="C247:C249"/>
    <mergeCell ref="C250:C252"/>
    <mergeCell ref="C253:C255"/>
    <mergeCell ref="C256:C258"/>
    <mergeCell ref="C259:C261"/>
    <mergeCell ref="C262:C264"/>
    <mergeCell ref="C265:C267"/>
    <mergeCell ref="C268:C270"/>
    <mergeCell ref="C271:C273"/>
    <mergeCell ref="C274:C276"/>
    <mergeCell ref="C277:C279"/>
    <mergeCell ref="C280:C282"/>
    <mergeCell ref="C372:C373"/>
    <mergeCell ref="C375:C376"/>
    <mergeCell ref="C378:C381"/>
    <mergeCell ref="C383:C384"/>
    <mergeCell ref="C386:C387"/>
    <mergeCell ref="C389:C392"/>
    <mergeCell ref="G61:G63"/>
    <mergeCell ref="G64:G66"/>
    <mergeCell ref="H64:H67"/>
    <mergeCell ref="G67:G69"/>
    <mergeCell ref="H68:H69"/>
    <mergeCell ref="G70:G72"/>
    <mergeCell ref="G73:G75"/>
    <mergeCell ref="G79:G82"/>
    <mergeCell ref="G83:G85"/>
    <mergeCell ref="H70:H73"/>
    <mergeCell ref="H74:H75"/>
    <mergeCell ref="F76:F82"/>
    <mergeCell ref="G76:G78"/>
    <mergeCell ref="H76:H79"/>
    <mergeCell ref="H80:H82"/>
    <mergeCell ref="H83:H86"/>
    <mergeCell ref="F83:F88"/>
    <mergeCell ref="G86:G88"/>
    <mergeCell ref="F89:F94"/>
    <mergeCell ref="G89:G91"/>
    <mergeCell ref="G92:G94"/>
    <mergeCell ref="G95:G97"/>
    <mergeCell ref="G98:G100"/>
    <mergeCell ref="H87:H88"/>
    <mergeCell ref="H89:H92"/>
    <mergeCell ref="H93:H94"/>
    <mergeCell ref="H95:H98"/>
    <mergeCell ref="H99:H100"/>
    <mergeCell ref="H101:H104"/>
    <mergeCell ref="H105:H106"/>
    <mergeCell ref="F95:F100"/>
    <mergeCell ref="F101:F106"/>
    <mergeCell ref="F107:F109"/>
    <mergeCell ref="F110:F115"/>
    <mergeCell ref="F116:F121"/>
    <mergeCell ref="F122:F127"/>
    <mergeCell ref="F128:F133"/>
    <mergeCell ref="H159:H162"/>
    <mergeCell ref="H163:H164"/>
    <mergeCell ref="F262:F267"/>
    <mergeCell ref="F268:F273"/>
    <mergeCell ref="G271:G273"/>
    <mergeCell ref="F274:F279"/>
    <mergeCell ref="G277:G279"/>
    <mergeCell ref="F280:F285"/>
    <mergeCell ref="G283:G285"/>
    <mergeCell ref="G310:G312"/>
    <mergeCell ref="G314:G315"/>
    <mergeCell ref="G319:G322"/>
    <mergeCell ref="G334:G335"/>
    <mergeCell ref="F286:F288"/>
    <mergeCell ref="G287:G288"/>
    <mergeCell ref="F289:F294"/>
    <mergeCell ref="G292:G294"/>
    <mergeCell ref="F295:F300"/>
    <mergeCell ref="G298:G300"/>
    <mergeCell ref="G304:G306"/>
    <mergeCell ref="F301:F306"/>
    <mergeCell ref="F307:F312"/>
    <mergeCell ref="F313:F315"/>
    <mergeCell ref="F316:F322"/>
    <mergeCell ref="F328:F330"/>
    <mergeCell ref="F331:F335"/>
    <mergeCell ref="F336:F338"/>
    <mergeCell ref="F339:F341"/>
    <mergeCell ref="F342:F346"/>
    <mergeCell ref="F347:F349"/>
    <mergeCell ref="F350:F352"/>
    <mergeCell ref="F353:F355"/>
    <mergeCell ref="F356:F360"/>
    <mergeCell ref="F361:F363"/>
    <mergeCell ref="F364:F366"/>
    <mergeCell ref="F367:F371"/>
    <mergeCell ref="F372:F374"/>
    <mergeCell ref="F375:F377"/>
    <mergeCell ref="F378:F382"/>
    <mergeCell ref="G378:G381"/>
    <mergeCell ref="H378:H381"/>
    <mergeCell ref="G389:G392"/>
    <mergeCell ref="H389:H392"/>
    <mergeCell ref="F383:F385"/>
    <mergeCell ref="G383:G384"/>
    <mergeCell ref="H383:H384"/>
    <mergeCell ref="F386:F388"/>
    <mergeCell ref="G386:G387"/>
    <mergeCell ref="H386:H387"/>
    <mergeCell ref="F389:F393"/>
    <mergeCell ref="G162:G164"/>
    <mergeCell ref="G165:G167"/>
    <mergeCell ref="F147:F152"/>
    <mergeCell ref="F153:F158"/>
    <mergeCell ref="G156:G158"/>
    <mergeCell ref="H157:H158"/>
    <mergeCell ref="F159:F164"/>
    <mergeCell ref="G159:G161"/>
    <mergeCell ref="H165:H168"/>
    <mergeCell ref="F165:F170"/>
    <mergeCell ref="G168:G170"/>
    <mergeCell ref="F171:F173"/>
    <mergeCell ref="G172:G173"/>
    <mergeCell ref="F174:F179"/>
    <mergeCell ref="G174:G176"/>
    <mergeCell ref="G183:G185"/>
    <mergeCell ref="F180:F185"/>
    <mergeCell ref="F186:F191"/>
    <mergeCell ref="F192:F197"/>
    <mergeCell ref="F198:F203"/>
    <mergeCell ref="F204:F209"/>
    <mergeCell ref="F210:F215"/>
    <mergeCell ref="F216:F221"/>
    <mergeCell ref="G177:G179"/>
    <mergeCell ref="G180:G182"/>
    <mergeCell ref="G225:G227"/>
    <mergeCell ref="G228:G230"/>
    <mergeCell ref="G231:G234"/>
    <mergeCell ref="G236:G237"/>
    <mergeCell ref="G238:G240"/>
    <mergeCell ref="H260:H261"/>
    <mergeCell ref="H262:H265"/>
    <mergeCell ref="G265:G267"/>
    <mergeCell ref="F222:F227"/>
    <mergeCell ref="F228:F234"/>
    <mergeCell ref="F235:F237"/>
    <mergeCell ref="F238:F243"/>
    <mergeCell ref="F244:F249"/>
    <mergeCell ref="F250:F255"/>
    <mergeCell ref="F256:F261"/>
    <mergeCell ref="H126:H127"/>
    <mergeCell ref="H128:H131"/>
    <mergeCell ref="H107:H108"/>
    <mergeCell ref="H110:H113"/>
    <mergeCell ref="H114:H115"/>
    <mergeCell ref="H116:H119"/>
    <mergeCell ref="H120:H121"/>
    <mergeCell ref="H122:H125"/>
    <mergeCell ref="G128:G130"/>
    <mergeCell ref="H151:H152"/>
    <mergeCell ref="H153:H156"/>
    <mergeCell ref="F134:F140"/>
    <mergeCell ref="F141:F146"/>
    <mergeCell ref="H145:H146"/>
    <mergeCell ref="G147:G149"/>
    <mergeCell ref="H147:H150"/>
    <mergeCell ref="G150:G152"/>
    <mergeCell ref="G153:G155"/>
    <mergeCell ref="G207:G209"/>
    <mergeCell ref="G210:G212"/>
    <mergeCell ref="G186:G188"/>
    <mergeCell ref="G189:G191"/>
    <mergeCell ref="G192:G194"/>
    <mergeCell ref="G195:G197"/>
    <mergeCell ref="G198:G200"/>
    <mergeCell ref="G201:G203"/>
    <mergeCell ref="G204:G206"/>
    <mergeCell ref="H220:H221"/>
    <mergeCell ref="H222:H225"/>
    <mergeCell ref="H210:H213"/>
    <mergeCell ref="G213:G215"/>
    <mergeCell ref="H214:H215"/>
    <mergeCell ref="G216:G218"/>
    <mergeCell ref="H216:H219"/>
    <mergeCell ref="G219:G221"/>
    <mergeCell ref="G222:G224"/>
    <mergeCell ref="H169:H170"/>
    <mergeCell ref="H171:H172"/>
    <mergeCell ref="H174:H177"/>
    <mergeCell ref="H178:H179"/>
    <mergeCell ref="H180:H183"/>
    <mergeCell ref="H184:H185"/>
    <mergeCell ref="H186:H189"/>
    <mergeCell ref="H190:H191"/>
    <mergeCell ref="H192:H195"/>
    <mergeCell ref="H196:H197"/>
    <mergeCell ref="H198:H201"/>
    <mergeCell ref="H202:H203"/>
    <mergeCell ref="H204:H207"/>
    <mergeCell ref="H208:H209"/>
    <mergeCell ref="H248:H249"/>
    <mergeCell ref="H250:H253"/>
    <mergeCell ref="H226:H227"/>
    <mergeCell ref="H228:H231"/>
    <mergeCell ref="H232:H234"/>
    <mergeCell ref="H235:H236"/>
    <mergeCell ref="H238:H241"/>
    <mergeCell ref="H242:H243"/>
    <mergeCell ref="H244:H247"/>
    <mergeCell ref="G256:G258"/>
    <mergeCell ref="G259:G261"/>
    <mergeCell ref="G262:G264"/>
    <mergeCell ref="G241:G243"/>
    <mergeCell ref="G244:G246"/>
    <mergeCell ref="G247:G249"/>
    <mergeCell ref="G250:G252"/>
    <mergeCell ref="G253:G255"/>
    <mergeCell ref="H254:H255"/>
    <mergeCell ref="H256:H259"/>
    <mergeCell ref="D31:D34"/>
    <mergeCell ref="D35:D36"/>
    <mergeCell ref="D37:D40"/>
    <mergeCell ref="D41:D42"/>
    <mergeCell ref="D43:D46"/>
    <mergeCell ref="D47:D48"/>
    <mergeCell ref="D49:D52"/>
    <mergeCell ref="D64:D67"/>
    <mergeCell ref="D68:D69"/>
    <mergeCell ref="D70:D73"/>
    <mergeCell ref="D76:D79"/>
    <mergeCell ref="D80:D82"/>
    <mergeCell ref="D83:D86"/>
    <mergeCell ref="D87:D88"/>
    <mergeCell ref="D89:D92"/>
    <mergeCell ref="D93:D94"/>
    <mergeCell ref="D95:D98"/>
    <mergeCell ref="D99:D100"/>
    <mergeCell ref="D101:D104"/>
    <mergeCell ref="D105:D106"/>
    <mergeCell ref="D107:D108"/>
    <mergeCell ref="D110:D113"/>
    <mergeCell ref="D114:D115"/>
    <mergeCell ref="D116:D119"/>
    <mergeCell ref="D120:D121"/>
    <mergeCell ref="D122:D125"/>
    <mergeCell ref="D126:D127"/>
    <mergeCell ref="D128:D131"/>
    <mergeCell ref="D132:D133"/>
    <mergeCell ref="D134:D137"/>
    <mergeCell ref="D138:D140"/>
    <mergeCell ref="D141:D144"/>
    <mergeCell ref="D145:D146"/>
    <mergeCell ref="D147:D150"/>
    <mergeCell ref="D151:D152"/>
    <mergeCell ref="D153:D156"/>
    <mergeCell ref="D157:D158"/>
    <mergeCell ref="D159:D162"/>
    <mergeCell ref="D163:D164"/>
    <mergeCell ref="D165:D168"/>
    <mergeCell ref="D169:D170"/>
    <mergeCell ref="D171:D172"/>
    <mergeCell ref="D174:D177"/>
    <mergeCell ref="D178:D179"/>
    <mergeCell ref="D180:D183"/>
    <mergeCell ref="D184:D185"/>
    <mergeCell ref="D186:D189"/>
    <mergeCell ref="D190:D191"/>
    <mergeCell ref="D192:D195"/>
    <mergeCell ref="D196:D197"/>
    <mergeCell ref="D198:D201"/>
    <mergeCell ref="D202:D203"/>
    <mergeCell ref="D204:D207"/>
    <mergeCell ref="D208:D209"/>
    <mergeCell ref="D210:D213"/>
    <mergeCell ref="D214:D215"/>
    <mergeCell ref="D216:D219"/>
    <mergeCell ref="D220:D221"/>
    <mergeCell ref="D222:D225"/>
    <mergeCell ref="D226:D227"/>
    <mergeCell ref="D228:D231"/>
    <mergeCell ref="D232:D234"/>
    <mergeCell ref="D235:D236"/>
    <mergeCell ref="D238:D241"/>
    <mergeCell ref="D242:D243"/>
    <mergeCell ref="D244:D247"/>
    <mergeCell ref="D248:D249"/>
    <mergeCell ref="D250:D253"/>
    <mergeCell ref="D254:D255"/>
    <mergeCell ref="D256:D259"/>
    <mergeCell ref="D260:D261"/>
    <mergeCell ref="D262:D265"/>
    <mergeCell ref="D266:D267"/>
    <mergeCell ref="D268:D271"/>
    <mergeCell ref="D272:D273"/>
    <mergeCell ref="D274:D277"/>
    <mergeCell ref="D278:D279"/>
    <mergeCell ref="D280:D283"/>
    <mergeCell ref="D284:D285"/>
    <mergeCell ref="D286:D287"/>
    <mergeCell ref="D289:D292"/>
    <mergeCell ref="D293:D294"/>
    <mergeCell ref="D295:D298"/>
    <mergeCell ref="D299:D300"/>
    <mergeCell ref="D301:D304"/>
    <mergeCell ref="D305:D306"/>
    <mergeCell ref="D307:D310"/>
    <mergeCell ref="D311:D312"/>
    <mergeCell ref="D313:D314"/>
    <mergeCell ref="D316:D319"/>
    <mergeCell ref="D320:D322"/>
    <mergeCell ref="D383:D384"/>
    <mergeCell ref="D386:D387"/>
    <mergeCell ref="D389:D392"/>
    <mergeCell ref="D323:D326"/>
    <mergeCell ref="D328:D329"/>
    <mergeCell ref="D331:D334"/>
    <mergeCell ref="D336:D337"/>
    <mergeCell ref="D339:D340"/>
    <mergeCell ref="D342:D345"/>
    <mergeCell ref="D347:D348"/>
    <mergeCell ref="H1:H2"/>
    <mergeCell ref="I1:I2"/>
    <mergeCell ref="J1:J2"/>
    <mergeCell ref="O1:R1"/>
    <mergeCell ref="S1:V1"/>
    <mergeCell ref="W1:W2"/>
    <mergeCell ref="X1:X2"/>
    <mergeCell ref="Y1:Y2"/>
    <mergeCell ref="A1:A2"/>
    <mergeCell ref="B1:B2"/>
    <mergeCell ref="C1:C2"/>
    <mergeCell ref="E1:E2"/>
    <mergeCell ref="F1:F2"/>
    <mergeCell ref="G1:G2"/>
    <mergeCell ref="B4:B6"/>
    <mergeCell ref="C5:C6"/>
    <mergeCell ref="C10:C12"/>
    <mergeCell ref="C13:C15"/>
    <mergeCell ref="F7:F12"/>
    <mergeCell ref="F13:F18"/>
    <mergeCell ref="B13:B18"/>
    <mergeCell ref="C16:C18"/>
    <mergeCell ref="D1:D2"/>
    <mergeCell ref="D4:D5"/>
    <mergeCell ref="B7:B12"/>
    <mergeCell ref="C7:C9"/>
    <mergeCell ref="D7:D10"/>
    <mergeCell ref="D11:D12"/>
    <mergeCell ref="D13:D16"/>
    <mergeCell ref="D17:D18"/>
    <mergeCell ref="G16:G18"/>
    <mergeCell ref="H17:H18"/>
    <mergeCell ref="H25:H28"/>
    <mergeCell ref="H29:H30"/>
    <mergeCell ref="H31:H34"/>
    <mergeCell ref="H35:H36"/>
    <mergeCell ref="H37:H40"/>
    <mergeCell ref="H41:H42"/>
    <mergeCell ref="H43:H46"/>
    <mergeCell ref="H47:H48"/>
    <mergeCell ref="H49:H52"/>
    <mergeCell ref="H266:H267"/>
    <mergeCell ref="H268:H271"/>
    <mergeCell ref="H272:H273"/>
    <mergeCell ref="H274:H277"/>
    <mergeCell ref="H278:H279"/>
    <mergeCell ref="H280:H283"/>
    <mergeCell ref="H284:H285"/>
    <mergeCell ref="H286:H287"/>
    <mergeCell ref="H289:H292"/>
    <mergeCell ref="H293:H294"/>
    <mergeCell ref="H295:H298"/>
    <mergeCell ref="H299:H300"/>
    <mergeCell ref="H323:H326"/>
    <mergeCell ref="J323:J326"/>
    <mergeCell ref="H301:H304"/>
    <mergeCell ref="H305:H306"/>
    <mergeCell ref="H307:H310"/>
    <mergeCell ref="H311:H312"/>
    <mergeCell ref="H313:H314"/>
    <mergeCell ref="H316:H319"/>
    <mergeCell ref="H320:H322"/>
    <mergeCell ref="H353:H354"/>
    <mergeCell ref="H356:H359"/>
    <mergeCell ref="H361:H362"/>
    <mergeCell ref="H364:H365"/>
    <mergeCell ref="H367:H370"/>
    <mergeCell ref="H372:H373"/>
    <mergeCell ref="H375:H376"/>
    <mergeCell ref="H328:H329"/>
    <mergeCell ref="H331:H334"/>
    <mergeCell ref="H336:H337"/>
    <mergeCell ref="H339:H340"/>
    <mergeCell ref="H342:H345"/>
    <mergeCell ref="H347:H348"/>
    <mergeCell ref="H350:H351"/>
    <mergeCell ref="G52:G54"/>
    <mergeCell ref="G56:G57"/>
    <mergeCell ref="G37:G39"/>
    <mergeCell ref="G40:G42"/>
    <mergeCell ref="G43:G45"/>
    <mergeCell ref="G46:G48"/>
    <mergeCell ref="G49:G51"/>
    <mergeCell ref="H53:H54"/>
    <mergeCell ref="H55:H56"/>
    <mergeCell ref="F4:F6"/>
    <mergeCell ref="H4:H5"/>
    <mergeCell ref="G5:G6"/>
    <mergeCell ref="G7:G9"/>
    <mergeCell ref="H7:H10"/>
    <mergeCell ref="G10:G12"/>
    <mergeCell ref="G13:G15"/>
    <mergeCell ref="H11:H12"/>
    <mergeCell ref="H13:H16"/>
    <mergeCell ref="B19:B24"/>
    <mergeCell ref="F19:F24"/>
    <mergeCell ref="G19:G21"/>
    <mergeCell ref="H19:H22"/>
    <mergeCell ref="G22:G24"/>
    <mergeCell ref="H23:H24"/>
    <mergeCell ref="C37:C39"/>
    <mergeCell ref="C40:C42"/>
    <mergeCell ref="D19:D22"/>
    <mergeCell ref="D23:D24"/>
    <mergeCell ref="D25:D28"/>
    <mergeCell ref="G25:G27"/>
    <mergeCell ref="G28:G30"/>
    <mergeCell ref="D29:D30"/>
    <mergeCell ref="G33:G36"/>
    <mergeCell ref="D53:D54"/>
    <mergeCell ref="D55:D56"/>
    <mergeCell ref="D58:D61"/>
    <mergeCell ref="G58:G60"/>
    <mergeCell ref="H58:H61"/>
    <mergeCell ref="D62:D63"/>
    <mergeCell ref="H62:H63"/>
    <mergeCell ref="F64:F69"/>
    <mergeCell ref="F70:F75"/>
    <mergeCell ref="D74:D75"/>
    <mergeCell ref="F25:F30"/>
    <mergeCell ref="F31:F36"/>
    <mergeCell ref="F37:F42"/>
    <mergeCell ref="F43:F48"/>
    <mergeCell ref="F49:F54"/>
    <mergeCell ref="F55:F57"/>
    <mergeCell ref="F58:F63"/>
    <mergeCell ref="G101:G103"/>
    <mergeCell ref="G104:G106"/>
    <mergeCell ref="G108:G109"/>
    <mergeCell ref="G110:G112"/>
    <mergeCell ref="G113:G115"/>
    <mergeCell ref="G116:G118"/>
    <mergeCell ref="G119:G121"/>
    <mergeCell ref="G122:G124"/>
    <mergeCell ref="G125:G127"/>
    <mergeCell ref="G268:G270"/>
    <mergeCell ref="G274:G276"/>
    <mergeCell ref="G280:G282"/>
    <mergeCell ref="G289:G291"/>
    <mergeCell ref="G295:G297"/>
    <mergeCell ref="G301:G303"/>
    <mergeCell ref="G307:G309"/>
    <mergeCell ref="G316:G318"/>
    <mergeCell ref="F323:F324"/>
    <mergeCell ref="G323:G326"/>
    <mergeCell ref="F325:F326"/>
    <mergeCell ref="G328:G329"/>
    <mergeCell ref="G356:G359"/>
    <mergeCell ref="G361:G362"/>
    <mergeCell ref="G364:G365"/>
    <mergeCell ref="G367:G370"/>
    <mergeCell ref="G372:G373"/>
    <mergeCell ref="G375:G376"/>
    <mergeCell ref="G331:G333"/>
    <mergeCell ref="G336:G337"/>
    <mergeCell ref="G339:G340"/>
    <mergeCell ref="G342:G345"/>
    <mergeCell ref="G347:G348"/>
    <mergeCell ref="G350:G351"/>
    <mergeCell ref="G353:G354"/>
    <mergeCell ref="G141:G143"/>
    <mergeCell ref="G144:G146"/>
    <mergeCell ref="G131:G133"/>
    <mergeCell ref="H132:H133"/>
    <mergeCell ref="G134:G136"/>
    <mergeCell ref="H134:H137"/>
    <mergeCell ref="G137:G140"/>
    <mergeCell ref="H138:H140"/>
    <mergeCell ref="H141:H144"/>
    <mergeCell ref="D375:D376"/>
    <mergeCell ref="D378:D381"/>
    <mergeCell ref="D350:D351"/>
    <mergeCell ref="D353:D354"/>
    <mergeCell ref="D356:D359"/>
    <mergeCell ref="D361:D362"/>
    <mergeCell ref="D364:D365"/>
    <mergeCell ref="D367:D370"/>
    <mergeCell ref="D372:D373"/>
  </mergeCells>
  <conditionalFormatting sqref="N3:N393">
    <cfRule type="cellIs" dxfId="3" priority="1" operator="notEqual">
      <formula>TRIM(J3)</formula>
    </cfRule>
  </conditionalFormatting>
  <conditionalFormatting sqref="N3:N393">
    <cfRule type="expression" dxfId="3" priority="2">
      <formula>ISNA(N3)</formula>
    </cfRule>
  </conditionalFormatting>
  <hyperlinks>
    <hyperlink r:id="rId1" ref="C339"/>
    <hyperlink r:id="rId2" ref="C353"/>
    <hyperlink r:id="rId3" ref="C364"/>
    <hyperlink r:id="rId4" ref="C375"/>
    <hyperlink r:id="rId5" ref="C386"/>
  </hyperlinks>
  <printOptions/>
  <pageMargins bottom="0.75" footer="0.0" header="0.0" left="0.7" right="0.7" top="0.75"/>
  <pageSetup orientation="landscape"/>
  <drawing r:id="rId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sheetViews>
  <sheetFormatPr customHeight="1" defaultColWidth="14.43" defaultRowHeight="15.0"/>
  <cols>
    <col customWidth="1" min="2" max="2" width="39.43"/>
    <col customWidth="1" min="4" max="4" width="30.43"/>
  </cols>
  <sheetData>
    <row r="1">
      <c r="A1" s="155" t="s">
        <v>685</v>
      </c>
    </row>
    <row r="5">
      <c r="A5" s="237" t="s">
        <v>25</v>
      </c>
      <c r="B5" s="237" t="s">
        <v>686</v>
      </c>
      <c r="C5" s="237" t="s">
        <v>687</v>
      </c>
      <c r="D5" s="237" t="s">
        <v>688</v>
      </c>
      <c r="E5" s="237" t="s">
        <v>689</v>
      </c>
      <c r="F5" s="237" t="s">
        <v>690</v>
      </c>
      <c r="G5" s="237" t="s">
        <v>691</v>
      </c>
      <c r="H5" s="237" t="s">
        <v>576</v>
      </c>
    </row>
    <row r="6">
      <c r="A6" s="238">
        <v>2064.0</v>
      </c>
      <c r="B6" s="238" t="s">
        <v>692</v>
      </c>
      <c r="C6" s="239"/>
      <c r="D6" s="238" t="s">
        <v>693</v>
      </c>
      <c r="E6" s="239"/>
      <c r="F6" s="239"/>
      <c r="G6" s="239"/>
      <c r="H6" s="239"/>
    </row>
    <row r="7">
      <c r="A7" s="238">
        <v>2065.0</v>
      </c>
      <c r="B7" s="238" t="s">
        <v>692</v>
      </c>
      <c r="C7" s="239"/>
      <c r="D7" s="238" t="s">
        <v>694</v>
      </c>
      <c r="E7" s="239"/>
      <c r="F7" s="239"/>
      <c r="G7" s="239"/>
      <c r="H7" s="239"/>
    </row>
    <row r="8">
      <c r="A8" s="238">
        <v>2066.0</v>
      </c>
      <c r="B8" s="238" t="s">
        <v>692</v>
      </c>
      <c r="C8" s="239"/>
      <c r="D8" s="238" t="s">
        <v>694</v>
      </c>
      <c r="E8" s="239"/>
      <c r="F8" s="239"/>
      <c r="G8" s="239"/>
      <c r="H8" s="239"/>
    </row>
    <row r="9">
      <c r="A9" s="238">
        <v>2067.0</v>
      </c>
      <c r="B9" s="238" t="s">
        <v>692</v>
      </c>
      <c r="C9" s="239"/>
      <c r="D9" s="238" t="s">
        <v>694</v>
      </c>
      <c r="E9" s="239"/>
      <c r="F9" s="239"/>
      <c r="G9" s="239"/>
      <c r="H9" s="239"/>
    </row>
    <row r="10">
      <c r="A10" s="238">
        <v>2068.0</v>
      </c>
      <c r="B10" s="238" t="s">
        <v>692</v>
      </c>
      <c r="C10" s="239"/>
      <c r="D10" s="238" t="s">
        <v>694</v>
      </c>
      <c r="E10" s="239"/>
      <c r="F10" s="239"/>
      <c r="G10" s="239"/>
      <c r="H10" s="239"/>
    </row>
    <row r="11">
      <c r="A11" s="238">
        <v>2069.0</v>
      </c>
      <c r="B11" s="238" t="s">
        <v>692</v>
      </c>
      <c r="C11" s="239"/>
      <c r="D11" s="238" t="s">
        <v>694</v>
      </c>
      <c r="E11" s="239"/>
      <c r="F11" s="239"/>
      <c r="G11" s="239"/>
      <c r="H11" s="239"/>
    </row>
    <row r="12">
      <c r="A12" s="238">
        <v>2070.0</v>
      </c>
      <c r="B12" s="238" t="s">
        <v>692</v>
      </c>
      <c r="C12" s="239"/>
      <c r="D12" s="238" t="s">
        <v>694</v>
      </c>
      <c r="E12" s="239"/>
      <c r="F12" s="239"/>
      <c r="G12" s="239"/>
      <c r="H12" s="239"/>
    </row>
    <row r="13">
      <c r="A13" s="238">
        <v>2071.0</v>
      </c>
      <c r="B13" s="238" t="s">
        <v>692</v>
      </c>
      <c r="C13" s="239"/>
      <c r="D13" s="238" t="s">
        <v>695</v>
      </c>
      <c r="E13" s="239"/>
      <c r="F13" s="239"/>
      <c r="G13" s="239"/>
      <c r="H13" s="239"/>
    </row>
    <row r="14">
      <c r="A14" s="238">
        <v>2072.0</v>
      </c>
      <c r="B14" s="238" t="s">
        <v>692</v>
      </c>
      <c r="C14" s="239"/>
      <c r="D14" s="238" t="s">
        <v>695</v>
      </c>
      <c r="E14" s="239"/>
      <c r="F14" s="239"/>
      <c r="G14" s="239"/>
      <c r="H14" s="239"/>
    </row>
    <row r="15">
      <c r="A15" s="238">
        <v>2073.0</v>
      </c>
      <c r="B15" s="238" t="s">
        <v>692</v>
      </c>
      <c r="C15" s="239"/>
      <c r="D15" s="238" t="s">
        <v>695</v>
      </c>
      <c r="E15" s="239"/>
      <c r="F15" s="239"/>
      <c r="G15" s="239"/>
      <c r="H15" s="239"/>
    </row>
    <row r="16">
      <c r="A16" s="238">
        <v>2074.0</v>
      </c>
      <c r="B16" s="238" t="s">
        <v>692</v>
      </c>
      <c r="C16" s="239"/>
      <c r="D16" s="238" t="s">
        <v>695</v>
      </c>
      <c r="E16" s="239"/>
      <c r="F16" s="239"/>
      <c r="G16" s="239"/>
      <c r="H16" s="239"/>
    </row>
    <row r="17">
      <c r="A17" s="238">
        <v>2075.0</v>
      </c>
      <c r="B17" s="238" t="s">
        <v>692</v>
      </c>
      <c r="C17" s="239"/>
      <c r="D17" s="238" t="s">
        <v>695</v>
      </c>
      <c r="E17" s="239"/>
      <c r="F17" s="239"/>
      <c r="G17" s="239"/>
      <c r="H17" s="239"/>
    </row>
    <row r="18">
      <c r="A18" s="238">
        <v>2076.0</v>
      </c>
      <c r="B18" s="238" t="s">
        <v>692</v>
      </c>
      <c r="C18" s="239"/>
      <c r="D18" s="238" t="s">
        <v>695</v>
      </c>
      <c r="E18" s="239"/>
      <c r="F18" s="239"/>
      <c r="G18" s="239"/>
      <c r="H18" s="239"/>
    </row>
  </sheetData>
  <hyperlinks>
    <hyperlink r:id="rId1" ref="A1"/>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outlineLevelCol="1"/>
  <cols>
    <col customWidth="1" min="2" max="2" width="40.43"/>
    <col customWidth="1" min="4" max="4" width="46.0"/>
    <col customWidth="1" min="6" max="6" width="20.71"/>
    <col collapsed="1" min="7" max="7" width="14.43"/>
    <col hidden="1" min="8" max="10" width="14.43" outlineLevel="1"/>
  </cols>
  <sheetData>
    <row r="1">
      <c r="A1" s="155" t="s">
        <v>696</v>
      </c>
    </row>
    <row r="4">
      <c r="A4" s="140">
        <f t="array" ref="A4:J4">SEQUENCE(1,COLUMNS(A:J))</f>
        <v>1</v>
      </c>
      <c r="B4" s="140">
        <v>2.0</v>
      </c>
      <c r="C4" s="140">
        <v>3.0</v>
      </c>
      <c r="D4" s="140">
        <v>4.0</v>
      </c>
      <c r="E4" s="140">
        <v>5.0</v>
      </c>
      <c r="F4" s="140">
        <v>6.0</v>
      </c>
      <c r="G4" s="140">
        <v>7.0</v>
      </c>
      <c r="H4" s="140">
        <v>8.0</v>
      </c>
      <c r="I4" s="140">
        <v>9.0</v>
      </c>
      <c r="J4" s="140">
        <v>10.0</v>
      </c>
    </row>
    <row r="5">
      <c r="A5" s="240" t="s">
        <v>25</v>
      </c>
      <c r="B5" s="240" t="s">
        <v>697</v>
      </c>
      <c r="C5" s="240" t="s">
        <v>698</v>
      </c>
      <c r="D5" s="240" t="s">
        <v>690</v>
      </c>
      <c r="E5" s="240" t="s">
        <v>699</v>
      </c>
      <c r="F5" s="240" t="s">
        <v>700</v>
      </c>
      <c r="G5" s="240" t="s">
        <v>701</v>
      </c>
      <c r="H5" s="240" t="s">
        <v>576</v>
      </c>
      <c r="I5" s="240" t="s">
        <v>577</v>
      </c>
      <c r="J5" s="240" t="s">
        <v>702</v>
      </c>
    </row>
    <row r="6">
      <c r="A6" s="241">
        <v>171906.0</v>
      </c>
      <c r="B6" s="238" t="s">
        <v>422</v>
      </c>
      <c r="C6" s="241">
        <v>1.0</v>
      </c>
      <c r="D6" s="238" t="s">
        <v>423</v>
      </c>
      <c r="E6" s="242" t="s">
        <v>703</v>
      </c>
      <c r="F6" s="243">
        <v>46074.708333333336</v>
      </c>
      <c r="G6" s="241" t="s">
        <v>582</v>
      </c>
      <c r="H6" s="244"/>
      <c r="I6" s="244"/>
      <c r="J6" s="244"/>
    </row>
    <row r="7">
      <c r="A7" s="241">
        <v>171909.0</v>
      </c>
      <c r="B7" s="238" t="s">
        <v>428</v>
      </c>
      <c r="C7" s="241">
        <v>1.0</v>
      </c>
      <c r="D7" s="238" t="s">
        <v>423</v>
      </c>
      <c r="E7" s="242" t="s">
        <v>703</v>
      </c>
      <c r="F7" s="243">
        <v>46074.708333333336</v>
      </c>
      <c r="G7" s="241" t="s">
        <v>582</v>
      </c>
      <c r="H7" s="244"/>
      <c r="I7" s="244"/>
      <c r="J7" s="244"/>
    </row>
    <row r="8">
      <c r="A8" s="241">
        <v>171912.0</v>
      </c>
      <c r="B8" s="238" t="s">
        <v>436</v>
      </c>
      <c r="C8" s="241">
        <v>1.0</v>
      </c>
      <c r="D8" s="238" t="s">
        <v>423</v>
      </c>
      <c r="E8" s="242" t="s">
        <v>703</v>
      </c>
      <c r="F8" s="243">
        <v>46074.708333333336</v>
      </c>
      <c r="G8" s="241" t="s">
        <v>582</v>
      </c>
      <c r="H8" s="244"/>
      <c r="I8" s="244"/>
      <c r="J8" s="244"/>
    </row>
    <row r="9">
      <c r="A9" s="241">
        <v>171914.0</v>
      </c>
      <c r="B9" s="238" t="s">
        <v>442</v>
      </c>
      <c r="C9" s="241">
        <v>1.0</v>
      </c>
      <c r="D9" s="238" t="s">
        <v>423</v>
      </c>
      <c r="E9" s="242" t="s">
        <v>703</v>
      </c>
      <c r="F9" s="243">
        <v>46074.708333333336</v>
      </c>
      <c r="G9" s="241" t="s">
        <v>582</v>
      </c>
      <c r="H9" s="244"/>
      <c r="I9" s="244"/>
      <c r="J9" s="244"/>
    </row>
    <row r="10">
      <c r="A10" s="241">
        <v>171916.0</v>
      </c>
      <c r="B10" s="238" t="s">
        <v>448</v>
      </c>
      <c r="C10" s="241">
        <v>1.0</v>
      </c>
      <c r="D10" s="238" t="s">
        <v>423</v>
      </c>
      <c r="E10" s="242" t="s">
        <v>703</v>
      </c>
      <c r="F10" s="243">
        <v>46074.708333333336</v>
      </c>
      <c r="G10" s="241" t="s">
        <v>582</v>
      </c>
      <c r="H10" s="244"/>
      <c r="I10" s="244"/>
      <c r="J10" s="244"/>
    </row>
    <row r="11">
      <c r="A11" s="241">
        <v>171918.0</v>
      </c>
      <c r="B11" s="238" t="s">
        <v>453</v>
      </c>
      <c r="C11" s="241">
        <v>1.0</v>
      </c>
      <c r="D11" s="238" t="s">
        <v>423</v>
      </c>
      <c r="E11" s="242" t="s">
        <v>703</v>
      </c>
      <c r="F11" s="243">
        <v>46074.708333333336</v>
      </c>
      <c r="G11" s="241" t="s">
        <v>582</v>
      </c>
      <c r="H11" s="244"/>
      <c r="I11" s="244"/>
      <c r="J11" s="244"/>
    </row>
    <row r="12">
      <c r="A12" s="241">
        <v>171923.0</v>
      </c>
      <c r="B12" s="238" t="s">
        <v>456</v>
      </c>
      <c r="C12" s="241">
        <v>1.0</v>
      </c>
      <c r="D12" s="238" t="s">
        <v>457</v>
      </c>
      <c r="E12" s="242" t="s">
        <v>703</v>
      </c>
      <c r="F12" s="243">
        <v>46074.708333333336</v>
      </c>
      <c r="G12" s="241" t="s">
        <v>582</v>
      </c>
      <c r="H12" s="244"/>
      <c r="I12" s="244"/>
      <c r="J12" s="244"/>
    </row>
    <row r="13">
      <c r="A13" s="241">
        <v>171980.0</v>
      </c>
      <c r="B13" s="238" t="s">
        <v>674</v>
      </c>
      <c r="C13" s="241">
        <v>1.0</v>
      </c>
      <c r="D13" s="238" t="s">
        <v>634</v>
      </c>
      <c r="E13" s="242" t="s">
        <v>703</v>
      </c>
      <c r="F13" s="243">
        <v>46074.708333333336</v>
      </c>
      <c r="G13" s="241" t="s">
        <v>582</v>
      </c>
      <c r="H13" s="244"/>
      <c r="I13" s="244"/>
      <c r="J13" s="244"/>
    </row>
  </sheetData>
  <hyperlinks>
    <hyperlink r:id="rId1" ref="A1"/>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heetPr>
  <sheetViews>
    <sheetView workbookViewId="0">
      <pane ySplit="4.0" topLeftCell="A5" activePane="bottomLeft" state="frozen"/>
      <selection activeCell="B6" sqref="B6" pane="bottomLeft"/>
    </sheetView>
  </sheetViews>
  <sheetFormatPr customHeight="1" defaultColWidth="14.43" defaultRowHeight="15.0" outlineLevelCol="1"/>
  <cols>
    <col hidden="1" min="1" max="1" width="14.43" outlineLevel="1"/>
    <col collapsed="1" customWidth="1" min="2" max="2" width="23.86"/>
    <col customWidth="1" hidden="1" min="3" max="3" width="87.0" outlineLevel="1"/>
    <col collapsed="1" customWidth="1" min="4" max="4" width="12.29"/>
    <col customWidth="1" min="5" max="5" width="38.29"/>
    <col customWidth="1" hidden="1" min="6" max="6" width="36.0" outlineLevel="1"/>
    <col collapsed="1" customWidth="1" min="7" max="7" width="32.0"/>
    <col customWidth="1" min="8" max="8" width="21.71"/>
    <col customWidth="1" hidden="1" min="9" max="9" width="56.57" outlineLevel="1"/>
    <col collapsed="1" customWidth="1" min="10" max="10" width="17.57"/>
    <col customWidth="1" hidden="1" min="11" max="11" width="49.43" outlineLevel="1"/>
    <col collapsed="1" customWidth="1" min="12" max="12" width="49.43"/>
    <col customWidth="1" min="13" max="13" width="4.71"/>
    <col customWidth="1" min="14" max="14" width="23.0"/>
  </cols>
  <sheetData>
    <row r="1">
      <c r="B1" s="245" t="s">
        <v>704</v>
      </c>
      <c r="J1" s="246"/>
      <c r="K1" s="246"/>
    </row>
    <row r="2">
      <c r="B2" s="247" t="s">
        <v>705</v>
      </c>
      <c r="J2" s="246"/>
      <c r="K2" s="246"/>
    </row>
    <row r="3">
      <c r="B3" s="140">
        <f t="array" ref="B3:N3">SEQUENCE(1,COLUMNS(B:N))</f>
        <v>1</v>
      </c>
      <c r="C3" s="140">
        <v>2.0</v>
      </c>
      <c r="D3" s="140">
        <v>3.0</v>
      </c>
      <c r="E3" s="140">
        <v>4.0</v>
      </c>
      <c r="F3" s="140">
        <v>5.0</v>
      </c>
      <c r="G3" s="140">
        <v>6.0</v>
      </c>
      <c r="H3" s="140">
        <v>7.0</v>
      </c>
      <c r="I3" s="140">
        <v>8.0</v>
      </c>
      <c r="J3" s="140">
        <v>9.0</v>
      </c>
      <c r="K3" s="140">
        <v>10.0</v>
      </c>
      <c r="L3" s="140">
        <v>11.0</v>
      </c>
      <c r="M3" s="140">
        <v>12.0</v>
      </c>
      <c r="N3" s="140">
        <v>13.0</v>
      </c>
    </row>
    <row r="4">
      <c r="A4" s="128" t="s">
        <v>25</v>
      </c>
      <c r="B4" s="128" t="s">
        <v>335</v>
      </c>
      <c r="C4" s="129" t="s">
        <v>377</v>
      </c>
      <c r="D4" s="142" t="s">
        <v>378</v>
      </c>
      <c r="E4" s="142" t="s">
        <v>512</v>
      </c>
      <c r="F4" s="142" t="s">
        <v>380</v>
      </c>
      <c r="G4" s="142" t="s">
        <v>381</v>
      </c>
      <c r="H4" s="142" t="s">
        <v>706</v>
      </c>
      <c r="I4" s="129" t="s">
        <v>384</v>
      </c>
      <c r="J4" s="143" t="s">
        <v>707</v>
      </c>
      <c r="K4" s="143" t="s">
        <v>708</v>
      </c>
      <c r="L4" s="142" t="s">
        <v>709</v>
      </c>
      <c r="M4" s="248" t="s">
        <v>388</v>
      </c>
      <c r="N4" s="128" t="s">
        <v>337</v>
      </c>
    </row>
    <row r="5">
      <c r="A5" s="130">
        <v>11221.0</v>
      </c>
      <c r="B5" s="130">
        <v>10.0</v>
      </c>
      <c r="C5" s="146"/>
      <c r="D5" s="160" t="str">
        <f>IFERROR(__xludf.DUMMYFUNCTION("ARRAYFORMULA(IF(ISTEXT(C5:C61),SPLIT(C5:C61,""▸〈〉""),))"),"")</f>
        <v/>
      </c>
      <c r="E5" s="143"/>
      <c r="F5" s="143"/>
      <c r="G5" s="160" t="str">
        <f t="array" ref="G5:G61">if(ISTEXT(F5:F61),
LEFT(F5:F61,LEN(F5:F61)-4),
)</f>
        <v/>
      </c>
      <c r="H5" s="160" t="str">
        <f t="array" ref="H5:H61">if(ISTEXT(F5:F61),
RIGHT(F5:F61,1),
)</f>
        <v/>
      </c>
      <c r="I5" s="144" t="s">
        <v>710</v>
      </c>
      <c r="J5" s="145">
        <f>IFERROR(__xludf.DUMMYFUNCTION("ARRAYFORMULA(IF(ISTEXT(I5:I61),SPLIT(I5:I61,""▸〈〉""),))"),6313.0)</f>
        <v>6313</v>
      </c>
      <c r="K5" s="249" t="str">
        <f>IFERROR(__xludf.DUMMYFUNCTION("""COMPUTED_VALUE"""),"Demon of My Dreams")</f>
        <v>Demon of My Dreams</v>
      </c>
      <c r="L5" s="146" t="str">
        <f t="array" ref="L5:L61">IF(ISBLANK(G5:G61),K5:K61,G5:G61)</f>
        <v>Demon of My Dreams</v>
      </c>
      <c r="M5" s="250"/>
      <c r="N5" s="132">
        <v>46058.27402777778</v>
      </c>
    </row>
    <row r="6">
      <c r="A6" s="130">
        <v>11222.0</v>
      </c>
      <c r="B6" s="130">
        <v>20.0</v>
      </c>
      <c r="C6" s="144" t="s">
        <v>711</v>
      </c>
      <c r="D6" s="249">
        <f>IFERROR(__xludf.DUMMYFUNCTION("""COMPUTED_VALUE"""),171932.0)</f>
        <v>171932</v>
      </c>
      <c r="E6" s="249" t="str">
        <f>IFERROR(__xludf.DUMMYFUNCTION("""COMPUTED_VALUE"""),"Mystic Matrimony◆Collection Bonus")</f>
        <v>Mystic Matrimony◆Collection Bonus</v>
      </c>
      <c r="F6" s="249" t="str">
        <f>IFERROR(__xludf.DUMMYFUNCTION("""COMPUTED_VALUE"""),"Shaved Ice (+50 Stamina) x 1")</f>
        <v>Shaved Ice (+50 Stamina) x 1</v>
      </c>
      <c r="G6" s="249" t="s">
        <v>636</v>
      </c>
      <c r="H6" s="249" t="s">
        <v>639</v>
      </c>
      <c r="I6" s="146"/>
      <c r="J6" s="249"/>
      <c r="K6" s="249"/>
      <c r="L6" s="146" t="s">
        <v>636</v>
      </c>
      <c r="M6" s="250"/>
      <c r="N6" s="132">
        <v>46058.27402777778</v>
      </c>
    </row>
    <row r="7">
      <c r="A7" s="130">
        <v>11223.0</v>
      </c>
      <c r="B7" s="130">
        <v>30.0</v>
      </c>
      <c r="C7" s="144" t="s">
        <v>712</v>
      </c>
      <c r="D7" s="249">
        <f>IFERROR(__xludf.DUMMYFUNCTION("""COMPUTED_VALUE"""),171933.0)</f>
        <v>171933</v>
      </c>
      <c r="E7" s="249" t="str">
        <f>IFERROR(__xludf.DUMMYFUNCTION("""COMPUTED_VALUE"""),"Mystic Matrimony◆Collection Bonus")</f>
        <v>Mystic Matrimony◆Collection Bonus</v>
      </c>
      <c r="F7" s="249" t="str">
        <f>IFERROR(__xludf.DUMMYFUNCTION("""COMPUTED_VALUE"""),"500 Gold x 1")</f>
        <v>500 Gold x 1</v>
      </c>
      <c r="G7" s="249" t="s">
        <v>644</v>
      </c>
      <c r="H7" s="249" t="s">
        <v>639</v>
      </c>
      <c r="I7" s="146"/>
      <c r="J7" s="249"/>
      <c r="K7" s="249"/>
      <c r="L7" s="146" t="s">
        <v>644</v>
      </c>
      <c r="M7" s="250"/>
      <c r="N7" s="132">
        <v>46058.27402777778</v>
      </c>
    </row>
    <row r="8">
      <c r="A8" s="130">
        <v>11224.0</v>
      </c>
      <c r="B8" s="130">
        <v>40.0</v>
      </c>
      <c r="C8" s="144" t="s">
        <v>713</v>
      </c>
      <c r="D8" s="249">
        <f>IFERROR(__xludf.DUMMYFUNCTION("""COMPUTED_VALUE"""),171934.0)</f>
        <v>171934</v>
      </c>
      <c r="E8" s="249" t="str">
        <f>IFERROR(__xludf.DUMMYFUNCTION("""COMPUTED_VALUE"""),"Mystic Matrimony◆Collection Bonus")</f>
        <v>Mystic Matrimony◆Collection Bonus</v>
      </c>
      <c r="F8" s="249" t="str">
        <f>IFERROR(__xludf.DUMMYFUNCTION("""COMPUTED_VALUE"""),"Closet Storage x 1")</f>
        <v>Closet Storage x 1</v>
      </c>
      <c r="G8" s="249" t="s">
        <v>646</v>
      </c>
      <c r="H8" s="249" t="s">
        <v>639</v>
      </c>
      <c r="I8" s="146"/>
      <c r="J8" s="249"/>
      <c r="K8" s="249"/>
      <c r="L8" s="146" t="s">
        <v>646</v>
      </c>
      <c r="M8" s="250"/>
      <c r="N8" s="132">
        <v>46058.27402777778</v>
      </c>
    </row>
    <row r="9">
      <c r="A9" s="130">
        <v>11225.0</v>
      </c>
      <c r="B9" s="130">
        <v>50.0</v>
      </c>
      <c r="C9" s="144" t="s">
        <v>714</v>
      </c>
      <c r="D9" s="249">
        <f>IFERROR(__xludf.DUMMYFUNCTION("""COMPUTED_VALUE"""),171935.0)</f>
        <v>171935</v>
      </c>
      <c r="E9" s="249" t="str">
        <f>IFERROR(__xludf.DUMMYFUNCTION("""COMPUTED_VALUE"""),"Mystic Matrimony◆Collection Bonus")</f>
        <v>Mystic Matrimony◆Collection Bonus</v>
      </c>
      <c r="F9" s="249" t="str">
        <f>IFERROR(__xludf.DUMMYFUNCTION("""COMPUTED_VALUE"""),"Shaved Ice (+50 Stamina) x 1")</f>
        <v>Shaved Ice (+50 Stamina) x 1</v>
      </c>
      <c r="G9" s="249" t="s">
        <v>636</v>
      </c>
      <c r="H9" s="249" t="s">
        <v>639</v>
      </c>
      <c r="I9" s="146"/>
      <c r="J9" s="249"/>
      <c r="K9" s="249"/>
      <c r="L9" s="146" t="s">
        <v>636</v>
      </c>
      <c r="M9" s="250"/>
      <c r="N9" s="132">
        <v>46058.27402777778</v>
      </c>
    </row>
    <row r="10">
      <c r="A10" s="130">
        <v>11226.0</v>
      </c>
      <c r="B10" s="130">
        <v>60.0</v>
      </c>
      <c r="C10" s="144" t="s">
        <v>715</v>
      </c>
      <c r="D10" s="249">
        <f>IFERROR(__xludf.DUMMYFUNCTION("""COMPUTED_VALUE"""),171936.0)</f>
        <v>171936</v>
      </c>
      <c r="E10" s="249" t="str">
        <f>IFERROR(__xludf.DUMMYFUNCTION("""COMPUTED_VALUE"""),"Mystic Matrimony◆Collection Bonus")</f>
        <v>Mystic Matrimony◆Collection Bonus</v>
      </c>
      <c r="F10" s="249" t="str">
        <f>IFERROR(__xludf.DUMMYFUNCTION("""COMPUTED_VALUE"""),"Yoshimoto with a Lantern x 1")</f>
        <v>Yoshimoto with a Lantern x 1</v>
      </c>
      <c r="G10" s="249" t="s">
        <v>647</v>
      </c>
      <c r="H10" s="249" t="s">
        <v>639</v>
      </c>
      <c r="I10" s="146"/>
      <c r="J10" s="249"/>
      <c r="K10" s="249"/>
      <c r="L10" s="146" t="s">
        <v>647</v>
      </c>
      <c r="M10" s="250"/>
      <c r="N10" s="132">
        <v>46058.27402777778</v>
      </c>
    </row>
    <row r="11">
      <c r="A11" s="130">
        <v>11227.0</v>
      </c>
      <c r="B11" s="130">
        <v>70.0</v>
      </c>
      <c r="C11" s="144" t="s">
        <v>716</v>
      </c>
      <c r="D11" s="249">
        <f>IFERROR(__xludf.DUMMYFUNCTION("""COMPUTED_VALUE"""),171937.0)</f>
        <v>171937</v>
      </c>
      <c r="E11" s="249" t="str">
        <f>IFERROR(__xludf.DUMMYFUNCTION("""COMPUTED_VALUE"""),"Mystic Matrimony◆Collection Bonus")</f>
        <v>Mystic Matrimony◆Collection Bonus</v>
      </c>
      <c r="F11" s="249" t="str">
        <f>IFERROR(__xludf.DUMMYFUNCTION("""COMPUTED_VALUE"""),"Shaved Ice (+50 Stamina) x 1")</f>
        <v>Shaved Ice (+50 Stamina) x 1</v>
      </c>
      <c r="G11" s="249" t="s">
        <v>636</v>
      </c>
      <c r="H11" s="249" t="s">
        <v>639</v>
      </c>
      <c r="I11" s="146"/>
      <c r="J11" s="249"/>
      <c r="K11" s="249"/>
      <c r="L11" s="146" t="s">
        <v>636</v>
      </c>
      <c r="M11" s="250"/>
      <c r="N11" s="132">
        <v>46058.27402777778</v>
      </c>
    </row>
    <row r="12">
      <c r="A12" s="130">
        <v>11228.0</v>
      </c>
      <c r="B12" s="130">
        <v>80.0</v>
      </c>
      <c r="C12" s="144" t="s">
        <v>717</v>
      </c>
      <c r="D12" s="249">
        <f>IFERROR(__xludf.DUMMYFUNCTION("""COMPUTED_VALUE"""),171938.0)</f>
        <v>171938</v>
      </c>
      <c r="E12" s="249" t="str">
        <f>IFERROR(__xludf.DUMMYFUNCTION("""COMPUTED_VALUE"""),"Mystic Matrimony◆Collection Bonus")</f>
        <v>Mystic Matrimony◆Collection Bonus</v>
      </c>
      <c r="F12" s="249" t="str">
        <f>IFERROR(__xludf.DUMMYFUNCTION("""COMPUTED_VALUE"""),"500 Gold x 1")</f>
        <v>500 Gold x 1</v>
      </c>
      <c r="G12" s="249" t="s">
        <v>644</v>
      </c>
      <c r="H12" s="249" t="s">
        <v>639</v>
      </c>
      <c r="I12" s="146"/>
      <c r="J12" s="249"/>
      <c r="K12" s="249"/>
      <c r="L12" s="146" t="s">
        <v>644</v>
      </c>
      <c r="M12" s="250"/>
      <c r="N12" s="132">
        <v>46058.27402777778</v>
      </c>
    </row>
    <row r="13">
      <c r="A13" s="130">
        <v>11229.0</v>
      </c>
      <c r="B13" s="130">
        <v>90.0</v>
      </c>
      <c r="C13" s="144" t="s">
        <v>718</v>
      </c>
      <c r="D13" s="249">
        <f>IFERROR(__xludf.DUMMYFUNCTION("""COMPUTED_VALUE"""),171939.0)</f>
        <v>171939</v>
      </c>
      <c r="E13" s="249" t="str">
        <f>IFERROR(__xludf.DUMMYFUNCTION("""COMPUTED_VALUE"""),"Mystic Matrimony◆Collection Bonus")</f>
        <v>Mystic Matrimony◆Collection Bonus</v>
      </c>
      <c r="F13" s="249" t="str">
        <f>IFERROR(__xludf.DUMMYFUNCTION("""COMPUTED_VALUE"""),"Shaved Ice (+50 Stamina) x 1")</f>
        <v>Shaved Ice (+50 Stamina) x 1</v>
      </c>
      <c r="G13" s="249" t="s">
        <v>636</v>
      </c>
      <c r="H13" s="249" t="s">
        <v>639</v>
      </c>
      <c r="I13" s="146"/>
      <c r="J13" s="249"/>
      <c r="K13" s="249"/>
      <c r="L13" s="146" t="s">
        <v>636</v>
      </c>
      <c r="M13" s="250"/>
      <c r="N13" s="132">
        <v>46058.27402777778</v>
      </c>
    </row>
    <row r="14">
      <c r="A14" s="130">
        <v>11230.0</v>
      </c>
      <c r="B14" s="130">
        <v>100.0</v>
      </c>
      <c r="C14" s="146"/>
      <c r="D14" s="143"/>
      <c r="E14" s="143"/>
      <c r="F14" s="143"/>
      <c r="G14" s="143"/>
      <c r="H14" s="143"/>
      <c r="I14" s="144" t="s">
        <v>719</v>
      </c>
      <c r="J14" s="249">
        <f>IFERROR(__xludf.DUMMYFUNCTION("""COMPUTED_VALUE"""),6319.0)</f>
        <v>6319</v>
      </c>
      <c r="K14" s="249" t="str">
        <f>IFERROR(__xludf.DUMMYFUNCTION("""COMPUTED_VALUE"""),"Mystic Matrimony Bonus Story ～Yoshimoto～")</f>
        <v>Mystic Matrimony Bonus Story ～Yoshimoto～</v>
      </c>
      <c r="L14" s="146" t="s">
        <v>648</v>
      </c>
      <c r="M14" s="250"/>
      <c r="N14" s="132">
        <v>46058.27402777778</v>
      </c>
    </row>
    <row r="15">
      <c r="A15" s="130">
        <v>11231.0</v>
      </c>
      <c r="B15" s="130">
        <v>110.0</v>
      </c>
      <c r="C15" s="144" t="s">
        <v>720</v>
      </c>
      <c r="D15" s="249">
        <f>IFERROR(__xludf.DUMMYFUNCTION("""COMPUTED_VALUE"""),171940.0)</f>
        <v>171940</v>
      </c>
      <c r="E15" s="249" t="str">
        <f>IFERROR(__xludf.DUMMYFUNCTION("""COMPUTED_VALUE"""),"Mystic Matrimony◆Collection Bonus")</f>
        <v>Mystic Matrimony◆Collection Bonus</v>
      </c>
      <c r="F15" s="249" t="str">
        <f>IFERROR(__xludf.DUMMYFUNCTION("""COMPUTED_VALUE"""),"Makeup (+100 Glamour) x 1")</f>
        <v>Makeup (+100 Glamour) x 1</v>
      </c>
      <c r="G15" s="249" t="s">
        <v>649</v>
      </c>
      <c r="H15" s="249" t="s">
        <v>639</v>
      </c>
      <c r="I15" s="146"/>
      <c r="J15" s="249"/>
      <c r="K15" s="249"/>
      <c r="L15" s="146" t="s">
        <v>649</v>
      </c>
      <c r="M15" s="250"/>
      <c r="N15" s="132">
        <v>46058.27402777778</v>
      </c>
    </row>
    <row r="16">
      <c r="A16" s="130">
        <v>11232.0</v>
      </c>
      <c r="B16" s="130">
        <v>120.0</v>
      </c>
      <c r="C16" s="144" t="s">
        <v>721</v>
      </c>
      <c r="D16" s="249">
        <f>IFERROR(__xludf.DUMMYFUNCTION("""COMPUTED_VALUE"""),171941.0)</f>
        <v>171941</v>
      </c>
      <c r="E16" s="249" t="str">
        <f>IFERROR(__xludf.DUMMYFUNCTION("""COMPUTED_VALUE"""),"Mystic Matrimony◆Collection Bonus")</f>
        <v>Mystic Matrimony◆Collection Bonus</v>
      </c>
      <c r="F16" s="249" t="str">
        <f>IFERROR(__xludf.DUMMYFUNCTION("""COMPUTED_VALUE"""),"Castle Storage x 1")</f>
        <v>Castle Storage x 1</v>
      </c>
      <c r="G16" s="249" t="s">
        <v>650</v>
      </c>
      <c r="H16" s="249" t="s">
        <v>639</v>
      </c>
      <c r="I16" s="146"/>
      <c r="J16" s="249"/>
      <c r="K16" s="249"/>
      <c r="L16" s="146" t="s">
        <v>650</v>
      </c>
      <c r="M16" s="250"/>
      <c r="N16" s="132">
        <v>46058.27402777778</v>
      </c>
    </row>
    <row r="17">
      <c r="A17" s="130">
        <v>11233.0</v>
      </c>
      <c r="B17" s="130">
        <v>130.0</v>
      </c>
      <c r="C17" s="144" t="s">
        <v>722</v>
      </c>
      <c r="D17" s="249">
        <f>IFERROR(__xludf.DUMMYFUNCTION("""COMPUTED_VALUE"""),171942.0)</f>
        <v>171942</v>
      </c>
      <c r="E17" s="249" t="str">
        <f>IFERROR(__xludf.DUMMYFUNCTION("""COMPUTED_VALUE"""),"Mystic Matrimony◆Collection Bonus")</f>
        <v>Mystic Matrimony◆Collection Bonus</v>
      </c>
      <c r="F17" s="249" t="str">
        <f>IFERROR(__xludf.DUMMYFUNCTION("""COMPUTED_VALUE"""),"Shaved Ice (+50 Stamina) x 1")</f>
        <v>Shaved Ice (+50 Stamina) x 1</v>
      </c>
      <c r="G17" s="249" t="s">
        <v>636</v>
      </c>
      <c r="H17" s="249" t="s">
        <v>639</v>
      </c>
      <c r="I17" s="146"/>
      <c r="J17" s="249"/>
      <c r="K17" s="249"/>
      <c r="L17" s="146" t="s">
        <v>636</v>
      </c>
      <c r="M17" s="250"/>
      <c r="N17" s="132">
        <v>46058.27402777778</v>
      </c>
    </row>
    <row r="18">
      <c r="A18" s="130">
        <v>11234.0</v>
      </c>
      <c r="B18" s="130">
        <v>140.0</v>
      </c>
      <c r="C18" s="144" t="s">
        <v>723</v>
      </c>
      <c r="D18" s="249">
        <f>IFERROR(__xludf.DUMMYFUNCTION("""COMPUTED_VALUE"""),171943.0)</f>
        <v>171943</v>
      </c>
      <c r="E18" s="249" t="str">
        <f>IFERROR(__xludf.DUMMYFUNCTION("""COMPUTED_VALUE"""),"Mystic Matrimony◆Collection Bonus")</f>
        <v>Mystic Matrimony◆Collection Bonus</v>
      </c>
      <c r="F18" s="249" t="str">
        <f>IFERROR(__xludf.DUMMYFUNCTION("""COMPUTED_VALUE"""),"Motonari with a Lantern x 1")</f>
        <v>Motonari with a Lantern x 1</v>
      </c>
      <c r="G18" s="249" t="s">
        <v>651</v>
      </c>
      <c r="H18" s="249" t="s">
        <v>639</v>
      </c>
      <c r="I18" s="146"/>
      <c r="J18" s="249"/>
      <c r="K18" s="249"/>
      <c r="L18" s="146" t="s">
        <v>651</v>
      </c>
      <c r="M18" s="250"/>
      <c r="N18" s="132">
        <v>46058.27402777778</v>
      </c>
    </row>
    <row r="19">
      <c r="A19" s="130">
        <v>11235.0</v>
      </c>
      <c r="B19" s="130">
        <v>150.0</v>
      </c>
      <c r="C19" s="144" t="s">
        <v>724</v>
      </c>
      <c r="D19" s="249">
        <f>IFERROR(__xludf.DUMMYFUNCTION("""COMPUTED_VALUE"""),171944.0)</f>
        <v>171944</v>
      </c>
      <c r="E19" s="249" t="str">
        <f>IFERROR(__xludf.DUMMYFUNCTION("""COMPUTED_VALUE"""),"Mystic Matrimony◆Collection Bonus")</f>
        <v>Mystic Matrimony◆Collection Bonus</v>
      </c>
      <c r="F19" s="249" t="str">
        <f>IFERROR(__xludf.DUMMYFUNCTION("""COMPUTED_VALUE"""),"500 Gold x 1")</f>
        <v>500 Gold x 1</v>
      </c>
      <c r="G19" s="249" t="s">
        <v>644</v>
      </c>
      <c r="H19" s="249" t="s">
        <v>639</v>
      </c>
      <c r="I19" s="146"/>
      <c r="J19" s="249"/>
      <c r="K19" s="249"/>
      <c r="L19" s="146" t="s">
        <v>644</v>
      </c>
      <c r="M19" s="250"/>
      <c r="N19" s="132">
        <v>46058.27402777778</v>
      </c>
    </row>
    <row r="20">
      <c r="A20" s="130">
        <v>11236.0</v>
      </c>
      <c r="B20" s="130">
        <v>160.0</v>
      </c>
      <c r="C20" s="144" t="s">
        <v>725</v>
      </c>
      <c r="D20" s="249">
        <f>IFERROR(__xludf.DUMMYFUNCTION("""COMPUTED_VALUE"""),171945.0)</f>
        <v>171945</v>
      </c>
      <c r="E20" s="249" t="str">
        <f>IFERROR(__xludf.DUMMYFUNCTION("""COMPUTED_VALUE"""),"Mystic Matrimony◆Collection Bonus")</f>
        <v>Mystic Matrimony◆Collection Bonus</v>
      </c>
      <c r="F20" s="249" t="str">
        <f>IFERROR(__xludf.DUMMYFUNCTION("""COMPUTED_VALUE"""),"Closet Storage x 1")</f>
        <v>Closet Storage x 1</v>
      </c>
      <c r="G20" s="249" t="s">
        <v>646</v>
      </c>
      <c r="H20" s="249" t="s">
        <v>639</v>
      </c>
      <c r="I20" s="146"/>
      <c r="J20" s="249"/>
      <c r="K20" s="249"/>
      <c r="L20" s="146" t="s">
        <v>646</v>
      </c>
      <c r="M20" s="250"/>
      <c r="N20" s="132">
        <v>46058.27402777778</v>
      </c>
    </row>
    <row r="21">
      <c r="A21" s="130">
        <v>11237.0</v>
      </c>
      <c r="B21" s="130">
        <v>170.0</v>
      </c>
      <c r="C21" s="144" t="s">
        <v>726</v>
      </c>
      <c r="D21" s="249">
        <f>IFERROR(__xludf.DUMMYFUNCTION("""COMPUTED_VALUE"""),171946.0)</f>
        <v>171946</v>
      </c>
      <c r="E21" s="249" t="str">
        <f>IFERROR(__xludf.DUMMYFUNCTION("""COMPUTED_VALUE"""),"Mystic Matrimony◆Collection Bonus")</f>
        <v>Mystic Matrimony◆Collection Bonus</v>
      </c>
      <c r="F21" s="249" t="str">
        <f>IFERROR(__xludf.DUMMYFUNCTION("""COMPUTED_VALUE"""),"Shaved Ice (+50 Stamina) x 1")</f>
        <v>Shaved Ice (+50 Stamina) x 1</v>
      </c>
      <c r="G21" s="249" t="s">
        <v>636</v>
      </c>
      <c r="H21" s="249" t="s">
        <v>639</v>
      </c>
      <c r="I21" s="146"/>
      <c r="J21" s="249"/>
      <c r="K21" s="249"/>
      <c r="L21" s="146" t="s">
        <v>636</v>
      </c>
      <c r="M21" s="250"/>
      <c r="N21" s="132">
        <v>46058.27402777778</v>
      </c>
    </row>
    <row r="22">
      <c r="A22" s="130">
        <v>11238.0</v>
      </c>
      <c r="B22" s="130">
        <v>180.0</v>
      </c>
      <c r="C22" s="144" t="s">
        <v>727</v>
      </c>
      <c r="D22" s="249">
        <f>IFERROR(__xludf.DUMMYFUNCTION("""COMPUTED_VALUE"""),171947.0)</f>
        <v>171947</v>
      </c>
      <c r="E22" s="249" t="str">
        <f>IFERROR(__xludf.DUMMYFUNCTION("""COMPUTED_VALUE"""),"Mystic Matrimony◆Collection Bonus")</f>
        <v>Mystic Matrimony◆Collection Bonus</v>
      </c>
      <c r="F22" s="249" t="str">
        <f>IFERROR(__xludf.DUMMYFUNCTION("""COMPUTED_VALUE"""),"Perfume (+100 Grace) x 1")</f>
        <v>Perfume (+100 Grace) x 1</v>
      </c>
      <c r="G22" s="249" t="s">
        <v>652</v>
      </c>
      <c r="H22" s="249" t="s">
        <v>639</v>
      </c>
      <c r="I22" s="146"/>
      <c r="J22" s="249"/>
      <c r="K22" s="249"/>
      <c r="L22" s="146" t="s">
        <v>652</v>
      </c>
      <c r="M22" s="250"/>
      <c r="N22" s="132">
        <v>46058.27402777778</v>
      </c>
    </row>
    <row r="23">
      <c r="A23" s="130">
        <v>11239.0</v>
      </c>
      <c r="B23" s="130">
        <v>190.0</v>
      </c>
      <c r="C23" s="146"/>
      <c r="D23" s="143"/>
      <c r="E23" s="143"/>
      <c r="F23" s="143"/>
      <c r="G23" s="143"/>
      <c r="H23" s="143"/>
      <c r="I23" s="144" t="s">
        <v>728</v>
      </c>
      <c r="J23" s="249">
        <f>IFERROR(__xludf.DUMMYFUNCTION("""COMPUTED_VALUE"""),6318.0)</f>
        <v>6318</v>
      </c>
      <c r="K23" s="249" t="str">
        <f>IFERROR(__xludf.DUMMYFUNCTION("""COMPUTED_VALUE"""),"Mystic Matrimony Bonus Story ～Motonari～")</f>
        <v>Mystic Matrimony Bonus Story ～Motonari～</v>
      </c>
      <c r="L23" s="146" t="s">
        <v>653</v>
      </c>
      <c r="M23" s="250"/>
      <c r="N23" s="132">
        <v>46058.27402777778</v>
      </c>
    </row>
    <row r="24">
      <c r="A24" s="130">
        <v>11240.0</v>
      </c>
      <c r="B24" s="130">
        <v>200.0</v>
      </c>
      <c r="C24" s="144" t="s">
        <v>729</v>
      </c>
      <c r="D24" s="249">
        <f>IFERROR(__xludf.DUMMYFUNCTION("""COMPUTED_VALUE"""),171948.0)</f>
        <v>171948</v>
      </c>
      <c r="E24" s="249" t="str">
        <f>IFERROR(__xludf.DUMMYFUNCTION("""COMPUTED_VALUE"""),"Mystic Matrimony◆Collection Bonus")</f>
        <v>Mystic Matrimony◆Collection Bonus</v>
      </c>
      <c r="F24" s="249" t="str">
        <f>IFERROR(__xludf.DUMMYFUNCTION("""COMPUTED_VALUE"""),"Limited Chapter Ticket x 1")</f>
        <v>Limited Chapter Ticket x 1</v>
      </c>
      <c r="G24" s="249" t="s">
        <v>654</v>
      </c>
      <c r="H24" s="249" t="s">
        <v>639</v>
      </c>
      <c r="I24" s="146"/>
      <c r="J24" s="249"/>
      <c r="K24" s="249"/>
      <c r="L24" s="146" t="s">
        <v>654</v>
      </c>
      <c r="M24" s="250"/>
      <c r="N24" s="132">
        <v>46058.27402777778</v>
      </c>
    </row>
    <row r="25">
      <c r="A25" s="130">
        <v>11241.0</v>
      </c>
      <c r="B25" s="130">
        <v>210.0</v>
      </c>
      <c r="C25" s="144" t="s">
        <v>730</v>
      </c>
      <c r="D25" s="249">
        <f>IFERROR(__xludf.DUMMYFUNCTION("""COMPUTED_VALUE"""),171949.0)</f>
        <v>171949</v>
      </c>
      <c r="E25" s="249" t="str">
        <f>IFERROR(__xludf.DUMMYFUNCTION("""COMPUTED_VALUE"""),"Mystic Matrimony◆Collection Bonus")</f>
        <v>Mystic Matrimony◆Collection Bonus</v>
      </c>
      <c r="F25" s="249" t="str">
        <f>IFERROR(__xludf.DUMMYFUNCTION("""COMPUTED_VALUE"""),"500 Gold x 1")</f>
        <v>500 Gold x 1</v>
      </c>
      <c r="G25" s="249" t="s">
        <v>644</v>
      </c>
      <c r="H25" s="249" t="s">
        <v>639</v>
      </c>
      <c r="I25" s="146"/>
      <c r="J25" s="249"/>
      <c r="K25" s="249"/>
      <c r="L25" s="146" t="s">
        <v>644</v>
      </c>
      <c r="M25" s="250"/>
      <c r="N25" s="132">
        <v>46058.27402777778</v>
      </c>
    </row>
    <row r="26">
      <c r="A26" s="130">
        <v>11242.0</v>
      </c>
      <c r="B26" s="130">
        <v>220.0</v>
      </c>
      <c r="C26" s="144" t="s">
        <v>731</v>
      </c>
      <c r="D26" s="249">
        <f>IFERROR(__xludf.DUMMYFUNCTION("""COMPUTED_VALUE"""),171950.0)</f>
        <v>171950</v>
      </c>
      <c r="E26" s="249" t="str">
        <f>IFERROR(__xludf.DUMMYFUNCTION("""COMPUTED_VALUE"""),"Mystic Matrimony◆Collection Bonus")</f>
        <v>Mystic Matrimony◆Collection Bonus</v>
      </c>
      <c r="F26" s="249" t="str">
        <f>IFERROR(__xludf.DUMMYFUNCTION("""COMPUTED_VALUE"""),"Castle Storage x 1")</f>
        <v>Castle Storage x 1</v>
      </c>
      <c r="G26" s="249" t="s">
        <v>650</v>
      </c>
      <c r="H26" s="249" t="s">
        <v>639</v>
      </c>
      <c r="I26" s="146"/>
      <c r="J26" s="249"/>
      <c r="K26" s="249"/>
      <c r="L26" s="146" t="s">
        <v>650</v>
      </c>
      <c r="M26" s="250"/>
      <c r="N26" s="132">
        <v>46058.27402777778</v>
      </c>
    </row>
    <row r="27">
      <c r="A27" s="130">
        <v>11243.0</v>
      </c>
      <c r="B27" s="130">
        <v>230.0</v>
      </c>
      <c r="C27" s="144" t="s">
        <v>732</v>
      </c>
      <c r="D27" s="249">
        <f>IFERROR(__xludf.DUMMYFUNCTION("""COMPUTED_VALUE"""),171951.0)</f>
        <v>171951</v>
      </c>
      <c r="E27" s="249" t="str">
        <f>IFERROR(__xludf.DUMMYFUNCTION("""COMPUTED_VALUE"""),"Mystic Matrimony◆Collection Bonus")</f>
        <v>Mystic Matrimony◆Collection Bonus</v>
      </c>
      <c r="F27" s="249" t="str">
        <f>IFERROR(__xludf.DUMMYFUNCTION("""COMPUTED_VALUE"""),"Kicho with a Lantern x 1")</f>
        <v>Kicho with a Lantern x 1</v>
      </c>
      <c r="G27" s="249" t="s">
        <v>655</v>
      </c>
      <c r="H27" s="249" t="s">
        <v>639</v>
      </c>
      <c r="I27" s="146"/>
      <c r="J27" s="249"/>
      <c r="K27" s="249"/>
      <c r="L27" s="146" t="s">
        <v>655</v>
      </c>
      <c r="M27" s="250"/>
      <c r="N27" s="132">
        <v>46058.27402777778</v>
      </c>
    </row>
    <row r="28">
      <c r="A28" s="130">
        <v>11244.0</v>
      </c>
      <c r="B28" s="130">
        <v>240.0</v>
      </c>
      <c r="C28" s="144" t="s">
        <v>733</v>
      </c>
      <c r="D28" s="249">
        <f>IFERROR(__xludf.DUMMYFUNCTION("""COMPUTED_VALUE"""),171952.0)</f>
        <v>171952</v>
      </c>
      <c r="E28" s="249" t="str">
        <f>IFERROR(__xludf.DUMMYFUNCTION("""COMPUTED_VALUE"""),"Mystic Matrimony◆Collection Bonus")</f>
        <v>Mystic Matrimony◆Collection Bonus</v>
      </c>
      <c r="F28" s="249" t="str">
        <f>IFERROR(__xludf.DUMMYFUNCTION("""COMPUTED_VALUE"""),"Perfume (+100 Grace) x 1")</f>
        <v>Perfume (+100 Grace) x 1</v>
      </c>
      <c r="G28" s="249" t="s">
        <v>652</v>
      </c>
      <c r="H28" s="249" t="s">
        <v>639</v>
      </c>
      <c r="I28" s="146"/>
      <c r="J28" s="249"/>
      <c r="K28" s="249"/>
      <c r="L28" s="146" t="s">
        <v>652</v>
      </c>
      <c r="M28" s="250"/>
      <c r="N28" s="132">
        <v>46058.27402777778</v>
      </c>
    </row>
    <row r="29">
      <c r="A29" s="130">
        <v>11245.0</v>
      </c>
      <c r="B29" s="130">
        <v>250.0</v>
      </c>
      <c r="C29" s="144" t="s">
        <v>734</v>
      </c>
      <c r="D29" s="249">
        <f>IFERROR(__xludf.DUMMYFUNCTION("""COMPUTED_VALUE"""),171953.0)</f>
        <v>171953</v>
      </c>
      <c r="E29" s="249" t="str">
        <f>IFERROR(__xludf.DUMMYFUNCTION("""COMPUTED_VALUE"""),"Mystic Matrimony◆Collection Bonus")</f>
        <v>Mystic Matrimony◆Collection Bonus</v>
      </c>
      <c r="F29" s="249" t="str">
        <f>IFERROR(__xludf.DUMMYFUNCTION("""COMPUTED_VALUE"""),"500 Gold x 1")</f>
        <v>500 Gold x 1</v>
      </c>
      <c r="G29" s="249" t="s">
        <v>644</v>
      </c>
      <c r="H29" s="249" t="s">
        <v>639</v>
      </c>
      <c r="I29" s="146"/>
      <c r="J29" s="249"/>
      <c r="K29" s="249"/>
      <c r="L29" s="146" t="s">
        <v>644</v>
      </c>
      <c r="M29" s="250"/>
      <c r="N29" s="132">
        <v>46058.27402777778</v>
      </c>
    </row>
    <row r="30">
      <c r="A30" s="130">
        <v>11246.0</v>
      </c>
      <c r="B30" s="130">
        <v>260.0</v>
      </c>
      <c r="C30" s="144" t="s">
        <v>735</v>
      </c>
      <c r="D30" s="249">
        <f>IFERROR(__xludf.DUMMYFUNCTION("""COMPUTED_VALUE"""),171954.0)</f>
        <v>171954</v>
      </c>
      <c r="E30" s="249" t="str">
        <f>IFERROR(__xludf.DUMMYFUNCTION("""COMPUTED_VALUE"""),"Mystic Matrimony◆Collection Bonus")</f>
        <v>Mystic Matrimony◆Collection Bonus</v>
      </c>
      <c r="F30" s="249" t="str">
        <f>IFERROR(__xludf.DUMMYFUNCTION("""COMPUTED_VALUE"""),"Kanetsugu with a Lantern x 1")</f>
        <v>Kanetsugu with a Lantern x 1</v>
      </c>
      <c r="G30" s="249" t="s">
        <v>656</v>
      </c>
      <c r="H30" s="249" t="s">
        <v>639</v>
      </c>
      <c r="I30" s="146"/>
      <c r="J30" s="249"/>
      <c r="K30" s="249"/>
      <c r="L30" s="146" t="s">
        <v>656</v>
      </c>
      <c r="M30" s="250"/>
      <c r="N30" s="132">
        <v>46058.27402777778</v>
      </c>
    </row>
    <row r="31">
      <c r="A31" s="130">
        <v>11247.0</v>
      </c>
      <c r="B31" s="130">
        <v>270.0</v>
      </c>
      <c r="C31" s="144" t="s">
        <v>736</v>
      </c>
      <c r="D31" s="249">
        <f>IFERROR(__xludf.DUMMYFUNCTION("""COMPUTED_VALUE"""),171955.0)</f>
        <v>171955</v>
      </c>
      <c r="E31" s="249" t="str">
        <f>IFERROR(__xludf.DUMMYFUNCTION("""COMPUTED_VALUE"""),"Mystic Matrimony◆Collection Bonus")</f>
        <v>Mystic Matrimony◆Collection Bonus</v>
      </c>
      <c r="F31" s="249" t="str">
        <f>IFERROR(__xludf.DUMMYFUNCTION("""COMPUTED_VALUE"""),"Castle Storage x 1")</f>
        <v>Castle Storage x 1</v>
      </c>
      <c r="G31" s="249" t="s">
        <v>650</v>
      </c>
      <c r="H31" s="249" t="s">
        <v>639</v>
      </c>
      <c r="I31" s="146"/>
      <c r="J31" s="249"/>
      <c r="K31" s="249"/>
      <c r="L31" s="146" t="s">
        <v>650</v>
      </c>
      <c r="M31" s="250"/>
      <c r="N31" s="132">
        <v>46058.27402777778</v>
      </c>
    </row>
    <row r="32">
      <c r="A32" s="130">
        <v>11248.0</v>
      </c>
      <c r="B32" s="130">
        <v>280.0</v>
      </c>
      <c r="C32" s="144" t="s">
        <v>737</v>
      </c>
      <c r="D32" s="249">
        <f>IFERROR(__xludf.DUMMYFUNCTION("""COMPUTED_VALUE"""),171956.0)</f>
        <v>171956</v>
      </c>
      <c r="E32" s="249" t="str">
        <f>IFERROR(__xludf.DUMMYFUNCTION("""COMPUTED_VALUE"""),"Mystic Matrimony◆Collection Bonus")</f>
        <v>Mystic Matrimony◆Collection Bonus</v>
      </c>
      <c r="F32" s="249" t="str">
        <f>IFERROR(__xludf.DUMMYFUNCTION("""COMPUTED_VALUE"""),"Makeup (+100 Glamour) x 1")</f>
        <v>Makeup (+100 Glamour) x 1</v>
      </c>
      <c r="G32" s="249" t="s">
        <v>649</v>
      </c>
      <c r="H32" s="249" t="s">
        <v>639</v>
      </c>
      <c r="I32" s="146"/>
      <c r="J32" s="249"/>
      <c r="K32" s="249"/>
      <c r="L32" s="146" t="s">
        <v>649</v>
      </c>
      <c r="M32" s="250"/>
      <c r="N32" s="132">
        <v>46058.27402777778</v>
      </c>
    </row>
    <row r="33">
      <c r="A33" s="130">
        <v>11249.0</v>
      </c>
      <c r="B33" s="130">
        <v>290.0</v>
      </c>
      <c r="C33" s="144" t="s">
        <v>738</v>
      </c>
      <c r="D33" s="249">
        <f>IFERROR(__xludf.DUMMYFUNCTION("""COMPUTED_VALUE"""),171957.0)</f>
        <v>171957</v>
      </c>
      <c r="E33" s="249" t="str">
        <f>IFERROR(__xludf.DUMMYFUNCTION("""COMPUTED_VALUE"""),"Mystic Matrimony◆Collection Bonus")</f>
        <v>Mystic Matrimony◆Collection Bonus</v>
      </c>
      <c r="F33" s="249" t="str">
        <f>IFERROR(__xludf.DUMMYFUNCTION("""COMPUTED_VALUE"""),"Shaved Ice (+100 Stamina) x 1")</f>
        <v>Shaved Ice (+100 Stamina) x 1</v>
      </c>
      <c r="G33" s="249" t="s">
        <v>657</v>
      </c>
      <c r="H33" s="249" t="s">
        <v>639</v>
      </c>
      <c r="I33" s="146"/>
      <c r="J33" s="249"/>
      <c r="K33" s="249"/>
      <c r="L33" s="146" t="s">
        <v>657</v>
      </c>
      <c r="M33" s="250"/>
      <c r="N33" s="132">
        <v>46058.27402777778</v>
      </c>
    </row>
    <row r="34">
      <c r="A34" s="130">
        <v>11250.0</v>
      </c>
      <c r="B34" s="130">
        <v>300.0</v>
      </c>
      <c r="C34" s="146"/>
      <c r="D34" s="143"/>
      <c r="E34" s="143"/>
      <c r="F34" s="143"/>
      <c r="G34" s="143"/>
      <c r="H34" s="143"/>
      <c r="I34" s="144" t="s">
        <v>739</v>
      </c>
      <c r="J34" s="249">
        <f>IFERROR(__xludf.DUMMYFUNCTION("""COMPUTED_VALUE"""),6317.0)</f>
        <v>6317</v>
      </c>
      <c r="K34" s="249" t="str">
        <f>IFERROR(__xludf.DUMMYFUNCTION("""COMPUTED_VALUE"""),"Mystic Matrimony Bonus Story ～Kicho～")</f>
        <v>Mystic Matrimony Bonus Story ～Kicho～</v>
      </c>
      <c r="L34" s="146" t="s">
        <v>658</v>
      </c>
      <c r="M34" s="250"/>
      <c r="N34" s="132">
        <v>46058.27402777778</v>
      </c>
    </row>
    <row r="35">
      <c r="A35" s="130">
        <v>11251.0</v>
      </c>
      <c r="B35" s="130">
        <v>310.0</v>
      </c>
      <c r="C35" s="144" t="s">
        <v>740</v>
      </c>
      <c r="D35" s="249">
        <f>IFERROR(__xludf.DUMMYFUNCTION("""COMPUTED_VALUE"""),171958.0)</f>
        <v>171958</v>
      </c>
      <c r="E35" s="249" t="str">
        <f>IFERROR(__xludf.DUMMYFUNCTION("""COMPUTED_VALUE"""),"Mystic Matrimony◆Collection Bonus")</f>
        <v>Mystic Matrimony◆Collection Bonus</v>
      </c>
      <c r="F35" s="249" t="str">
        <f>IFERROR(__xludf.DUMMYFUNCTION("""COMPUTED_VALUE"""),"Closet Storage x 1")</f>
        <v>Closet Storage x 1</v>
      </c>
      <c r="G35" s="249" t="s">
        <v>646</v>
      </c>
      <c r="H35" s="249" t="s">
        <v>639</v>
      </c>
      <c r="I35" s="146"/>
      <c r="J35" s="249"/>
      <c r="K35" s="249"/>
      <c r="L35" s="146" t="s">
        <v>646</v>
      </c>
      <c r="M35" s="250"/>
      <c r="N35" s="132">
        <v>46058.27402777778</v>
      </c>
    </row>
    <row r="36">
      <c r="A36" s="130">
        <v>11252.0</v>
      </c>
      <c r="B36" s="130">
        <v>320.0</v>
      </c>
      <c r="C36" s="144" t="s">
        <v>741</v>
      </c>
      <c r="D36" s="249">
        <f>IFERROR(__xludf.DUMMYFUNCTION("""COMPUTED_VALUE"""),171959.0)</f>
        <v>171959</v>
      </c>
      <c r="E36" s="249" t="str">
        <f>IFERROR(__xludf.DUMMYFUNCTION("""COMPUTED_VALUE"""),"Mystic Matrimony◆Collection Bonus")</f>
        <v>Mystic Matrimony◆Collection Bonus</v>
      </c>
      <c r="F36" s="249" t="str">
        <f>IFERROR(__xludf.DUMMYFUNCTION("""COMPUTED_VALUE"""),"1500 Gold x 1")</f>
        <v>1500 Gold x 1</v>
      </c>
      <c r="G36" s="249" t="s">
        <v>481</v>
      </c>
      <c r="H36" s="249" t="s">
        <v>639</v>
      </c>
      <c r="I36" s="146"/>
      <c r="J36" s="249"/>
      <c r="K36" s="249"/>
      <c r="L36" s="146" t="s">
        <v>481</v>
      </c>
      <c r="M36" s="250"/>
      <c r="N36" s="132">
        <v>46058.27402777778</v>
      </c>
    </row>
    <row r="37">
      <c r="A37" s="130">
        <v>11253.0</v>
      </c>
      <c r="B37" s="130">
        <v>330.0</v>
      </c>
      <c r="C37" s="144" t="s">
        <v>742</v>
      </c>
      <c r="D37" s="249">
        <f>IFERROR(__xludf.DUMMYFUNCTION("""COMPUTED_VALUE"""),171960.0)</f>
        <v>171960</v>
      </c>
      <c r="E37" s="249" t="str">
        <f>IFERROR(__xludf.DUMMYFUNCTION("""COMPUTED_VALUE"""),"Mystic Matrimony◆Collection Bonus")</f>
        <v>Mystic Matrimony◆Collection Bonus</v>
      </c>
      <c r="F37" s="249" t="str">
        <f>IFERROR(__xludf.DUMMYFUNCTION("""COMPUTED_VALUE"""),"(Main) Dramatic Elixir (+1) x 1")</f>
        <v>(Main) Dramatic Elixir (+1) x 1</v>
      </c>
      <c r="G37" s="249" t="s">
        <v>659</v>
      </c>
      <c r="H37" s="249" t="s">
        <v>639</v>
      </c>
      <c r="I37" s="146"/>
      <c r="J37" s="249"/>
      <c r="K37" s="249"/>
      <c r="L37" s="146" t="s">
        <v>659</v>
      </c>
      <c r="M37" s="250"/>
      <c r="N37" s="132">
        <v>46058.27402777778</v>
      </c>
    </row>
    <row r="38">
      <c r="A38" s="130">
        <v>11254.0</v>
      </c>
      <c r="B38" s="130">
        <v>340.0</v>
      </c>
      <c r="C38" s="144" t="s">
        <v>743</v>
      </c>
      <c r="D38" s="249">
        <f>IFERROR(__xludf.DUMMYFUNCTION("""COMPUTED_VALUE"""),171961.0)</f>
        <v>171961</v>
      </c>
      <c r="E38" s="249" t="str">
        <f>IFERROR(__xludf.DUMMYFUNCTION("""COMPUTED_VALUE"""),"Mystic Matrimony◆Collection Bonus")</f>
        <v>Mystic Matrimony◆Collection Bonus</v>
      </c>
      <c r="F38" s="249" t="str">
        <f>IFERROR(__xludf.DUMMYFUNCTION("""COMPUTED_VALUE"""),"Nobunaga with a Lantern x 1")</f>
        <v>Nobunaga with a Lantern x 1</v>
      </c>
      <c r="G38" s="249" t="s">
        <v>660</v>
      </c>
      <c r="H38" s="249" t="s">
        <v>639</v>
      </c>
      <c r="I38" s="146"/>
      <c r="J38" s="249"/>
      <c r="K38" s="249"/>
      <c r="L38" s="146" t="s">
        <v>660</v>
      </c>
      <c r="M38" s="250"/>
      <c r="N38" s="132">
        <v>46058.27402777778</v>
      </c>
    </row>
    <row r="39">
      <c r="A39" s="130">
        <v>11255.0</v>
      </c>
      <c r="B39" s="130">
        <v>350.0</v>
      </c>
      <c r="C39" s="144" t="s">
        <v>744</v>
      </c>
      <c r="D39" s="249">
        <f>IFERROR(__xludf.DUMMYFUNCTION("""COMPUTED_VALUE"""),171962.0)</f>
        <v>171962</v>
      </c>
      <c r="E39" s="249" t="str">
        <f>IFERROR(__xludf.DUMMYFUNCTION("""COMPUTED_VALUE"""),"Mystic Matrimony◆Collection Bonus")</f>
        <v>Mystic Matrimony◆Collection Bonus</v>
      </c>
      <c r="F39" s="249" t="str">
        <f>IFERROR(__xludf.DUMMYFUNCTION("""COMPUTED_VALUE"""),"Castle Storage x 1")</f>
        <v>Castle Storage x 1</v>
      </c>
      <c r="G39" s="249" t="s">
        <v>650</v>
      </c>
      <c r="H39" s="249" t="s">
        <v>639</v>
      </c>
      <c r="I39" s="146"/>
      <c r="J39" s="249"/>
      <c r="K39" s="249"/>
      <c r="L39" s="146" t="s">
        <v>650</v>
      </c>
      <c r="M39" s="250"/>
      <c r="N39" s="132">
        <v>46058.27402777778</v>
      </c>
    </row>
    <row r="40">
      <c r="A40" s="130">
        <v>11256.0</v>
      </c>
      <c r="B40" s="130">
        <v>360.0</v>
      </c>
      <c r="C40" s="144" t="s">
        <v>745</v>
      </c>
      <c r="D40" s="249">
        <f>IFERROR(__xludf.DUMMYFUNCTION("""COMPUTED_VALUE"""),171963.0)</f>
        <v>171963</v>
      </c>
      <c r="E40" s="249" t="str">
        <f>IFERROR(__xludf.DUMMYFUNCTION("""COMPUTED_VALUE"""),"Mystic Matrimony◆Collection Bonus")</f>
        <v>Mystic Matrimony◆Collection Bonus</v>
      </c>
      <c r="F40" s="249" t="str">
        <f>IFERROR(__xludf.DUMMYFUNCTION("""COMPUTED_VALUE"""),"Limited Chapter Ticket x 1")</f>
        <v>Limited Chapter Ticket x 1</v>
      </c>
      <c r="G40" s="249" t="s">
        <v>654</v>
      </c>
      <c r="H40" s="249" t="s">
        <v>639</v>
      </c>
      <c r="I40" s="146"/>
      <c r="J40" s="249"/>
      <c r="K40" s="249"/>
      <c r="L40" s="146" t="s">
        <v>654</v>
      </c>
      <c r="M40" s="250"/>
      <c r="N40" s="132">
        <v>46058.27402777778</v>
      </c>
    </row>
    <row r="41">
      <c r="A41" s="130">
        <v>11257.0</v>
      </c>
      <c r="B41" s="130">
        <v>370.0</v>
      </c>
      <c r="C41" s="144" t="s">
        <v>746</v>
      </c>
      <c r="D41" s="249">
        <f>IFERROR(__xludf.DUMMYFUNCTION("""COMPUTED_VALUE"""),171964.0)</f>
        <v>171964</v>
      </c>
      <c r="E41" s="249" t="str">
        <f>IFERROR(__xludf.DUMMYFUNCTION("""COMPUTED_VALUE"""),"Mystic Matrimony◆Collection Bonus")</f>
        <v>Mystic Matrimony◆Collection Bonus</v>
      </c>
      <c r="F41" s="249" t="str">
        <f>IFERROR(__xludf.DUMMYFUNCTION("""COMPUTED_VALUE"""),"Masamune with a Lantern x 1")</f>
        <v>Masamune with a Lantern x 1</v>
      </c>
      <c r="G41" s="249" t="s">
        <v>661</v>
      </c>
      <c r="H41" s="249" t="s">
        <v>639</v>
      </c>
      <c r="I41" s="146"/>
      <c r="J41" s="249"/>
      <c r="K41" s="249"/>
      <c r="L41" s="146" t="s">
        <v>661</v>
      </c>
      <c r="M41" s="250"/>
      <c r="N41" s="132">
        <v>46058.27402777778</v>
      </c>
    </row>
    <row r="42">
      <c r="A42" s="130">
        <v>11258.0</v>
      </c>
      <c r="B42" s="130">
        <v>380.0</v>
      </c>
      <c r="C42" s="144" t="s">
        <v>747</v>
      </c>
      <c r="D42" s="249">
        <f>IFERROR(__xludf.DUMMYFUNCTION("""COMPUTED_VALUE"""),171965.0)</f>
        <v>171965</v>
      </c>
      <c r="E42" s="249" t="str">
        <f>IFERROR(__xludf.DUMMYFUNCTION("""COMPUTED_VALUE"""),"Mystic Matrimony◆Collection Bonus")</f>
        <v>Mystic Matrimony◆Collection Bonus</v>
      </c>
      <c r="F42" s="249" t="str">
        <f>IFERROR(__xludf.DUMMYFUNCTION("""COMPUTED_VALUE"""),"1500 Gold x 1")</f>
        <v>1500 Gold x 1</v>
      </c>
      <c r="G42" s="249" t="s">
        <v>481</v>
      </c>
      <c r="H42" s="249" t="s">
        <v>639</v>
      </c>
      <c r="I42" s="146"/>
      <c r="J42" s="249"/>
      <c r="K42" s="249"/>
      <c r="L42" s="146" t="s">
        <v>481</v>
      </c>
      <c r="M42" s="250"/>
      <c r="N42" s="132">
        <v>46058.27402777778</v>
      </c>
    </row>
    <row r="43">
      <c r="A43" s="130">
        <v>11259.0</v>
      </c>
      <c r="B43" s="130">
        <v>390.0</v>
      </c>
      <c r="C43" s="144" t="s">
        <v>748</v>
      </c>
      <c r="D43" s="249">
        <f>IFERROR(__xludf.DUMMYFUNCTION("""COMPUTED_VALUE"""),171966.0)</f>
        <v>171966</v>
      </c>
      <c r="E43" s="249" t="str">
        <f>IFERROR(__xludf.DUMMYFUNCTION("""COMPUTED_VALUE"""),"Mystic Matrimony◆Collection Bonus")</f>
        <v>Mystic Matrimony◆Collection Bonus</v>
      </c>
      <c r="F43" s="249" t="str">
        <f>IFERROR(__xludf.DUMMYFUNCTION("""COMPUTED_VALUE"""),"Perfume (+500 Grace) x 1")</f>
        <v>Perfume (+500 Grace) x 1</v>
      </c>
      <c r="G43" s="249" t="s">
        <v>662</v>
      </c>
      <c r="H43" s="249" t="s">
        <v>639</v>
      </c>
      <c r="I43" s="146"/>
      <c r="J43" s="249"/>
      <c r="K43" s="249"/>
      <c r="L43" s="146" t="s">
        <v>662</v>
      </c>
      <c r="M43" s="250"/>
      <c r="N43" s="132">
        <v>46058.27402777778</v>
      </c>
    </row>
    <row r="44">
      <c r="A44" s="130">
        <v>11260.0</v>
      </c>
      <c r="B44" s="130">
        <v>400.0</v>
      </c>
      <c r="C44" s="144" t="s">
        <v>749</v>
      </c>
      <c r="D44" s="249">
        <f>IFERROR(__xludf.DUMMYFUNCTION("""COMPUTED_VALUE"""),171967.0)</f>
        <v>171967</v>
      </c>
      <c r="E44" s="249" t="str">
        <f>IFERROR(__xludf.DUMMYFUNCTION("""COMPUTED_VALUE"""),"Mystic Matrimony◆Collection Bonus")</f>
        <v>Mystic Matrimony◆Collection Bonus</v>
      </c>
      <c r="F44" s="249" t="str">
        <f>IFERROR(__xludf.DUMMYFUNCTION("""COMPUTED_VALUE"""),"(Main) Romantic Elixir (+1) x 1")</f>
        <v>(Main) Romantic Elixir (+1) x 1</v>
      </c>
      <c r="G44" s="249" t="s">
        <v>663</v>
      </c>
      <c r="H44" s="249" t="s">
        <v>639</v>
      </c>
      <c r="I44" s="146"/>
      <c r="J44" s="249"/>
      <c r="K44" s="249"/>
      <c r="L44" s="146" t="s">
        <v>663</v>
      </c>
      <c r="M44" s="250"/>
      <c r="N44" s="132">
        <v>46058.27402777778</v>
      </c>
    </row>
    <row r="45">
      <c r="A45" s="130">
        <v>11261.0</v>
      </c>
      <c r="B45" s="130">
        <v>410.0</v>
      </c>
      <c r="C45" s="146"/>
      <c r="D45" s="143"/>
      <c r="E45" s="143"/>
      <c r="F45" s="143"/>
      <c r="G45" s="143"/>
      <c r="H45" s="143"/>
      <c r="I45" s="144" t="s">
        <v>750</v>
      </c>
      <c r="J45" s="249">
        <f>IFERROR(__xludf.DUMMYFUNCTION("""COMPUTED_VALUE"""),6316.0)</f>
        <v>6316</v>
      </c>
      <c r="K45" s="249" t="str">
        <f>IFERROR(__xludf.DUMMYFUNCTION("""COMPUTED_VALUE"""),"Mystic Matrimony Bonus Story ～Kanetsugu～")</f>
        <v>Mystic Matrimony Bonus Story ～Kanetsugu～</v>
      </c>
      <c r="L45" s="146" t="s">
        <v>664</v>
      </c>
      <c r="M45" s="250"/>
      <c r="N45" s="132">
        <v>46058.27402777778</v>
      </c>
    </row>
    <row r="46">
      <c r="A46" s="130">
        <v>11262.0</v>
      </c>
      <c r="B46" s="130">
        <v>420.0</v>
      </c>
      <c r="C46" s="144" t="s">
        <v>751</v>
      </c>
      <c r="D46" s="249">
        <f>IFERROR(__xludf.DUMMYFUNCTION("""COMPUTED_VALUE"""),171968.0)</f>
        <v>171968</v>
      </c>
      <c r="E46" s="249" t="str">
        <f>IFERROR(__xludf.DUMMYFUNCTION("""COMPUTED_VALUE"""),"Mystic Matrimony◆Collection Bonus")</f>
        <v>Mystic Matrimony◆Collection Bonus</v>
      </c>
      <c r="F46" s="249" t="str">
        <f>IFERROR(__xludf.DUMMYFUNCTION("""COMPUTED_VALUE"""),"Shaved Ice (+100 Stamina) x 1")</f>
        <v>Shaved Ice (+100 Stamina) x 1</v>
      </c>
      <c r="G46" s="249" t="s">
        <v>657</v>
      </c>
      <c r="H46" s="249" t="s">
        <v>639</v>
      </c>
      <c r="I46" s="146"/>
      <c r="J46" s="249"/>
      <c r="K46" s="249"/>
      <c r="L46" s="146" t="s">
        <v>657</v>
      </c>
      <c r="M46" s="250"/>
      <c r="N46" s="132">
        <v>46058.27402777778</v>
      </c>
    </row>
    <row r="47">
      <c r="A47" s="130">
        <v>11263.0</v>
      </c>
      <c r="B47" s="130">
        <v>430.0</v>
      </c>
      <c r="C47" s="144" t="s">
        <v>752</v>
      </c>
      <c r="D47" s="249">
        <f>IFERROR(__xludf.DUMMYFUNCTION("""COMPUTED_VALUE"""),171969.0)</f>
        <v>171969</v>
      </c>
      <c r="E47" s="249" t="str">
        <f>IFERROR(__xludf.DUMMYFUNCTION("""COMPUTED_VALUE"""),"Mystic Matrimony◆Collection Bonus")</f>
        <v>Mystic Matrimony◆Collection Bonus</v>
      </c>
      <c r="F47" s="249" t="str">
        <f>IFERROR(__xludf.DUMMYFUNCTION("""COMPUTED_VALUE"""),"Closet Storage x 1")</f>
        <v>Closet Storage x 1</v>
      </c>
      <c r="G47" s="249" t="s">
        <v>646</v>
      </c>
      <c r="H47" s="249" t="s">
        <v>639</v>
      </c>
      <c r="I47" s="146"/>
      <c r="J47" s="249"/>
      <c r="K47" s="249"/>
      <c r="L47" s="146" t="s">
        <v>646</v>
      </c>
      <c r="M47" s="250"/>
      <c r="N47" s="132">
        <v>46058.27402777778</v>
      </c>
    </row>
    <row r="48">
      <c r="A48" s="130">
        <v>11264.0</v>
      </c>
      <c r="B48" s="130">
        <v>440.0</v>
      </c>
      <c r="C48" s="144" t="s">
        <v>753</v>
      </c>
      <c r="D48" s="249">
        <f>IFERROR(__xludf.DUMMYFUNCTION("""COMPUTED_VALUE"""),171970.0)</f>
        <v>171970</v>
      </c>
      <c r="E48" s="249" t="str">
        <f>IFERROR(__xludf.DUMMYFUNCTION("""COMPUTED_VALUE"""),"Mystic Matrimony◆Collection Bonus")</f>
        <v>Mystic Matrimony◆Collection Bonus</v>
      </c>
      <c r="F48" s="249" t="str">
        <f>IFERROR(__xludf.DUMMYFUNCTION("""COMPUTED_VALUE"""),"Vampire Wings x 1")</f>
        <v>Vampire Wings x 1</v>
      </c>
      <c r="G48" s="249" t="s">
        <v>665</v>
      </c>
      <c r="H48" s="249" t="s">
        <v>639</v>
      </c>
      <c r="I48" s="146"/>
      <c r="J48" s="249"/>
      <c r="K48" s="249"/>
      <c r="L48" s="146" t="s">
        <v>665</v>
      </c>
      <c r="M48" s="250"/>
      <c r="N48" s="132">
        <v>46058.27402777778</v>
      </c>
    </row>
    <row r="49">
      <c r="A49" s="130">
        <v>11265.0</v>
      </c>
      <c r="B49" s="130">
        <v>450.0</v>
      </c>
      <c r="C49" s="144" t="s">
        <v>754</v>
      </c>
      <c r="D49" s="249">
        <f>IFERROR(__xludf.DUMMYFUNCTION("""COMPUTED_VALUE"""),171971.0)</f>
        <v>171971</v>
      </c>
      <c r="E49" s="249" t="str">
        <f>IFERROR(__xludf.DUMMYFUNCTION("""COMPUTED_VALUE"""),"Mystic Matrimony◆Collection Bonus")</f>
        <v>Mystic Matrimony◆Collection Bonus</v>
      </c>
      <c r="F49" s="249" t="str">
        <f>IFERROR(__xludf.DUMMYFUNCTION("""COMPUTED_VALUE"""),"(Main) Elixir of Love (+1:+1) x 1")</f>
        <v>(Main) Elixir of Love (+1:+1) x 1</v>
      </c>
      <c r="G49" s="249" t="s">
        <v>666</v>
      </c>
      <c r="H49" s="249" t="s">
        <v>639</v>
      </c>
      <c r="I49" s="146"/>
      <c r="J49" s="249"/>
      <c r="K49" s="249"/>
      <c r="L49" s="146" t="s">
        <v>666</v>
      </c>
      <c r="M49" s="250"/>
      <c r="N49" s="132">
        <v>46058.274039351854</v>
      </c>
    </row>
    <row r="50">
      <c r="A50" s="130">
        <v>11266.0</v>
      </c>
      <c r="B50" s="130">
        <v>460.0</v>
      </c>
      <c r="C50" s="144" t="s">
        <v>755</v>
      </c>
      <c r="D50" s="249">
        <f>IFERROR(__xludf.DUMMYFUNCTION("""COMPUTED_VALUE"""),171972.0)</f>
        <v>171972</v>
      </c>
      <c r="E50" s="249" t="str">
        <f>IFERROR(__xludf.DUMMYFUNCTION("""COMPUTED_VALUE"""),"Mystic Matrimony◆Collection Bonus")</f>
        <v>Mystic Matrimony◆Collection Bonus</v>
      </c>
      <c r="F50" s="249" t="str">
        <f>IFERROR(__xludf.DUMMYFUNCTION("""COMPUTED_VALUE"""),"Closet Storage x 1")</f>
        <v>Closet Storage x 1</v>
      </c>
      <c r="G50" s="249" t="s">
        <v>646</v>
      </c>
      <c r="H50" s="249" t="s">
        <v>639</v>
      </c>
      <c r="I50" s="146"/>
      <c r="J50" s="249"/>
      <c r="K50" s="249"/>
      <c r="L50" s="146" t="s">
        <v>646</v>
      </c>
      <c r="M50" s="250"/>
      <c r="N50" s="132">
        <v>46058.274039351854</v>
      </c>
    </row>
    <row r="51">
      <c r="A51" s="130">
        <v>11267.0</v>
      </c>
      <c r="B51" s="130">
        <v>470.0</v>
      </c>
      <c r="C51" s="144" t="s">
        <v>756</v>
      </c>
      <c r="D51" s="249">
        <f>IFERROR(__xludf.DUMMYFUNCTION("""COMPUTED_VALUE"""),171973.0)</f>
        <v>171973</v>
      </c>
      <c r="E51" s="249" t="str">
        <f>IFERROR(__xludf.DUMMYFUNCTION("""COMPUTED_VALUE"""),"Mystic Matrimony◆Collection Bonus")</f>
        <v>Mystic Matrimony◆Collection Bonus</v>
      </c>
      <c r="F51" s="249" t="str">
        <f>IFERROR(__xludf.DUMMYFUNCTION("""COMPUTED_VALUE"""),"Dragon Horns x 1")</f>
        <v>Dragon Horns x 1</v>
      </c>
      <c r="G51" s="249" t="s">
        <v>667</v>
      </c>
      <c r="H51" s="249" t="s">
        <v>639</v>
      </c>
      <c r="I51" s="146"/>
      <c r="J51" s="249"/>
      <c r="K51" s="249"/>
      <c r="L51" s="146" t="s">
        <v>667</v>
      </c>
      <c r="M51" s="250"/>
      <c r="N51" s="132">
        <v>46058.274039351854</v>
      </c>
    </row>
    <row r="52">
      <c r="A52" s="130">
        <v>11268.0</v>
      </c>
      <c r="B52" s="130">
        <v>480.0</v>
      </c>
      <c r="C52" s="144" t="s">
        <v>757</v>
      </c>
      <c r="D52" s="249">
        <f>IFERROR(__xludf.DUMMYFUNCTION("""COMPUTED_VALUE"""),171974.0)</f>
        <v>171974</v>
      </c>
      <c r="E52" s="249" t="str">
        <f>IFERROR(__xludf.DUMMYFUNCTION("""COMPUTED_VALUE"""),"Mystic Matrimony◆Collection Bonus")</f>
        <v>Mystic Matrimony◆Collection Bonus</v>
      </c>
      <c r="F52" s="249" t="str">
        <f>IFERROR(__xludf.DUMMYFUNCTION("""COMPUTED_VALUE"""),"Closet Storage x 1")</f>
        <v>Closet Storage x 1</v>
      </c>
      <c r="G52" s="249" t="s">
        <v>646</v>
      </c>
      <c r="H52" s="249" t="s">
        <v>639</v>
      </c>
      <c r="I52" s="146"/>
      <c r="J52" s="249"/>
      <c r="K52" s="249"/>
      <c r="L52" s="146" t="s">
        <v>646</v>
      </c>
      <c r="M52" s="250"/>
      <c r="N52" s="132">
        <v>46058.274039351854</v>
      </c>
    </row>
    <row r="53">
      <c r="A53" s="130">
        <v>11269.0</v>
      </c>
      <c r="B53" s="130">
        <v>490.0</v>
      </c>
      <c r="C53" s="144" t="s">
        <v>758</v>
      </c>
      <c r="D53" s="249">
        <f>IFERROR(__xludf.DUMMYFUNCTION("""COMPUTED_VALUE"""),171975.0)</f>
        <v>171975</v>
      </c>
      <c r="E53" s="249" t="str">
        <f>IFERROR(__xludf.DUMMYFUNCTION("""COMPUTED_VALUE"""),"Mystic Matrimony◆Collection Bonus")</f>
        <v>Mystic Matrimony◆Collection Bonus</v>
      </c>
      <c r="F53" s="249" t="str">
        <f>IFERROR(__xludf.DUMMYFUNCTION("""COMPUTED_VALUE"""),"Shaved Ice (+50 Stamina) x 1")</f>
        <v>Shaved Ice (+50 Stamina) x 1</v>
      </c>
      <c r="G53" s="249" t="s">
        <v>636</v>
      </c>
      <c r="H53" s="249" t="s">
        <v>639</v>
      </c>
      <c r="I53" s="146"/>
      <c r="J53" s="249"/>
      <c r="K53" s="249"/>
      <c r="L53" s="146" t="s">
        <v>636</v>
      </c>
      <c r="M53" s="250"/>
      <c r="N53" s="132">
        <v>46058.274039351854</v>
      </c>
    </row>
    <row r="54">
      <c r="A54" s="130">
        <v>11270.0</v>
      </c>
      <c r="B54" s="130">
        <v>500.0</v>
      </c>
      <c r="C54" s="146"/>
      <c r="D54" s="143"/>
      <c r="E54" s="143"/>
      <c r="F54" s="143"/>
      <c r="G54" s="143"/>
      <c r="H54" s="143"/>
      <c r="I54" s="144" t="s">
        <v>759</v>
      </c>
      <c r="J54" s="249">
        <f>IFERROR(__xludf.DUMMYFUNCTION("""COMPUTED_VALUE"""),6315.0)</f>
        <v>6315</v>
      </c>
      <c r="K54" s="249" t="str">
        <f>IFERROR(__xludf.DUMMYFUNCTION("""COMPUTED_VALUE"""),"Mystic Matrimony Bonus Story ～Nobunaga～")</f>
        <v>Mystic Matrimony Bonus Story ～Nobunaga～</v>
      </c>
      <c r="L54" s="146" t="s">
        <v>668</v>
      </c>
      <c r="M54" s="250"/>
      <c r="N54" s="132">
        <v>46058.274039351854</v>
      </c>
    </row>
    <row r="55">
      <c r="A55" s="130">
        <v>11271.0</v>
      </c>
      <c r="B55" s="130">
        <v>510.0</v>
      </c>
      <c r="C55" s="144" t="s">
        <v>760</v>
      </c>
      <c r="D55" s="249">
        <f>IFERROR(__xludf.DUMMYFUNCTION("""COMPUTED_VALUE"""),171976.0)</f>
        <v>171976</v>
      </c>
      <c r="E55" s="249" t="str">
        <f>IFERROR(__xludf.DUMMYFUNCTION("""COMPUTED_VALUE"""),"Mystic Matrimony◆Collection Bonus")</f>
        <v>Mystic Matrimony◆Collection Bonus</v>
      </c>
      <c r="F55" s="249" t="str">
        <f>IFERROR(__xludf.DUMMYFUNCTION("""COMPUTED_VALUE"""),"3000 Gold x 1")</f>
        <v>3000 Gold x 1</v>
      </c>
      <c r="G55" s="249" t="s">
        <v>669</v>
      </c>
      <c r="H55" s="249" t="s">
        <v>639</v>
      </c>
      <c r="I55" s="146"/>
      <c r="J55" s="249"/>
      <c r="K55" s="249"/>
      <c r="L55" s="146" t="s">
        <v>669</v>
      </c>
      <c r="M55" s="250"/>
      <c r="N55" s="132">
        <v>46058.274039351854</v>
      </c>
    </row>
    <row r="56">
      <c r="A56" s="130">
        <v>11272.0</v>
      </c>
      <c r="B56" s="130">
        <v>520.0</v>
      </c>
      <c r="C56" s="144" t="s">
        <v>761</v>
      </c>
      <c r="D56" s="249">
        <f>IFERROR(__xludf.DUMMYFUNCTION("""COMPUTED_VALUE"""),171977.0)</f>
        <v>171977</v>
      </c>
      <c r="E56" s="249" t="str">
        <f>IFERROR(__xludf.DUMMYFUNCTION("""COMPUTED_VALUE"""),"Mystic Matrimony◆Collection Bonus")</f>
        <v>Mystic Matrimony◆Collection Bonus</v>
      </c>
      <c r="F56" s="249" t="str">
        <f>IFERROR(__xludf.DUMMYFUNCTION("""COMPUTED_VALUE"""),"Ogre Horns x 1")</f>
        <v>Ogre Horns x 1</v>
      </c>
      <c r="G56" s="249" t="s">
        <v>670</v>
      </c>
      <c r="H56" s="249" t="s">
        <v>639</v>
      </c>
      <c r="I56" s="146"/>
      <c r="J56" s="249"/>
      <c r="K56" s="249"/>
      <c r="L56" s="146" t="s">
        <v>670</v>
      </c>
      <c r="M56" s="250"/>
      <c r="N56" s="132">
        <v>46058.274039351854</v>
      </c>
    </row>
    <row r="57">
      <c r="A57" s="130">
        <v>11273.0</v>
      </c>
      <c r="B57" s="130">
        <v>530.0</v>
      </c>
      <c r="C57" s="144" t="s">
        <v>762</v>
      </c>
      <c r="D57" s="249">
        <f>IFERROR(__xludf.DUMMYFUNCTION("""COMPUTED_VALUE"""),171978.0)</f>
        <v>171978</v>
      </c>
      <c r="E57" s="249" t="str">
        <f>IFERROR(__xludf.DUMMYFUNCTION("""COMPUTED_VALUE"""),"Mystic Matrimony◆Collection Bonus")</f>
        <v>Mystic Matrimony◆Collection Bonus</v>
      </c>
      <c r="F57" s="249" t="str">
        <f>IFERROR(__xludf.DUMMYFUNCTION("""COMPUTED_VALUE"""),"Midnight Parkview Veranda x 1")</f>
        <v>Midnight Parkview Veranda x 1</v>
      </c>
      <c r="G57" s="249" t="s">
        <v>671</v>
      </c>
      <c r="H57" s="249" t="s">
        <v>639</v>
      </c>
      <c r="I57" s="146"/>
      <c r="J57" s="249"/>
      <c r="K57" s="249"/>
      <c r="L57" s="146" t="s">
        <v>671</v>
      </c>
      <c r="M57" s="250"/>
      <c r="N57" s="132">
        <v>46058.274039351854</v>
      </c>
    </row>
    <row r="58">
      <c r="A58" s="130">
        <v>11274.0</v>
      </c>
      <c r="B58" s="130">
        <v>540.0</v>
      </c>
      <c r="C58" s="144" t="s">
        <v>763</v>
      </c>
      <c r="D58" s="249">
        <f>IFERROR(__xludf.DUMMYFUNCTION("""COMPUTED_VALUE"""),171979.0)</f>
        <v>171979</v>
      </c>
      <c r="E58" s="249" t="str">
        <f>IFERROR(__xludf.DUMMYFUNCTION("""COMPUTED_VALUE"""),"Mystic Matrimony◆Collection Bonus")</f>
        <v>Mystic Matrimony◆Collection Bonus</v>
      </c>
      <c r="F58" s="249" t="str">
        <f>IFERROR(__xludf.DUMMYFUNCTION("""COMPUTED_VALUE"""),"Gacha Token x 1")</f>
        <v>Gacha Token x 1</v>
      </c>
      <c r="G58" s="249" t="s">
        <v>672</v>
      </c>
      <c r="H58" s="249" t="s">
        <v>639</v>
      </c>
      <c r="I58" s="146"/>
      <c r="J58" s="249"/>
      <c r="K58" s="249"/>
      <c r="L58" s="146" t="s">
        <v>672</v>
      </c>
      <c r="M58" s="250"/>
      <c r="N58" s="132">
        <v>46058.274039351854</v>
      </c>
    </row>
    <row r="59">
      <c r="A59" s="130">
        <v>11275.0</v>
      </c>
      <c r="B59" s="130">
        <v>550.0</v>
      </c>
      <c r="C59" s="146"/>
      <c r="D59" s="143"/>
      <c r="E59" s="143"/>
      <c r="F59" s="143"/>
      <c r="G59" s="143"/>
      <c r="H59" s="143"/>
      <c r="I59" s="144" t="s">
        <v>764</v>
      </c>
      <c r="J59" s="249">
        <f>IFERROR(__xludf.DUMMYFUNCTION("""COMPUTED_VALUE"""),6314.0)</f>
        <v>6314</v>
      </c>
      <c r="K59" s="249" t="str">
        <f>IFERROR(__xludf.DUMMYFUNCTION("""COMPUTED_VALUE"""),"Mystic Matrimony Bonus Story ～Masamune～")</f>
        <v>Mystic Matrimony Bonus Story ～Masamune～</v>
      </c>
      <c r="L59" s="146" t="s">
        <v>673</v>
      </c>
      <c r="M59" s="250"/>
      <c r="N59" s="132">
        <v>46058.274039351854</v>
      </c>
    </row>
    <row r="60">
      <c r="A60" s="130">
        <v>11276.0</v>
      </c>
      <c r="B60" s="130">
        <v>560.0</v>
      </c>
      <c r="C60" s="144" t="s">
        <v>765</v>
      </c>
      <c r="D60" s="249">
        <f>IFERROR(__xludf.DUMMYFUNCTION("""COMPUTED_VALUE"""),171980.0)</f>
        <v>171980</v>
      </c>
      <c r="E60" s="249" t="str">
        <f>IFERROR(__xludf.DUMMYFUNCTION("""COMPUTED_VALUE"""),"Mystic Matrimony◆Collection Bonus")</f>
        <v>Mystic Matrimony◆Collection Bonus</v>
      </c>
      <c r="F60" s="249" t="str">
        <f>IFERROR(__xludf.DUMMYFUNCTION("""COMPUTED_VALUE"""),"Mystic Matrimony Trophy x 1")</f>
        <v>Mystic Matrimony Trophy x 1</v>
      </c>
      <c r="G60" s="249" t="s">
        <v>674</v>
      </c>
      <c r="H60" s="249" t="s">
        <v>639</v>
      </c>
      <c r="I60" s="146"/>
      <c r="J60" s="249"/>
      <c r="K60" s="249"/>
      <c r="L60" s="146" t="s">
        <v>674</v>
      </c>
      <c r="M60" s="250"/>
      <c r="N60" s="132">
        <v>46058.274039351854</v>
      </c>
    </row>
    <row r="61">
      <c r="A61" s="130">
        <v>11277.0</v>
      </c>
      <c r="B61" s="130">
        <v>0.0</v>
      </c>
      <c r="C61" s="144" t="s">
        <v>766</v>
      </c>
      <c r="D61" s="249">
        <f>IFERROR(__xludf.DUMMYFUNCTION("""COMPUTED_VALUE"""),171981.0)</f>
        <v>171981</v>
      </c>
      <c r="E61" s="249" t="str">
        <f>IFERROR(__xludf.DUMMYFUNCTION("""COMPUTED_VALUE"""),"Mystic Matrimony◆Collection Bonus")</f>
        <v>Mystic Matrimony◆Collection Bonus</v>
      </c>
      <c r="F61" s="249" t="str">
        <f>IFERROR(__xludf.DUMMYFUNCTION("""COMPUTED_VALUE"""),"Shaved Ice (+10 Stamina) x 1")</f>
        <v>Shaved Ice (+10 Stamina) x 1</v>
      </c>
      <c r="G61" s="249" t="s">
        <v>767</v>
      </c>
      <c r="H61" s="249" t="s">
        <v>639</v>
      </c>
      <c r="I61" s="146"/>
      <c r="J61" s="249"/>
      <c r="K61" s="249"/>
      <c r="L61" s="146" t="s">
        <v>767</v>
      </c>
      <c r="M61" s="250"/>
      <c r="N61" s="132">
        <v>46058.274039351854</v>
      </c>
    </row>
  </sheetData>
  <hyperlinks>
    <hyperlink r:id="rId1" location="event_collection_bonus_mst" ref="B1"/>
    <hyperlink r:id="rId2" ref="B2"/>
    <hyperlink r:id="rId3" ref="I5"/>
    <hyperlink r:id="rId4" ref="C6"/>
    <hyperlink r:id="rId5" ref="C7"/>
    <hyperlink r:id="rId6" ref="C8"/>
    <hyperlink r:id="rId7" ref="C9"/>
    <hyperlink r:id="rId8" ref="C10"/>
    <hyperlink r:id="rId9" ref="C11"/>
    <hyperlink r:id="rId10" ref="C12"/>
    <hyperlink r:id="rId11" ref="C13"/>
    <hyperlink r:id="rId12" ref="I14"/>
    <hyperlink r:id="rId13" ref="C15"/>
    <hyperlink r:id="rId14" ref="C16"/>
    <hyperlink r:id="rId15" ref="C17"/>
    <hyperlink r:id="rId16" ref="C18"/>
    <hyperlink r:id="rId17" ref="C19"/>
    <hyperlink r:id="rId18" ref="C20"/>
    <hyperlink r:id="rId19" ref="C21"/>
    <hyperlink r:id="rId20" ref="C22"/>
    <hyperlink r:id="rId21" ref="I23"/>
    <hyperlink r:id="rId22" ref="C24"/>
    <hyperlink r:id="rId23" ref="C25"/>
    <hyperlink r:id="rId24" ref="C26"/>
    <hyperlink r:id="rId25" ref="C27"/>
    <hyperlink r:id="rId26" ref="C28"/>
    <hyperlink r:id="rId27" ref="C29"/>
    <hyperlink r:id="rId28" ref="C30"/>
    <hyperlink r:id="rId29" ref="C31"/>
    <hyperlink r:id="rId30" ref="C32"/>
    <hyperlink r:id="rId31" ref="C33"/>
    <hyperlink r:id="rId32" ref="I34"/>
    <hyperlink r:id="rId33" ref="C35"/>
    <hyperlink r:id="rId34" ref="C36"/>
    <hyperlink r:id="rId35" ref="C37"/>
    <hyperlink r:id="rId36" ref="C38"/>
    <hyperlink r:id="rId37" ref="C39"/>
    <hyperlink r:id="rId38" ref="C40"/>
    <hyperlink r:id="rId39" ref="C41"/>
    <hyperlink r:id="rId40" ref="C42"/>
    <hyperlink r:id="rId41" ref="C43"/>
    <hyperlink r:id="rId42" ref="C44"/>
    <hyperlink r:id="rId43" ref="I45"/>
    <hyperlink r:id="rId44" ref="C46"/>
    <hyperlink r:id="rId45" ref="C47"/>
    <hyperlink r:id="rId46" ref="C48"/>
    <hyperlink r:id="rId47" ref="C49"/>
    <hyperlink r:id="rId48" ref="C50"/>
    <hyperlink r:id="rId49" ref="C51"/>
    <hyperlink r:id="rId50" ref="C52"/>
    <hyperlink r:id="rId51" ref="C53"/>
    <hyperlink r:id="rId52" ref="I54"/>
    <hyperlink r:id="rId53" ref="C55"/>
    <hyperlink r:id="rId54" ref="C56"/>
    <hyperlink r:id="rId55" ref="C57"/>
    <hyperlink r:id="rId56" ref="C58"/>
    <hyperlink r:id="rId57" ref="I59"/>
    <hyperlink r:id="rId58" ref="C60"/>
    <hyperlink r:id="rId59" ref="C61"/>
  </hyperlinks>
  <drawing r:id="rId6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outlineLevelCol="1"/>
  <cols>
    <col collapsed="1" customWidth="1" min="1" max="1" width="4.43"/>
    <col customWidth="1" hidden="1" min="2" max="2" width="20.14" outlineLevel="1"/>
    <col collapsed="1" customWidth="1" min="3" max="3" width="29.57"/>
    <col customWidth="1" hidden="1" min="4" max="4" width="47.29" outlineLevel="1"/>
    <col customWidth="1" min="5" max="5" width="20.14"/>
    <col customWidth="1" min="6" max="6" width="29.57"/>
    <col customWidth="1" min="7" max="7" width="47.29"/>
    <col collapsed="1" customWidth="1" min="8" max="8" width="22.0"/>
    <col customWidth="1" hidden="1" min="9" max="10" width="8.71" outlineLevel="1"/>
    <col customWidth="1" min="11" max="11" width="16.86"/>
    <col customWidth="1" min="12" max="20" width="8.71"/>
    <col customWidth="1" min="21" max="22" width="28.71"/>
  </cols>
  <sheetData>
    <row r="1">
      <c r="A1" s="22" t="s">
        <v>47</v>
      </c>
      <c r="B1" s="22" t="s">
        <v>768</v>
      </c>
      <c r="C1" s="22" t="s">
        <v>49</v>
      </c>
      <c r="D1" s="22" t="s">
        <v>769</v>
      </c>
      <c r="E1" s="23" t="s">
        <v>768</v>
      </c>
      <c r="F1" s="23" t="s">
        <v>49</v>
      </c>
      <c r="G1" s="23" t="s">
        <v>769</v>
      </c>
      <c r="H1" s="22" t="s">
        <v>770</v>
      </c>
      <c r="I1" s="84" t="s">
        <v>25</v>
      </c>
      <c r="J1" s="84" t="s">
        <v>245</v>
      </c>
      <c r="K1" s="84" t="s">
        <v>246</v>
      </c>
      <c r="L1" s="24" t="s">
        <v>52</v>
      </c>
      <c r="M1" s="8"/>
      <c r="N1" s="8"/>
      <c r="O1" s="9"/>
      <c r="P1" s="86" t="s">
        <v>53</v>
      </c>
      <c r="Q1" s="8"/>
      <c r="R1" s="8"/>
      <c r="S1" s="9"/>
      <c r="T1" s="22" t="s">
        <v>54</v>
      </c>
      <c r="U1" s="22" t="s">
        <v>55</v>
      </c>
      <c r="V1" s="22" t="s">
        <v>56</v>
      </c>
    </row>
    <row r="2">
      <c r="A2" s="21"/>
      <c r="B2" s="21"/>
      <c r="C2" s="21"/>
      <c r="D2" s="21"/>
      <c r="E2" s="21"/>
      <c r="F2" s="21"/>
      <c r="G2" s="21"/>
      <c r="H2" s="21"/>
      <c r="I2" s="84"/>
      <c r="J2" s="84"/>
      <c r="K2" s="84"/>
      <c r="L2" s="89" t="s">
        <v>57</v>
      </c>
      <c r="M2" s="90" t="s">
        <v>58</v>
      </c>
      <c r="N2" s="90" t="s">
        <v>59</v>
      </c>
      <c r="O2" s="89" t="s">
        <v>60</v>
      </c>
      <c r="P2" s="89" t="s">
        <v>57</v>
      </c>
      <c r="Q2" s="90" t="s">
        <v>58</v>
      </c>
      <c r="R2" s="89" t="s">
        <v>59</v>
      </c>
      <c r="S2" s="89" t="s">
        <v>60</v>
      </c>
      <c r="T2" s="21"/>
      <c r="U2" s="21"/>
      <c r="V2" s="21"/>
    </row>
    <row r="3">
      <c r="A3" s="28">
        <f t="shared" ref="A3:A29" si="1">ROW()-2</f>
        <v>1</v>
      </c>
      <c r="B3" s="29" t="str">
        <f>'参照_概要'!B23</f>
        <v>物語フィーバー①</v>
      </c>
      <c r="C3" s="91" t="s">
        <v>771</v>
      </c>
      <c r="D3" s="31" t="s">
        <v>772</v>
      </c>
      <c r="E3" s="29" t="str">
        <f>'参照_概要'!B23</f>
        <v>物語フィーバー①</v>
      </c>
      <c r="F3" s="91" t="s">
        <v>773</v>
      </c>
      <c r="G3" s="33" t="s">
        <v>774</v>
      </c>
      <c r="H3" s="33">
        <f>'参照_概要'!$C$23</f>
        <v>46074.70833</v>
      </c>
      <c r="I3" s="34">
        <v>2325.0</v>
      </c>
      <c r="J3" s="34">
        <v>4.0</v>
      </c>
      <c r="K3" s="251">
        <f t="array" ref="K3:K29">IF(LEN(I3:I29),VLOOKUP(I3:I29,Fever!$A$5:$F29,J3:J29,0),)</f>
        <v>46074.70833</v>
      </c>
      <c r="L3" s="34" t="str">
        <f t="array" ref="L3:N29">IF(H3:H29=K3:K29,{"OK","IW","Bill"},U3:U29)</f>
        <v>OK</v>
      </c>
      <c r="M3" s="34" t="s">
        <v>68</v>
      </c>
      <c r="N3" s="34" t="s">
        <v>69</v>
      </c>
      <c r="O3" s="35">
        <v>46062.0</v>
      </c>
      <c r="P3" s="36"/>
      <c r="Q3" s="36"/>
      <c r="R3" s="36"/>
      <c r="S3" s="36"/>
      <c r="T3" s="47"/>
      <c r="U3" s="47"/>
      <c r="V3" s="47"/>
    </row>
    <row r="4">
      <c r="A4" s="28">
        <f t="shared" si="1"/>
        <v>2</v>
      </c>
      <c r="B4" s="20"/>
      <c r="C4" s="20"/>
      <c r="D4" s="31" t="s">
        <v>775</v>
      </c>
      <c r="E4" s="20"/>
      <c r="F4" s="20"/>
      <c r="G4" s="33" t="s">
        <v>776</v>
      </c>
      <c r="H4" s="33">
        <f>'参照_概要'!$D$23</f>
        <v>46075.20833</v>
      </c>
      <c r="I4" s="34">
        <v>2325.0</v>
      </c>
      <c r="J4" s="34">
        <v>5.0</v>
      </c>
      <c r="K4" s="251">
        <v>46075.208333333336</v>
      </c>
      <c r="L4" s="34" t="s">
        <v>67</v>
      </c>
      <c r="M4" s="34" t="s">
        <v>68</v>
      </c>
      <c r="N4" s="34" t="s">
        <v>69</v>
      </c>
      <c r="O4" s="35">
        <v>46062.0</v>
      </c>
      <c r="P4" s="36"/>
      <c r="Q4" s="36"/>
      <c r="R4" s="36"/>
      <c r="S4" s="36"/>
      <c r="T4" s="47"/>
      <c r="U4" s="47"/>
      <c r="V4" s="47"/>
    </row>
    <row r="5">
      <c r="A5" s="28">
        <f t="shared" si="1"/>
        <v>3</v>
      </c>
      <c r="B5" s="20"/>
      <c r="C5" s="20"/>
      <c r="D5" s="31" t="s">
        <v>777</v>
      </c>
      <c r="E5" s="20"/>
      <c r="F5" s="20"/>
      <c r="G5" s="33" t="s">
        <v>778</v>
      </c>
      <c r="H5" s="31">
        <f>'参照_概要'!$E$23</f>
        <v>1</v>
      </c>
      <c r="I5" s="34">
        <v>2325.0</v>
      </c>
      <c r="J5" s="34">
        <v>2.0</v>
      </c>
      <c r="K5" s="120">
        <v>1.0</v>
      </c>
      <c r="L5" s="34" t="s">
        <v>67</v>
      </c>
      <c r="M5" s="34" t="s">
        <v>68</v>
      </c>
      <c r="N5" s="34" t="s">
        <v>69</v>
      </c>
      <c r="O5" s="35">
        <v>46062.0</v>
      </c>
      <c r="P5" s="36"/>
      <c r="Q5" s="36"/>
      <c r="R5" s="36"/>
      <c r="S5" s="36"/>
      <c r="T5" s="47"/>
      <c r="U5" s="47"/>
      <c r="V5" s="47"/>
    </row>
    <row r="6">
      <c r="A6" s="28">
        <f t="shared" si="1"/>
        <v>4</v>
      </c>
      <c r="B6" s="20"/>
      <c r="C6" s="21"/>
      <c r="D6" s="31" t="s">
        <v>779</v>
      </c>
      <c r="E6" s="20"/>
      <c r="F6" s="21"/>
      <c r="G6" s="33" t="s">
        <v>780</v>
      </c>
      <c r="H6" s="31">
        <f>'参照_概要'!$F$23</f>
        <v>3</v>
      </c>
      <c r="I6" s="34">
        <v>2325.0</v>
      </c>
      <c r="J6" s="34">
        <v>3.0</v>
      </c>
      <c r="K6" s="120">
        <v>3.0</v>
      </c>
      <c r="L6" s="34" t="s">
        <v>67</v>
      </c>
      <c r="M6" s="34" t="s">
        <v>68</v>
      </c>
      <c r="N6" s="34" t="s">
        <v>69</v>
      </c>
      <c r="O6" s="35">
        <v>46062.0</v>
      </c>
      <c r="P6" s="36"/>
      <c r="Q6" s="36"/>
      <c r="R6" s="36"/>
      <c r="S6" s="36"/>
      <c r="T6" s="47"/>
      <c r="U6" s="47"/>
      <c r="V6" s="47"/>
    </row>
    <row r="7">
      <c r="A7" s="28">
        <f t="shared" si="1"/>
        <v>5</v>
      </c>
      <c r="B7" s="21"/>
      <c r="C7" s="252" t="s">
        <v>72</v>
      </c>
      <c r="D7" s="42" t="s">
        <v>781</v>
      </c>
      <c r="E7" s="21"/>
      <c r="F7" s="252" t="s">
        <v>74</v>
      </c>
      <c r="G7" s="43" t="s">
        <v>782</v>
      </c>
      <c r="H7" s="31"/>
      <c r="I7" s="36"/>
      <c r="J7" s="36"/>
      <c r="K7" s="253"/>
      <c r="L7" s="36" t="s">
        <v>67</v>
      </c>
      <c r="M7" s="36" t="s">
        <v>68</v>
      </c>
      <c r="N7" s="71" t="s">
        <v>69</v>
      </c>
      <c r="O7" s="36"/>
      <c r="P7" s="34" t="s">
        <v>67</v>
      </c>
      <c r="Q7" s="34" t="s">
        <v>68</v>
      </c>
      <c r="R7" s="34" t="s">
        <v>69</v>
      </c>
      <c r="S7" s="35">
        <v>46064.0</v>
      </c>
      <c r="T7" s="47"/>
      <c r="U7" s="47"/>
      <c r="V7" s="47"/>
    </row>
    <row r="8">
      <c r="A8" s="28">
        <f t="shared" si="1"/>
        <v>6</v>
      </c>
      <c r="B8" s="59" t="str">
        <f>'参照_概要'!B24</f>
        <v>姫磨きフィーバー①</v>
      </c>
      <c r="C8" s="91" t="s">
        <v>783</v>
      </c>
      <c r="D8" s="103" t="s">
        <v>772</v>
      </c>
      <c r="E8" s="59" t="str">
        <f>'参照_概要'!B24</f>
        <v>姫磨きフィーバー①</v>
      </c>
      <c r="F8" s="91" t="s">
        <v>784</v>
      </c>
      <c r="G8" s="104" t="s">
        <v>250</v>
      </c>
      <c r="H8" s="49">
        <f>'参照_概要'!$C$24</f>
        <v>46075.45833</v>
      </c>
      <c r="I8" s="34">
        <v>2326.0</v>
      </c>
      <c r="J8" s="34">
        <v>4.0</v>
      </c>
      <c r="K8" s="251">
        <v>46075.458333333336</v>
      </c>
      <c r="L8" s="34" t="s">
        <v>67</v>
      </c>
      <c r="M8" s="34" t="s">
        <v>68</v>
      </c>
      <c r="N8" s="34" t="s">
        <v>69</v>
      </c>
      <c r="O8" s="35">
        <v>46062.0</v>
      </c>
      <c r="P8" s="36"/>
      <c r="Q8" s="36"/>
      <c r="R8" s="36"/>
      <c r="S8" s="36"/>
      <c r="T8" s="47"/>
      <c r="U8" s="47"/>
      <c r="V8" s="47"/>
    </row>
    <row r="9">
      <c r="A9" s="28">
        <f t="shared" si="1"/>
        <v>7</v>
      </c>
      <c r="B9" s="20"/>
      <c r="C9" s="20"/>
      <c r="D9" s="103" t="s">
        <v>775</v>
      </c>
      <c r="E9" s="20"/>
      <c r="F9" s="20"/>
      <c r="G9" s="104" t="s">
        <v>254</v>
      </c>
      <c r="H9" s="49">
        <f>'参照_概要'!$D$24</f>
        <v>46076.20833</v>
      </c>
      <c r="I9" s="34">
        <v>2326.0</v>
      </c>
      <c r="J9" s="34">
        <v>5.0</v>
      </c>
      <c r="K9" s="251">
        <v>46076.208333333336</v>
      </c>
      <c r="L9" s="34" t="s">
        <v>67</v>
      </c>
      <c r="M9" s="34" t="s">
        <v>68</v>
      </c>
      <c r="N9" s="34" t="s">
        <v>69</v>
      </c>
      <c r="O9" s="35">
        <v>46062.0</v>
      </c>
      <c r="P9" s="36"/>
      <c r="Q9" s="36"/>
      <c r="R9" s="36"/>
      <c r="S9" s="36"/>
      <c r="T9" s="47"/>
      <c r="U9" s="47"/>
      <c r="V9" s="47"/>
    </row>
    <row r="10">
      <c r="A10" s="28">
        <f t="shared" si="1"/>
        <v>8</v>
      </c>
      <c r="B10" s="20"/>
      <c r="C10" s="20"/>
      <c r="D10" s="103" t="s">
        <v>777</v>
      </c>
      <c r="E10" s="20"/>
      <c r="F10" s="20"/>
      <c r="G10" s="104" t="s">
        <v>785</v>
      </c>
      <c r="H10" s="37">
        <f>'参照_概要'!$E$24</f>
        <v>3</v>
      </c>
      <c r="I10" s="34">
        <v>2326.0</v>
      </c>
      <c r="J10" s="34">
        <v>2.0</v>
      </c>
      <c r="K10" s="120">
        <v>3.0</v>
      </c>
      <c r="L10" s="34" t="s">
        <v>67</v>
      </c>
      <c r="M10" s="34" t="s">
        <v>68</v>
      </c>
      <c r="N10" s="34" t="s">
        <v>69</v>
      </c>
      <c r="O10" s="35">
        <v>46062.0</v>
      </c>
      <c r="P10" s="36"/>
      <c r="Q10" s="36"/>
      <c r="R10" s="36"/>
      <c r="S10" s="36"/>
      <c r="T10" s="47"/>
      <c r="U10" s="47"/>
      <c r="V10" s="47"/>
    </row>
    <row r="11">
      <c r="A11" s="28">
        <f t="shared" si="1"/>
        <v>9</v>
      </c>
      <c r="B11" s="20"/>
      <c r="C11" s="20"/>
      <c r="D11" s="103" t="s">
        <v>779</v>
      </c>
      <c r="E11" s="20"/>
      <c r="F11" s="20"/>
      <c r="G11" s="104" t="s">
        <v>786</v>
      </c>
      <c r="H11" s="37">
        <f>'参照_概要'!$F$24</f>
        <v>1</v>
      </c>
      <c r="I11" s="34">
        <v>2326.0</v>
      </c>
      <c r="J11" s="34">
        <v>3.0</v>
      </c>
      <c r="K11" s="120">
        <v>1.0</v>
      </c>
      <c r="L11" s="34" t="s">
        <v>67</v>
      </c>
      <c r="M11" s="34" t="s">
        <v>68</v>
      </c>
      <c r="N11" s="34" t="s">
        <v>69</v>
      </c>
      <c r="O11" s="35">
        <v>46062.0</v>
      </c>
      <c r="P11" s="36"/>
      <c r="Q11" s="36"/>
      <c r="R11" s="36"/>
      <c r="S11" s="36"/>
      <c r="T11" s="47"/>
      <c r="U11" s="47"/>
      <c r="V11" s="47"/>
    </row>
    <row r="12">
      <c r="A12" s="28">
        <f t="shared" si="1"/>
        <v>10</v>
      </c>
      <c r="B12" s="21"/>
      <c r="C12" s="21"/>
      <c r="D12" s="103" t="s">
        <v>787</v>
      </c>
      <c r="E12" s="21"/>
      <c r="F12" s="21"/>
      <c r="G12" s="104" t="s">
        <v>788</v>
      </c>
      <c r="H12" s="37" t="s">
        <v>789</v>
      </c>
      <c r="I12" s="34">
        <v>2326.0</v>
      </c>
      <c r="J12" s="34">
        <v>6.0</v>
      </c>
      <c r="K12" s="120" t="s">
        <v>789</v>
      </c>
      <c r="L12" s="34" t="s">
        <v>67</v>
      </c>
      <c r="M12" s="34" t="s">
        <v>68</v>
      </c>
      <c r="N12" s="34" t="s">
        <v>69</v>
      </c>
      <c r="O12" s="35">
        <v>46062.0</v>
      </c>
      <c r="P12" s="36"/>
      <c r="Q12" s="36"/>
      <c r="R12" s="36"/>
      <c r="S12" s="36"/>
      <c r="T12" s="47"/>
      <c r="U12" s="47"/>
      <c r="V12" s="47"/>
    </row>
    <row r="13">
      <c r="A13" s="28">
        <f t="shared" si="1"/>
        <v>11</v>
      </c>
      <c r="B13" s="29" t="str">
        <f>'参照_概要'!B25</f>
        <v>物語フィーバー②</v>
      </c>
      <c r="C13" s="91" t="s">
        <v>783</v>
      </c>
      <c r="D13" s="100" t="s">
        <v>772</v>
      </c>
      <c r="E13" s="29" t="str">
        <f>'参照_概要'!B25</f>
        <v>物語フィーバー②</v>
      </c>
      <c r="F13" s="91" t="s">
        <v>784</v>
      </c>
      <c r="G13" s="101" t="s">
        <v>250</v>
      </c>
      <c r="H13" s="33">
        <f>'参照_概要'!$C$25</f>
        <v>46076.70833</v>
      </c>
      <c r="I13" s="34">
        <v>2327.0</v>
      </c>
      <c r="J13" s="34">
        <v>4.0</v>
      </c>
      <c r="K13" s="251">
        <v>46076.708333333336</v>
      </c>
      <c r="L13" s="34" t="s">
        <v>67</v>
      </c>
      <c r="M13" s="34" t="s">
        <v>68</v>
      </c>
      <c r="N13" s="34" t="s">
        <v>69</v>
      </c>
      <c r="O13" s="35">
        <v>46062.0</v>
      </c>
      <c r="P13" s="36"/>
      <c r="Q13" s="36"/>
      <c r="R13" s="36"/>
      <c r="S13" s="36"/>
      <c r="T13" s="47"/>
      <c r="U13" s="47"/>
      <c r="V13" s="47"/>
    </row>
    <row r="14">
      <c r="A14" s="28">
        <f t="shared" si="1"/>
        <v>12</v>
      </c>
      <c r="B14" s="20"/>
      <c r="C14" s="20"/>
      <c r="D14" s="100" t="s">
        <v>775</v>
      </c>
      <c r="E14" s="20"/>
      <c r="F14" s="20"/>
      <c r="G14" s="101" t="s">
        <v>254</v>
      </c>
      <c r="H14" s="33">
        <f>'参照_概要'!$D$25</f>
        <v>46077.20833</v>
      </c>
      <c r="I14" s="34">
        <v>2327.0</v>
      </c>
      <c r="J14" s="34">
        <v>5.0</v>
      </c>
      <c r="K14" s="251">
        <v>46077.208333333336</v>
      </c>
      <c r="L14" s="34" t="s">
        <v>67</v>
      </c>
      <c r="M14" s="34" t="s">
        <v>68</v>
      </c>
      <c r="N14" s="34" t="s">
        <v>69</v>
      </c>
      <c r="O14" s="35">
        <v>46062.0</v>
      </c>
      <c r="P14" s="36"/>
      <c r="Q14" s="36"/>
      <c r="R14" s="36"/>
      <c r="S14" s="36"/>
      <c r="T14" s="47"/>
      <c r="U14" s="47"/>
      <c r="V14" s="47"/>
    </row>
    <row r="15">
      <c r="A15" s="28">
        <f t="shared" si="1"/>
        <v>13</v>
      </c>
      <c r="B15" s="20"/>
      <c r="C15" s="20"/>
      <c r="D15" s="100" t="s">
        <v>777</v>
      </c>
      <c r="E15" s="20"/>
      <c r="F15" s="20"/>
      <c r="G15" s="101" t="s">
        <v>785</v>
      </c>
      <c r="H15" s="31">
        <f>'参照_概要'!$E$25</f>
        <v>1</v>
      </c>
      <c r="I15" s="34">
        <v>2327.0</v>
      </c>
      <c r="J15" s="34">
        <v>2.0</v>
      </c>
      <c r="K15" s="120">
        <v>1.0</v>
      </c>
      <c r="L15" s="34" t="s">
        <v>67</v>
      </c>
      <c r="M15" s="34" t="s">
        <v>68</v>
      </c>
      <c r="N15" s="34" t="s">
        <v>69</v>
      </c>
      <c r="O15" s="35">
        <v>46062.0</v>
      </c>
      <c r="P15" s="36"/>
      <c r="Q15" s="36"/>
      <c r="R15" s="36"/>
      <c r="S15" s="36"/>
      <c r="T15" s="47"/>
      <c r="U15" s="47"/>
      <c r="V15" s="47"/>
    </row>
    <row r="16">
      <c r="A16" s="28">
        <f t="shared" si="1"/>
        <v>14</v>
      </c>
      <c r="B16" s="21"/>
      <c r="C16" s="21"/>
      <c r="D16" s="100" t="s">
        <v>779</v>
      </c>
      <c r="E16" s="21"/>
      <c r="F16" s="21"/>
      <c r="G16" s="101" t="s">
        <v>786</v>
      </c>
      <c r="H16" s="31">
        <f>'参照_概要'!$F$25</f>
        <v>3</v>
      </c>
      <c r="I16" s="34">
        <v>2327.0</v>
      </c>
      <c r="J16" s="34">
        <v>3.0</v>
      </c>
      <c r="K16" s="120">
        <v>3.0</v>
      </c>
      <c r="L16" s="34" t="s">
        <v>67</v>
      </c>
      <c r="M16" s="34" t="s">
        <v>68</v>
      </c>
      <c r="N16" s="34" t="s">
        <v>69</v>
      </c>
      <c r="O16" s="35">
        <v>46062.0</v>
      </c>
      <c r="P16" s="36"/>
      <c r="Q16" s="36"/>
      <c r="R16" s="36"/>
      <c r="S16" s="36"/>
      <c r="T16" s="47"/>
      <c r="U16" s="47"/>
      <c r="V16" s="47"/>
    </row>
    <row r="17">
      <c r="A17" s="28">
        <f t="shared" si="1"/>
        <v>15</v>
      </c>
      <c r="B17" s="59" t="str">
        <f>'参照_概要'!B26</f>
        <v>物語フィーバー③</v>
      </c>
      <c r="C17" s="254" t="s">
        <v>783</v>
      </c>
      <c r="D17" s="103" t="s">
        <v>772</v>
      </c>
      <c r="E17" s="59" t="str">
        <f>'参照_概要'!B26</f>
        <v>物語フィーバー③</v>
      </c>
      <c r="F17" s="254" t="s">
        <v>784</v>
      </c>
      <c r="G17" s="104" t="s">
        <v>250</v>
      </c>
      <c r="H17" s="49">
        <f>'参照_概要'!$C$26</f>
        <v>46077.70833</v>
      </c>
      <c r="I17" s="34">
        <v>2328.0</v>
      </c>
      <c r="J17" s="34">
        <v>4.0</v>
      </c>
      <c r="K17" s="251">
        <v>46077.708333333336</v>
      </c>
      <c r="L17" s="34" t="s">
        <v>67</v>
      </c>
      <c r="M17" s="34" t="s">
        <v>68</v>
      </c>
      <c r="N17" s="34" t="s">
        <v>69</v>
      </c>
      <c r="O17" s="35">
        <v>46062.0</v>
      </c>
      <c r="P17" s="36"/>
      <c r="Q17" s="36"/>
      <c r="R17" s="36"/>
      <c r="S17" s="36"/>
      <c r="T17" s="47"/>
      <c r="U17" s="47"/>
      <c r="V17" s="47"/>
    </row>
    <row r="18">
      <c r="A18" s="28">
        <f t="shared" si="1"/>
        <v>16</v>
      </c>
      <c r="B18" s="20"/>
      <c r="C18" s="20"/>
      <c r="D18" s="103" t="s">
        <v>775</v>
      </c>
      <c r="E18" s="20"/>
      <c r="F18" s="20"/>
      <c r="G18" s="104" t="s">
        <v>254</v>
      </c>
      <c r="H18" s="49">
        <f>'参照_概要'!$D$26</f>
        <v>46078.20833</v>
      </c>
      <c r="I18" s="34">
        <v>2328.0</v>
      </c>
      <c r="J18" s="34">
        <v>5.0</v>
      </c>
      <c r="K18" s="251">
        <v>46078.208333333336</v>
      </c>
      <c r="L18" s="34" t="s">
        <v>67</v>
      </c>
      <c r="M18" s="34" t="s">
        <v>68</v>
      </c>
      <c r="N18" s="34" t="s">
        <v>69</v>
      </c>
      <c r="O18" s="35">
        <v>46062.0</v>
      </c>
      <c r="P18" s="36"/>
      <c r="Q18" s="36"/>
      <c r="R18" s="36"/>
      <c r="S18" s="36"/>
      <c r="T18" s="47"/>
      <c r="U18" s="47"/>
      <c r="V18" s="47"/>
    </row>
    <row r="19">
      <c r="A19" s="28">
        <f t="shared" si="1"/>
        <v>17</v>
      </c>
      <c r="B19" s="20"/>
      <c r="C19" s="20"/>
      <c r="D19" s="103" t="s">
        <v>777</v>
      </c>
      <c r="E19" s="20"/>
      <c r="F19" s="20"/>
      <c r="G19" s="104" t="s">
        <v>785</v>
      </c>
      <c r="H19" s="37">
        <f>'参照_概要'!$E$26</f>
        <v>1</v>
      </c>
      <c r="I19" s="34">
        <v>2328.0</v>
      </c>
      <c r="J19" s="34">
        <v>2.0</v>
      </c>
      <c r="K19" s="120">
        <v>1.0</v>
      </c>
      <c r="L19" s="34" t="s">
        <v>67</v>
      </c>
      <c r="M19" s="34" t="s">
        <v>68</v>
      </c>
      <c r="N19" s="34" t="s">
        <v>69</v>
      </c>
      <c r="O19" s="35">
        <v>46062.0</v>
      </c>
      <c r="P19" s="36"/>
      <c r="Q19" s="36"/>
      <c r="R19" s="36"/>
      <c r="S19" s="36"/>
      <c r="T19" s="47"/>
      <c r="U19" s="47"/>
      <c r="V19" s="47"/>
    </row>
    <row r="20">
      <c r="A20" s="28">
        <f t="shared" si="1"/>
        <v>18</v>
      </c>
      <c r="B20" s="21"/>
      <c r="C20" s="21"/>
      <c r="D20" s="103" t="s">
        <v>779</v>
      </c>
      <c r="E20" s="21"/>
      <c r="F20" s="21"/>
      <c r="G20" s="104" t="s">
        <v>786</v>
      </c>
      <c r="H20" s="37">
        <f>'参照_概要'!$F$26</f>
        <v>3</v>
      </c>
      <c r="I20" s="34">
        <v>2328.0</v>
      </c>
      <c r="J20" s="34">
        <v>3.0</v>
      </c>
      <c r="K20" s="120">
        <v>3.0</v>
      </c>
      <c r="L20" s="34" t="s">
        <v>67</v>
      </c>
      <c r="M20" s="34" t="s">
        <v>68</v>
      </c>
      <c r="N20" s="34" t="s">
        <v>69</v>
      </c>
      <c r="O20" s="35">
        <v>46062.0</v>
      </c>
      <c r="P20" s="36"/>
      <c r="Q20" s="36"/>
      <c r="R20" s="36"/>
      <c r="S20" s="36"/>
      <c r="T20" s="47"/>
      <c r="U20" s="47"/>
      <c r="V20" s="47"/>
    </row>
    <row r="21" ht="15.75" customHeight="1">
      <c r="A21" s="28">
        <f t="shared" si="1"/>
        <v>19</v>
      </c>
      <c r="B21" s="29" t="str">
        <f>'参照_概要'!B27</f>
        <v>姫磨きフィーバー②</v>
      </c>
      <c r="C21" s="91" t="s">
        <v>783</v>
      </c>
      <c r="D21" s="100" t="s">
        <v>772</v>
      </c>
      <c r="E21" s="29" t="str">
        <f>'参照_概要'!B27</f>
        <v>姫磨きフィーバー②</v>
      </c>
      <c r="F21" s="91" t="s">
        <v>784</v>
      </c>
      <c r="G21" s="101" t="s">
        <v>250</v>
      </c>
      <c r="H21" s="33">
        <f>'参照_概要'!$C$27</f>
        <v>46078.45833</v>
      </c>
      <c r="I21" s="34">
        <v>2329.0</v>
      </c>
      <c r="J21" s="34">
        <v>4.0</v>
      </c>
      <c r="K21" s="251">
        <v>46078.458333333336</v>
      </c>
      <c r="L21" s="34" t="s">
        <v>67</v>
      </c>
      <c r="M21" s="34" t="s">
        <v>68</v>
      </c>
      <c r="N21" s="34" t="s">
        <v>69</v>
      </c>
      <c r="O21" s="35">
        <v>46062.0</v>
      </c>
      <c r="P21" s="36"/>
      <c r="Q21" s="36"/>
      <c r="R21" s="36"/>
      <c r="S21" s="36"/>
      <c r="T21" s="47"/>
      <c r="U21" s="47"/>
      <c r="V21" s="47"/>
    </row>
    <row r="22" ht="15.75" customHeight="1">
      <c r="A22" s="28">
        <f t="shared" si="1"/>
        <v>20</v>
      </c>
      <c r="B22" s="20"/>
      <c r="C22" s="20"/>
      <c r="D22" s="100" t="s">
        <v>775</v>
      </c>
      <c r="E22" s="20"/>
      <c r="F22" s="20"/>
      <c r="G22" s="101" t="s">
        <v>254</v>
      </c>
      <c r="H22" s="33">
        <f>'参照_概要'!$D$27</f>
        <v>46078.95833</v>
      </c>
      <c r="I22" s="34">
        <v>2329.0</v>
      </c>
      <c r="J22" s="34">
        <v>5.0</v>
      </c>
      <c r="K22" s="251">
        <v>46078.958333333336</v>
      </c>
      <c r="L22" s="34" t="s">
        <v>67</v>
      </c>
      <c r="M22" s="34" t="s">
        <v>68</v>
      </c>
      <c r="N22" s="34" t="s">
        <v>69</v>
      </c>
      <c r="O22" s="35">
        <v>46062.0</v>
      </c>
      <c r="P22" s="36"/>
      <c r="Q22" s="36"/>
      <c r="R22" s="36"/>
      <c r="S22" s="36"/>
      <c r="T22" s="47"/>
      <c r="U22" s="47"/>
      <c r="V22" s="47"/>
    </row>
    <row r="23" ht="15.75" customHeight="1">
      <c r="A23" s="28">
        <f t="shared" si="1"/>
        <v>21</v>
      </c>
      <c r="B23" s="20"/>
      <c r="C23" s="20"/>
      <c r="D23" s="100" t="s">
        <v>777</v>
      </c>
      <c r="E23" s="20"/>
      <c r="F23" s="20"/>
      <c r="G23" s="101" t="s">
        <v>785</v>
      </c>
      <c r="H23" s="31">
        <f>'参照_概要'!$E$27</f>
        <v>3</v>
      </c>
      <c r="I23" s="34">
        <v>2329.0</v>
      </c>
      <c r="J23" s="34">
        <v>2.0</v>
      </c>
      <c r="K23" s="120">
        <v>3.0</v>
      </c>
      <c r="L23" s="34" t="s">
        <v>67</v>
      </c>
      <c r="M23" s="34" t="s">
        <v>68</v>
      </c>
      <c r="N23" s="34" t="s">
        <v>69</v>
      </c>
      <c r="O23" s="35">
        <v>46062.0</v>
      </c>
      <c r="P23" s="36"/>
      <c r="Q23" s="36"/>
      <c r="R23" s="36"/>
      <c r="S23" s="36"/>
      <c r="T23" s="47"/>
      <c r="U23" s="47"/>
      <c r="V23" s="47"/>
    </row>
    <row r="24" ht="15.75" customHeight="1">
      <c r="A24" s="28">
        <f t="shared" si="1"/>
        <v>22</v>
      </c>
      <c r="B24" s="20"/>
      <c r="C24" s="20"/>
      <c r="D24" s="100" t="s">
        <v>779</v>
      </c>
      <c r="E24" s="20"/>
      <c r="F24" s="20"/>
      <c r="G24" s="101" t="s">
        <v>786</v>
      </c>
      <c r="H24" s="31">
        <f>'参照_概要'!$F$27</f>
        <v>1</v>
      </c>
      <c r="I24" s="34">
        <v>2329.0</v>
      </c>
      <c r="J24" s="34">
        <v>3.0</v>
      </c>
      <c r="K24" s="120">
        <v>1.0</v>
      </c>
      <c r="L24" s="34" t="s">
        <v>67</v>
      </c>
      <c r="M24" s="34" t="s">
        <v>68</v>
      </c>
      <c r="N24" s="34" t="s">
        <v>69</v>
      </c>
      <c r="O24" s="35">
        <v>46062.0</v>
      </c>
      <c r="P24" s="36"/>
      <c r="Q24" s="36"/>
      <c r="R24" s="36"/>
      <c r="S24" s="36"/>
      <c r="T24" s="47"/>
      <c r="U24" s="47"/>
      <c r="V24" s="47"/>
    </row>
    <row r="25" ht="15.75" customHeight="1">
      <c r="A25" s="28">
        <f t="shared" si="1"/>
        <v>23</v>
      </c>
      <c r="B25" s="21"/>
      <c r="C25" s="21"/>
      <c r="D25" s="100" t="s">
        <v>787</v>
      </c>
      <c r="E25" s="21"/>
      <c r="F25" s="21"/>
      <c r="G25" s="101" t="s">
        <v>790</v>
      </c>
      <c r="H25" s="31" t="s">
        <v>789</v>
      </c>
      <c r="I25" s="34">
        <v>2329.0</v>
      </c>
      <c r="J25" s="34">
        <v>6.0</v>
      </c>
      <c r="K25" s="120" t="s">
        <v>789</v>
      </c>
      <c r="L25" s="34" t="s">
        <v>67</v>
      </c>
      <c r="M25" s="34" t="s">
        <v>68</v>
      </c>
      <c r="N25" s="34" t="s">
        <v>69</v>
      </c>
      <c r="O25" s="35">
        <v>46062.0</v>
      </c>
      <c r="P25" s="36"/>
      <c r="Q25" s="36"/>
      <c r="R25" s="36"/>
      <c r="S25" s="36"/>
      <c r="T25" s="47"/>
      <c r="U25" s="47"/>
      <c r="V25" s="47"/>
    </row>
    <row r="26" ht="15.75" customHeight="1">
      <c r="A26" s="28">
        <f t="shared" si="1"/>
        <v>24</v>
      </c>
      <c r="B26" s="59" t="str">
        <f>'参照_概要'!B28</f>
        <v>物語フィーバー④</v>
      </c>
      <c r="C26" s="254" t="s">
        <v>783</v>
      </c>
      <c r="D26" s="103" t="s">
        <v>772</v>
      </c>
      <c r="E26" s="59" t="str">
        <f>'参照_概要'!B28</f>
        <v>物語フィーバー④</v>
      </c>
      <c r="F26" s="254" t="s">
        <v>784</v>
      </c>
      <c r="G26" s="104" t="s">
        <v>250</v>
      </c>
      <c r="H26" s="49">
        <f>'参照_概要'!$C$28</f>
        <v>46080.20833</v>
      </c>
      <c r="I26" s="34">
        <v>2330.0</v>
      </c>
      <c r="J26" s="34">
        <v>4.0</v>
      </c>
      <c r="K26" s="251">
        <v>46080.208333333336</v>
      </c>
      <c r="L26" s="34" t="s">
        <v>67</v>
      </c>
      <c r="M26" s="34" t="s">
        <v>68</v>
      </c>
      <c r="N26" s="34" t="s">
        <v>69</v>
      </c>
      <c r="O26" s="121">
        <v>46064.0</v>
      </c>
      <c r="P26" s="36"/>
      <c r="Q26" s="36"/>
      <c r="R26" s="36"/>
      <c r="S26" s="36"/>
      <c r="T26" s="255"/>
      <c r="U26" s="47" t="s">
        <v>259</v>
      </c>
      <c r="V26" s="47"/>
    </row>
    <row r="27" ht="15.75" customHeight="1">
      <c r="A27" s="28">
        <f t="shared" si="1"/>
        <v>25</v>
      </c>
      <c r="B27" s="20"/>
      <c r="C27" s="20"/>
      <c r="D27" s="103" t="s">
        <v>775</v>
      </c>
      <c r="E27" s="20"/>
      <c r="F27" s="20"/>
      <c r="G27" s="104" t="s">
        <v>254</v>
      </c>
      <c r="H27" s="49">
        <f>'参照_概要'!$D$28</f>
        <v>46080.70833</v>
      </c>
      <c r="I27" s="34">
        <v>2330.0</v>
      </c>
      <c r="J27" s="34">
        <v>5.0</v>
      </c>
      <c r="K27" s="251">
        <v>46080.708333333336</v>
      </c>
      <c r="L27" s="34" t="s">
        <v>67</v>
      </c>
      <c r="M27" s="34" t="s">
        <v>68</v>
      </c>
      <c r="N27" s="34" t="s">
        <v>69</v>
      </c>
      <c r="O27" s="121">
        <v>46064.0</v>
      </c>
      <c r="P27" s="36"/>
      <c r="Q27" s="36"/>
      <c r="R27" s="36"/>
      <c r="S27" s="36"/>
      <c r="T27" s="255"/>
      <c r="U27" s="47" t="s">
        <v>259</v>
      </c>
      <c r="V27" s="47"/>
    </row>
    <row r="28" ht="15.75" customHeight="1">
      <c r="A28" s="28">
        <f t="shared" si="1"/>
        <v>26</v>
      </c>
      <c r="B28" s="20"/>
      <c r="C28" s="20"/>
      <c r="D28" s="103" t="s">
        <v>777</v>
      </c>
      <c r="E28" s="20"/>
      <c r="F28" s="20"/>
      <c r="G28" s="104" t="s">
        <v>785</v>
      </c>
      <c r="H28" s="37">
        <f>'参照_概要'!$E$28</f>
        <v>1</v>
      </c>
      <c r="I28" s="34">
        <v>2330.0</v>
      </c>
      <c r="J28" s="34">
        <v>2.0</v>
      </c>
      <c r="K28" s="120">
        <v>1.0</v>
      </c>
      <c r="L28" s="34" t="s">
        <v>67</v>
      </c>
      <c r="M28" s="34" t="s">
        <v>68</v>
      </c>
      <c r="N28" s="34" t="s">
        <v>69</v>
      </c>
      <c r="O28" s="35">
        <v>46062.0</v>
      </c>
      <c r="P28" s="36"/>
      <c r="Q28" s="36"/>
      <c r="R28" s="36"/>
      <c r="S28" s="36"/>
      <c r="T28" s="47"/>
      <c r="U28" s="47"/>
      <c r="V28" s="47"/>
    </row>
    <row r="29" ht="15.75" customHeight="1">
      <c r="A29" s="28">
        <f t="shared" si="1"/>
        <v>27</v>
      </c>
      <c r="B29" s="21"/>
      <c r="C29" s="21"/>
      <c r="D29" s="103" t="s">
        <v>779</v>
      </c>
      <c r="E29" s="21"/>
      <c r="F29" s="21"/>
      <c r="G29" s="104" t="s">
        <v>786</v>
      </c>
      <c r="H29" s="37">
        <f>'参照_概要'!$F$28</f>
        <v>3</v>
      </c>
      <c r="I29" s="34">
        <v>2330.0</v>
      </c>
      <c r="J29" s="34">
        <v>3.0</v>
      </c>
      <c r="K29" s="120">
        <v>3.0</v>
      </c>
      <c r="L29" s="34" t="s">
        <v>67</v>
      </c>
      <c r="M29" s="34" t="s">
        <v>68</v>
      </c>
      <c r="N29" s="34" t="s">
        <v>69</v>
      </c>
      <c r="O29" s="35">
        <v>46062.0</v>
      </c>
      <c r="P29" s="36"/>
      <c r="Q29" s="36"/>
      <c r="R29" s="36"/>
      <c r="S29" s="36"/>
      <c r="T29" s="47"/>
      <c r="U29" s="47"/>
      <c r="V29" s="47"/>
    </row>
  </sheetData>
  <mergeCells count="37">
    <mergeCell ref="H1:H2"/>
    <mergeCell ref="L1:O1"/>
    <mergeCell ref="P1:S1"/>
    <mergeCell ref="T1:T2"/>
    <mergeCell ref="U1:U2"/>
    <mergeCell ref="V1:V2"/>
    <mergeCell ref="A1:A2"/>
    <mergeCell ref="B1:B2"/>
    <mergeCell ref="D1:D2"/>
    <mergeCell ref="E1:E2"/>
    <mergeCell ref="G1:G2"/>
    <mergeCell ref="B3:B7"/>
    <mergeCell ref="E3:E7"/>
    <mergeCell ref="B17:B20"/>
    <mergeCell ref="B21:B25"/>
    <mergeCell ref="C21:C25"/>
    <mergeCell ref="B26:B29"/>
    <mergeCell ref="C26:C29"/>
    <mergeCell ref="C1:C2"/>
    <mergeCell ref="C3:C6"/>
    <mergeCell ref="B8:B12"/>
    <mergeCell ref="C8:C12"/>
    <mergeCell ref="B13:B16"/>
    <mergeCell ref="C13:C16"/>
    <mergeCell ref="C17:C20"/>
    <mergeCell ref="E17:E20"/>
    <mergeCell ref="E21:E25"/>
    <mergeCell ref="F21:F25"/>
    <mergeCell ref="E26:E29"/>
    <mergeCell ref="F26:F29"/>
    <mergeCell ref="F1:F2"/>
    <mergeCell ref="F3:F6"/>
    <mergeCell ref="E8:E12"/>
    <mergeCell ref="F8:F12"/>
    <mergeCell ref="E13:E16"/>
    <mergeCell ref="F13:F16"/>
    <mergeCell ref="F17:F20"/>
  </mergeCells>
  <conditionalFormatting sqref="K3:K29">
    <cfRule type="cellIs" dxfId="3" priority="1" operator="notEqual">
      <formula>H3</formula>
    </cfRule>
  </conditionalFormatting>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cols>
    <col customWidth="1" min="2" max="2" width="23.0"/>
    <col customWidth="1" min="3" max="3" width="17.86"/>
    <col customWidth="1" min="4" max="5" width="24.29"/>
    <col customWidth="1" min="6" max="6" width="40.43"/>
  </cols>
  <sheetData>
    <row r="1">
      <c r="A1" s="247" t="s">
        <v>791</v>
      </c>
    </row>
    <row r="2">
      <c r="A2" s="247" t="s">
        <v>792</v>
      </c>
    </row>
    <row r="3">
      <c r="A3" s="140">
        <f t="array" ref="A3:F3">SEQUENCE(1,COLUMNS(A:F))</f>
        <v>1</v>
      </c>
      <c r="B3" s="140">
        <v>2.0</v>
      </c>
      <c r="C3" s="140">
        <v>3.0</v>
      </c>
      <c r="D3" s="140">
        <v>4.0</v>
      </c>
      <c r="E3" s="140">
        <v>5.0</v>
      </c>
      <c r="F3" s="140">
        <v>6.0</v>
      </c>
    </row>
    <row r="4">
      <c r="A4" s="128" t="s">
        <v>25</v>
      </c>
      <c r="B4" s="128" t="s">
        <v>793</v>
      </c>
      <c r="C4" s="128" t="s">
        <v>794</v>
      </c>
      <c r="D4" s="128" t="s">
        <v>510</v>
      </c>
      <c r="E4" s="128" t="s">
        <v>511</v>
      </c>
      <c r="F4" s="237" t="s">
        <v>795</v>
      </c>
    </row>
    <row r="5">
      <c r="A5" s="130">
        <v>2325.0</v>
      </c>
      <c r="B5" s="130">
        <v>1.0</v>
      </c>
      <c r="C5" s="130">
        <v>3.0</v>
      </c>
      <c r="D5" s="132">
        <v>46074.708333333336</v>
      </c>
      <c r="E5" s="132">
        <v>46075.208333333336</v>
      </c>
      <c r="F5" s="244"/>
    </row>
    <row r="6">
      <c r="A6" s="130">
        <v>2326.0</v>
      </c>
      <c r="B6" s="130">
        <v>3.0</v>
      </c>
      <c r="C6" s="130">
        <v>1.0</v>
      </c>
      <c r="D6" s="132">
        <v>46075.458333333336</v>
      </c>
      <c r="E6" s="132">
        <v>46076.208333333336</v>
      </c>
      <c r="F6" s="241" t="s">
        <v>789</v>
      </c>
    </row>
    <row r="7">
      <c r="A7" s="130">
        <v>2327.0</v>
      </c>
      <c r="B7" s="130">
        <v>1.0</v>
      </c>
      <c r="C7" s="130">
        <v>3.0</v>
      </c>
      <c r="D7" s="132">
        <v>46076.708333333336</v>
      </c>
      <c r="E7" s="132">
        <v>46077.208333333336</v>
      </c>
      <c r="F7" s="244"/>
    </row>
    <row r="8">
      <c r="A8" s="130">
        <v>2328.0</v>
      </c>
      <c r="B8" s="130">
        <v>1.0</v>
      </c>
      <c r="C8" s="130">
        <v>3.0</v>
      </c>
      <c r="D8" s="132">
        <v>46077.708333333336</v>
      </c>
      <c r="E8" s="132">
        <v>46078.208333333336</v>
      </c>
      <c r="F8" s="244"/>
    </row>
    <row r="9">
      <c r="A9" s="130">
        <v>2329.0</v>
      </c>
      <c r="B9" s="130">
        <v>3.0</v>
      </c>
      <c r="C9" s="130">
        <v>1.0</v>
      </c>
      <c r="D9" s="132">
        <v>46078.458333333336</v>
      </c>
      <c r="E9" s="132">
        <v>46078.958333333336</v>
      </c>
      <c r="F9" s="241" t="s">
        <v>789</v>
      </c>
    </row>
    <row r="10">
      <c r="A10" s="130">
        <v>2330.0</v>
      </c>
      <c r="B10" s="130">
        <v>1.0</v>
      </c>
      <c r="C10" s="130">
        <v>3.0</v>
      </c>
      <c r="D10" s="132">
        <v>46080.208333333336</v>
      </c>
      <c r="E10" s="132">
        <v>46080.708333333336</v>
      </c>
      <c r="F10" s="244"/>
    </row>
  </sheetData>
  <hyperlinks>
    <hyperlink r:id="rId1" location="event_fever_mst" ref="A1"/>
    <hyperlink r:id="rId2" ref="A2"/>
  </hyperlinks>
  <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outlineLevelCol="1" outlineLevelRow="1"/>
  <cols>
    <col collapsed="1" customWidth="1" min="1" max="1" width="4.43"/>
    <col customWidth="1" hidden="1" min="2" max="2" width="29.29" outlineLevel="1"/>
    <col collapsed="1" customWidth="1" min="3" max="3" width="28.71"/>
    <col customWidth="1" hidden="1" min="4" max="4" width="54.43" outlineLevel="1"/>
    <col collapsed="1" customWidth="1" min="5" max="5" width="29.29"/>
    <col customWidth="1" hidden="1" min="6" max="6" width="28.71" outlineLevel="1"/>
    <col customWidth="1" min="7" max="7" width="32.0"/>
    <col customWidth="1" min="8" max="8" width="31.57"/>
    <col customWidth="1" min="9" max="9" width="31.29"/>
    <col collapsed="1" customWidth="1" min="10" max="10" width="8.71"/>
    <col customWidth="1" hidden="1" min="11" max="13" width="8.71" outlineLevel="1"/>
    <col customWidth="1" min="14" max="18" width="8.71"/>
    <col customWidth="1" min="19" max="20" width="28.71"/>
  </cols>
  <sheetData>
    <row r="1">
      <c r="A1" s="22" t="s">
        <v>47</v>
      </c>
      <c r="B1" s="22" t="s">
        <v>768</v>
      </c>
      <c r="C1" s="256" t="s">
        <v>796</v>
      </c>
      <c r="D1" s="22" t="s">
        <v>50</v>
      </c>
      <c r="E1" s="23" t="s">
        <v>768</v>
      </c>
      <c r="F1" s="257" t="s">
        <v>796</v>
      </c>
      <c r="G1" s="23" t="s">
        <v>50</v>
      </c>
      <c r="H1" s="22" t="s">
        <v>797</v>
      </c>
      <c r="I1" s="258" t="s">
        <v>798</v>
      </c>
      <c r="J1" s="24" t="s">
        <v>52</v>
      </c>
      <c r="K1" s="8"/>
      <c r="L1" s="8"/>
      <c r="M1" s="9"/>
      <c r="N1" s="25" t="s">
        <v>53</v>
      </c>
      <c r="O1" s="8"/>
      <c r="P1" s="8"/>
      <c r="Q1" s="9"/>
      <c r="R1" s="22" t="s">
        <v>54</v>
      </c>
      <c r="S1" s="22" t="s">
        <v>55</v>
      </c>
      <c r="T1" s="22" t="s">
        <v>56</v>
      </c>
    </row>
    <row r="2">
      <c r="A2" s="21"/>
      <c r="B2" s="21"/>
      <c r="C2" s="259"/>
      <c r="D2" s="21"/>
      <c r="E2" s="21"/>
      <c r="F2" s="259"/>
      <c r="G2" s="21"/>
      <c r="H2" s="21"/>
      <c r="I2" s="260"/>
      <c r="J2" s="26" t="s">
        <v>57</v>
      </c>
      <c r="K2" s="27" t="s">
        <v>58</v>
      </c>
      <c r="L2" s="27" t="s">
        <v>59</v>
      </c>
      <c r="M2" s="26" t="s">
        <v>60</v>
      </c>
      <c r="N2" s="26" t="s">
        <v>57</v>
      </c>
      <c r="O2" s="27" t="s">
        <v>58</v>
      </c>
      <c r="P2" s="26" t="s">
        <v>59</v>
      </c>
      <c r="Q2" s="26" t="s">
        <v>60</v>
      </c>
      <c r="R2" s="21"/>
      <c r="S2" s="21"/>
      <c r="T2" s="21"/>
    </row>
    <row r="3">
      <c r="A3" s="28">
        <f t="shared" ref="A3:A136" si="1">ROW()-2</f>
        <v>1</v>
      </c>
      <c r="B3" s="59" t="str">
        <f>'参照_仕様'!$D$11&amp;"
"&amp;'参照_仕様'!$E$11</f>
        <v>政宗
恋遊戯『特別ストーリー』</v>
      </c>
      <c r="C3" s="62" t="s">
        <v>72</v>
      </c>
      <c r="D3" s="47" t="s">
        <v>799</v>
      </c>
      <c r="E3" s="59" t="str">
        <f>'参照_仕様'!$D$11&amp;"
"&amp;'参照_仕様'!$E$11</f>
        <v>政宗
恋遊戯『特別ストーリー』</v>
      </c>
      <c r="F3" s="62" t="s">
        <v>74</v>
      </c>
      <c r="G3" s="47" t="s">
        <v>800</v>
      </c>
      <c r="H3" s="37" t="str">
        <f>'参照_仕様'!$D$11</f>
        <v>政宗</v>
      </c>
      <c r="I3" s="28" t="str">
        <f t="array" ref="I3">LET(
_tmp, XLOOKUP($H3,'参照_仕様'!$D$11:$D$28,'参照_仕様'!$C$11:$C$28),
_tmp2, RIGHT(_tmp,LEN(_tmp)-30),
LEFT(_tmp2,LEN(_tmp2)-1)
)</f>
        <v>Masamune</v>
      </c>
      <c r="J3" s="34" t="s">
        <v>67</v>
      </c>
      <c r="K3" s="34" t="s">
        <v>68</v>
      </c>
      <c r="L3" s="34" t="s">
        <v>69</v>
      </c>
      <c r="M3" s="35">
        <v>46062.0</v>
      </c>
      <c r="N3" s="261"/>
      <c r="O3" s="262"/>
      <c r="P3" s="262"/>
      <c r="Q3" s="262"/>
      <c r="R3" s="47"/>
      <c r="S3" s="47"/>
      <c r="T3" s="47"/>
    </row>
    <row r="4">
      <c r="A4" s="28">
        <f t="shared" si="1"/>
        <v>2</v>
      </c>
      <c r="B4" s="20"/>
      <c r="C4" s="20"/>
      <c r="D4" s="225" t="s">
        <v>801</v>
      </c>
      <c r="E4" s="20"/>
      <c r="F4" s="20"/>
      <c r="G4" s="225" t="s">
        <v>802</v>
      </c>
      <c r="H4" s="37" t="str">
        <f>'参照_仕様'!$C$11</f>
        <v>Mystic Matrimony Bonus Story ～Masamune～</v>
      </c>
      <c r="I4" s="28" t="str">
        <f>VLOOKUP(H4,'参照_仕様'!$C$11:$E$31,3,0)</f>
        <v>恋遊戯『特別ストーリー』</v>
      </c>
      <c r="J4" s="34" t="s">
        <v>67</v>
      </c>
      <c r="K4" s="34" t="s">
        <v>68</v>
      </c>
      <c r="L4" s="34" t="s">
        <v>69</v>
      </c>
      <c r="M4" s="121">
        <v>46064.0</v>
      </c>
      <c r="N4" s="261"/>
      <c r="O4" s="262"/>
      <c r="P4" s="262"/>
      <c r="Q4" s="262"/>
      <c r="R4" s="47"/>
      <c r="S4" s="47"/>
      <c r="T4" s="47"/>
    </row>
    <row r="5">
      <c r="A5" s="28">
        <f t="shared" si="1"/>
        <v>3</v>
      </c>
      <c r="B5" s="20"/>
      <c r="C5" s="21"/>
      <c r="D5" s="225" t="s">
        <v>803</v>
      </c>
      <c r="E5" s="20"/>
      <c r="F5" s="21"/>
      <c r="G5" s="225" t="s">
        <v>804</v>
      </c>
      <c r="H5" s="37"/>
      <c r="I5" s="28"/>
      <c r="J5" s="34" t="s">
        <v>67</v>
      </c>
      <c r="K5" s="34" t="s">
        <v>68</v>
      </c>
      <c r="L5" s="34" t="s">
        <v>69</v>
      </c>
      <c r="M5" s="35">
        <v>46064.0</v>
      </c>
      <c r="N5" s="261"/>
      <c r="O5" s="262"/>
      <c r="P5" s="262"/>
      <c r="Q5" s="262"/>
      <c r="R5" s="47"/>
      <c r="S5" s="47"/>
      <c r="T5" s="47"/>
    </row>
    <row r="6">
      <c r="A6" s="28">
        <f t="shared" si="1"/>
        <v>4</v>
      </c>
      <c r="B6" s="20"/>
      <c r="C6" s="91" t="s">
        <v>805</v>
      </c>
      <c r="D6" s="225" t="s">
        <v>806</v>
      </c>
      <c r="E6" s="20"/>
      <c r="F6" s="91" t="s">
        <v>807</v>
      </c>
      <c r="G6" s="225" t="s">
        <v>808</v>
      </c>
      <c r="H6" s="37"/>
      <c r="I6" s="263" t="s">
        <v>584</v>
      </c>
      <c r="J6" s="34" t="s">
        <v>67</v>
      </c>
      <c r="K6" s="34" t="s">
        <v>68</v>
      </c>
      <c r="L6" s="34" t="s">
        <v>69</v>
      </c>
      <c r="M6" s="35">
        <v>46062.0</v>
      </c>
      <c r="N6" s="264"/>
      <c r="O6" s="264"/>
      <c r="P6" s="265"/>
      <c r="Q6" s="265"/>
      <c r="R6" s="47"/>
      <c r="T6" s="47"/>
    </row>
    <row r="7">
      <c r="A7" s="28">
        <f t="shared" si="1"/>
        <v>5</v>
      </c>
      <c r="B7" s="20"/>
      <c r="C7" s="21"/>
      <c r="D7" s="225" t="s">
        <v>809</v>
      </c>
      <c r="E7" s="20"/>
      <c r="F7" s="21"/>
      <c r="G7" s="225" t="s">
        <v>810</v>
      </c>
      <c r="H7" s="37"/>
      <c r="I7" s="266"/>
      <c r="J7" s="261"/>
      <c r="K7" s="262"/>
      <c r="L7" s="262"/>
      <c r="M7" s="262"/>
      <c r="N7" s="34" t="s">
        <v>67</v>
      </c>
      <c r="O7" s="28" t="str">
        <f t="array" ref="O7:Q136">IF(N7:N136="OK",{"IW","Bill","2/12"},)</f>
        <v>IW</v>
      </c>
      <c r="P7" s="28" t="s">
        <v>69</v>
      </c>
      <c r="Q7" s="45" t="s">
        <v>76</v>
      </c>
      <c r="R7" s="47"/>
      <c r="S7" s="95" t="s">
        <v>811</v>
      </c>
      <c r="T7" s="47"/>
    </row>
    <row r="8">
      <c r="A8" s="28">
        <f t="shared" si="1"/>
        <v>6</v>
      </c>
      <c r="B8" s="21"/>
      <c r="C8" s="96" t="s">
        <v>812</v>
      </c>
      <c r="D8" s="225" t="s">
        <v>813</v>
      </c>
      <c r="E8" s="21"/>
      <c r="F8" s="96" t="s">
        <v>814</v>
      </c>
      <c r="G8" s="225" t="s">
        <v>815</v>
      </c>
      <c r="H8" s="37"/>
      <c r="I8" s="266"/>
      <c r="J8" s="261"/>
      <c r="K8" s="262"/>
      <c r="L8" s="262"/>
      <c r="M8" s="262"/>
      <c r="N8" s="34" t="s">
        <v>67</v>
      </c>
      <c r="O8" s="28" t="s">
        <v>68</v>
      </c>
      <c r="P8" s="28" t="s">
        <v>69</v>
      </c>
      <c r="Q8" s="45" t="s">
        <v>76</v>
      </c>
      <c r="R8" s="47"/>
      <c r="S8" s="47"/>
      <c r="T8" s="47"/>
    </row>
    <row r="9">
      <c r="A9" s="28">
        <f t="shared" si="1"/>
        <v>7</v>
      </c>
      <c r="B9" s="29" t="str">
        <f>'参照_仕様'!$D$12&amp;"
"&amp;'参照_仕様'!$E$12</f>
        <v>信長
恋遊戯『特別ストーリー』</v>
      </c>
      <c r="C9" s="62" t="s">
        <v>72</v>
      </c>
      <c r="D9" s="187" t="s">
        <v>799</v>
      </c>
      <c r="E9" s="29" t="str">
        <f>'参照_仕様'!$D$12&amp;"
"&amp;'参照_仕様'!$E$12</f>
        <v>信長
恋遊戯『特別ストーリー』</v>
      </c>
      <c r="F9" s="62" t="s">
        <v>74</v>
      </c>
      <c r="G9" s="187" t="s">
        <v>800</v>
      </c>
      <c r="H9" s="31" t="str">
        <f>'参照_仕様'!$D$12</f>
        <v>信長</v>
      </c>
      <c r="I9" s="28" t="str">
        <f t="array" ref="I9">LET(
_tmp, XLOOKUP($H9,'参照_仕様'!$D$11:$D$28,'参照_仕様'!$C$11:$C$28),
_tmp2, RIGHT(_tmp,LEN(_tmp)-30),
LEFT(_tmp2,LEN(_tmp2)-1)
)</f>
        <v>Nobunaga</v>
      </c>
      <c r="J9" s="34" t="s">
        <v>67</v>
      </c>
      <c r="K9" s="34" t="s">
        <v>68</v>
      </c>
      <c r="L9" s="34" t="s">
        <v>69</v>
      </c>
      <c r="M9" s="35">
        <v>46062.0</v>
      </c>
      <c r="N9" s="261"/>
      <c r="O9" s="262"/>
      <c r="P9" s="262"/>
      <c r="Q9" s="262"/>
      <c r="R9" s="47"/>
      <c r="S9" s="47"/>
      <c r="T9" s="47"/>
    </row>
    <row r="10">
      <c r="A10" s="28">
        <f t="shared" si="1"/>
        <v>8</v>
      </c>
      <c r="B10" s="20"/>
      <c r="C10" s="20"/>
      <c r="D10" s="267" t="s">
        <v>801</v>
      </c>
      <c r="E10" s="20"/>
      <c r="F10" s="20"/>
      <c r="G10" s="267" t="s">
        <v>802</v>
      </c>
      <c r="H10" s="31" t="str">
        <f>'参照_仕様'!$C$12</f>
        <v>Mystic Matrimony Bonus Story ～Nobunaga～</v>
      </c>
      <c r="I10" s="28" t="str">
        <f>VLOOKUP(H10,'参照_仕様'!$C$11:$E$31,3,0)</f>
        <v>恋遊戯『特別ストーリー』</v>
      </c>
      <c r="J10" s="34" t="s">
        <v>67</v>
      </c>
      <c r="K10" s="34" t="s">
        <v>68</v>
      </c>
      <c r="L10" s="34" t="s">
        <v>69</v>
      </c>
      <c r="M10" s="35">
        <v>46064.0</v>
      </c>
      <c r="N10" s="261"/>
      <c r="O10" s="262"/>
      <c r="P10" s="262"/>
      <c r="Q10" s="262"/>
      <c r="R10" s="47"/>
      <c r="S10" s="47"/>
      <c r="T10" s="47"/>
    </row>
    <row r="11">
      <c r="A11" s="28">
        <f t="shared" si="1"/>
        <v>9</v>
      </c>
      <c r="B11" s="20"/>
      <c r="C11" s="21"/>
      <c r="D11" s="267" t="s">
        <v>803</v>
      </c>
      <c r="E11" s="20"/>
      <c r="F11" s="21"/>
      <c r="G11" s="267" t="s">
        <v>804</v>
      </c>
      <c r="H11" s="31"/>
      <c r="I11" s="28"/>
      <c r="J11" s="34" t="s">
        <v>67</v>
      </c>
      <c r="K11" s="34" t="s">
        <v>68</v>
      </c>
      <c r="L11" s="34" t="s">
        <v>69</v>
      </c>
      <c r="M11" s="35">
        <v>46064.0</v>
      </c>
      <c r="N11" s="261"/>
      <c r="O11" s="262"/>
      <c r="P11" s="262"/>
      <c r="Q11" s="262"/>
      <c r="R11" s="47"/>
      <c r="S11" s="47"/>
      <c r="T11" s="47"/>
    </row>
    <row r="12">
      <c r="A12" s="28">
        <f t="shared" si="1"/>
        <v>10</v>
      </c>
      <c r="B12" s="20"/>
      <c r="C12" s="91" t="s">
        <v>805</v>
      </c>
      <c r="D12" s="267" t="s">
        <v>806</v>
      </c>
      <c r="E12" s="20"/>
      <c r="F12" s="91" t="s">
        <v>807</v>
      </c>
      <c r="G12" s="267" t="s">
        <v>808</v>
      </c>
      <c r="H12" s="31"/>
      <c r="I12" s="263" t="s">
        <v>580</v>
      </c>
      <c r="J12" s="34" t="s">
        <v>67</v>
      </c>
      <c r="K12" s="34" t="s">
        <v>68</v>
      </c>
      <c r="L12" s="34" t="s">
        <v>69</v>
      </c>
      <c r="M12" s="35">
        <v>46062.0</v>
      </c>
      <c r="N12" s="264"/>
      <c r="O12" s="264"/>
      <c r="P12" s="265"/>
      <c r="Q12" s="265"/>
      <c r="R12" s="47"/>
      <c r="S12" s="47"/>
      <c r="T12" s="47"/>
    </row>
    <row r="13">
      <c r="A13" s="28">
        <f t="shared" si="1"/>
        <v>11</v>
      </c>
      <c r="B13" s="20"/>
      <c r="C13" s="21"/>
      <c r="D13" s="267" t="s">
        <v>809</v>
      </c>
      <c r="E13" s="20"/>
      <c r="F13" s="21"/>
      <c r="G13" s="267" t="s">
        <v>810</v>
      </c>
      <c r="H13" s="31"/>
      <c r="I13" s="266"/>
      <c r="J13" s="261"/>
      <c r="K13" s="262"/>
      <c r="L13" s="262"/>
      <c r="M13" s="262"/>
      <c r="N13" s="34" t="s">
        <v>67</v>
      </c>
      <c r="O13" s="28" t="s">
        <v>68</v>
      </c>
      <c r="P13" s="28" t="s">
        <v>69</v>
      </c>
      <c r="Q13" s="45" t="s">
        <v>76</v>
      </c>
      <c r="R13" s="47"/>
      <c r="S13" s="47"/>
      <c r="T13" s="47"/>
    </row>
    <row r="14">
      <c r="A14" s="28">
        <f t="shared" si="1"/>
        <v>12</v>
      </c>
      <c r="B14" s="21"/>
      <c r="C14" s="96" t="s">
        <v>812</v>
      </c>
      <c r="D14" s="267" t="s">
        <v>813</v>
      </c>
      <c r="E14" s="21"/>
      <c r="F14" s="96" t="s">
        <v>814</v>
      </c>
      <c r="G14" s="267" t="s">
        <v>815</v>
      </c>
      <c r="H14" s="31"/>
      <c r="I14" s="266"/>
      <c r="J14" s="261"/>
      <c r="K14" s="262"/>
      <c r="L14" s="262"/>
      <c r="M14" s="262"/>
      <c r="N14" s="34" t="s">
        <v>67</v>
      </c>
      <c r="O14" s="28" t="s">
        <v>68</v>
      </c>
      <c r="P14" s="28" t="s">
        <v>69</v>
      </c>
      <c r="Q14" s="45" t="s">
        <v>76</v>
      </c>
      <c r="R14" s="47"/>
      <c r="S14" s="47"/>
      <c r="T14" s="47"/>
    </row>
    <row r="15">
      <c r="A15" s="28">
        <f t="shared" si="1"/>
        <v>13</v>
      </c>
      <c r="B15" s="59" t="str">
        <f>'参照_仕様'!$D$13&amp;"
"&amp;'参照_仕様'!$E$13</f>
        <v>兼続
恋遊戯『特別ストーリー』</v>
      </c>
      <c r="C15" s="62" t="s">
        <v>72</v>
      </c>
      <c r="D15" s="190" t="s">
        <v>799</v>
      </c>
      <c r="E15" s="59" t="str">
        <f>'参照_仕様'!$D$13&amp;"
"&amp;'参照_仕様'!$E$13</f>
        <v>兼続
恋遊戯『特別ストーリー』</v>
      </c>
      <c r="F15" s="62" t="s">
        <v>74</v>
      </c>
      <c r="G15" s="190" t="s">
        <v>800</v>
      </c>
      <c r="H15" s="37" t="str">
        <f>'参照_仕様'!$D$13</f>
        <v>兼続</v>
      </c>
      <c r="I15" s="28" t="str">
        <f t="array" ref="I15">LET(
_tmp, XLOOKUP($H15,'参照_仕様'!$D$11:$D$28,'参照_仕様'!$C$11:$C$28),
_tmp2, RIGHT(_tmp,LEN(_tmp)-30),
LEFT(_tmp2,LEN(_tmp2)-1)
)</f>
        <v>Kanetsugu</v>
      </c>
      <c r="J15" s="34" t="s">
        <v>67</v>
      </c>
      <c r="K15" s="34" t="s">
        <v>68</v>
      </c>
      <c r="L15" s="34" t="s">
        <v>69</v>
      </c>
      <c r="M15" s="35">
        <v>46062.0</v>
      </c>
      <c r="N15" s="261"/>
      <c r="O15" s="262"/>
      <c r="P15" s="262"/>
      <c r="Q15" s="262"/>
      <c r="R15" s="47"/>
      <c r="S15" s="47"/>
      <c r="T15" s="47"/>
    </row>
    <row r="16">
      <c r="A16" s="28">
        <f t="shared" si="1"/>
        <v>14</v>
      </c>
      <c r="B16" s="20"/>
      <c r="C16" s="20"/>
      <c r="D16" s="268" t="s">
        <v>801</v>
      </c>
      <c r="E16" s="20"/>
      <c r="F16" s="20"/>
      <c r="G16" s="268" t="s">
        <v>802</v>
      </c>
      <c r="H16" s="37" t="str">
        <f>'参照_仕様'!$C$13</f>
        <v>Mystic Matrimony Bonus Story ～Kanetsugu～</v>
      </c>
      <c r="I16" s="28" t="str">
        <f>VLOOKUP(H16,'参照_仕様'!$C$11:$E$31,3,0)</f>
        <v>恋遊戯『特別ストーリー』</v>
      </c>
      <c r="J16" s="34" t="s">
        <v>67</v>
      </c>
      <c r="K16" s="34" t="s">
        <v>68</v>
      </c>
      <c r="L16" s="34" t="s">
        <v>69</v>
      </c>
      <c r="M16" s="35">
        <v>46064.0</v>
      </c>
      <c r="N16" s="261"/>
      <c r="O16" s="262"/>
      <c r="P16" s="262"/>
      <c r="Q16" s="262"/>
      <c r="R16" s="47"/>
      <c r="S16" s="47"/>
      <c r="T16" s="47"/>
    </row>
    <row r="17">
      <c r="A17" s="28">
        <f t="shared" si="1"/>
        <v>15</v>
      </c>
      <c r="B17" s="20"/>
      <c r="C17" s="21"/>
      <c r="D17" s="268" t="s">
        <v>803</v>
      </c>
      <c r="E17" s="20"/>
      <c r="F17" s="21"/>
      <c r="G17" s="268" t="s">
        <v>804</v>
      </c>
      <c r="H17" s="37"/>
      <c r="I17" s="28"/>
      <c r="J17" s="34" t="s">
        <v>67</v>
      </c>
      <c r="K17" s="34" t="s">
        <v>68</v>
      </c>
      <c r="L17" s="34" t="s">
        <v>69</v>
      </c>
      <c r="M17" s="35">
        <v>46064.0</v>
      </c>
      <c r="N17" s="261"/>
      <c r="O17" s="262"/>
      <c r="P17" s="262"/>
      <c r="Q17" s="262"/>
      <c r="R17" s="47"/>
      <c r="S17" s="47"/>
      <c r="T17" s="47"/>
    </row>
    <row r="18">
      <c r="A18" s="28">
        <f t="shared" si="1"/>
        <v>16</v>
      </c>
      <c r="B18" s="20"/>
      <c r="C18" s="91" t="s">
        <v>805</v>
      </c>
      <c r="D18" s="268" t="s">
        <v>806</v>
      </c>
      <c r="E18" s="20"/>
      <c r="F18" s="91" t="s">
        <v>807</v>
      </c>
      <c r="G18" s="268" t="s">
        <v>808</v>
      </c>
      <c r="H18" s="37"/>
      <c r="I18" s="263" t="s">
        <v>816</v>
      </c>
      <c r="J18" s="34" t="s">
        <v>67</v>
      </c>
      <c r="K18" s="34" t="s">
        <v>68</v>
      </c>
      <c r="L18" s="34" t="s">
        <v>69</v>
      </c>
      <c r="M18" s="35">
        <v>46062.0</v>
      </c>
      <c r="N18" s="264"/>
      <c r="O18" s="264"/>
      <c r="P18" s="265"/>
      <c r="Q18" s="265"/>
      <c r="R18" s="47"/>
      <c r="S18" s="47"/>
      <c r="T18" s="47"/>
    </row>
    <row r="19">
      <c r="A19" s="28">
        <f t="shared" si="1"/>
        <v>17</v>
      </c>
      <c r="B19" s="20"/>
      <c r="C19" s="21"/>
      <c r="D19" s="268" t="s">
        <v>809</v>
      </c>
      <c r="E19" s="20"/>
      <c r="F19" s="21"/>
      <c r="G19" s="268" t="s">
        <v>810</v>
      </c>
      <c r="H19" s="37"/>
      <c r="I19" s="266"/>
      <c r="J19" s="261"/>
      <c r="K19" s="262"/>
      <c r="L19" s="262"/>
      <c r="M19" s="262"/>
      <c r="N19" s="34" t="s">
        <v>67</v>
      </c>
      <c r="O19" s="28" t="s">
        <v>68</v>
      </c>
      <c r="P19" s="28" t="s">
        <v>69</v>
      </c>
      <c r="Q19" s="45" t="s">
        <v>76</v>
      </c>
      <c r="R19" s="47"/>
      <c r="S19" s="47"/>
      <c r="T19" s="47"/>
    </row>
    <row r="20">
      <c r="A20" s="28">
        <f t="shared" si="1"/>
        <v>18</v>
      </c>
      <c r="B20" s="21"/>
      <c r="C20" s="96" t="s">
        <v>812</v>
      </c>
      <c r="D20" s="268" t="s">
        <v>813</v>
      </c>
      <c r="E20" s="21"/>
      <c r="F20" s="96" t="s">
        <v>814</v>
      </c>
      <c r="G20" s="268" t="s">
        <v>815</v>
      </c>
      <c r="H20" s="37"/>
      <c r="I20" s="266"/>
      <c r="J20" s="261"/>
      <c r="K20" s="262"/>
      <c r="L20" s="262"/>
      <c r="M20" s="262"/>
      <c r="N20" s="34" t="s">
        <v>67</v>
      </c>
      <c r="O20" s="28" t="s">
        <v>68</v>
      </c>
      <c r="P20" s="28" t="s">
        <v>69</v>
      </c>
      <c r="Q20" s="45" t="s">
        <v>76</v>
      </c>
      <c r="R20" s="47"/>
      <c r="S20" s="47"/>
      <c r="T20" s="47"/>
    </row>
    <row r="21">
      <c r="A21" s="28">
        <f t="shared" si="1"/>
        <v>19</v>
      </c>
      <c r="B21" s="29" t="str">
        <f>'参照_仕様'!$D$14&amp;"
"&amp;'参照_仕様'!$E$14</f>
        <v>帰蝶
恋遊戯『特別ストーリー』</v>
      </c>
      <c r="C21" s="62" t="s">
        <v>72</v>
      </c>
      <c r="D21" s="187" t="s">
        <v>799</v>
      </c>
      <c r="E21" s="29" t="str">
        <f>'参照_仕様'!$D$14&amp;"
"&amp;'参照_仕様'!$E$14</f>
        <v>帰蝶
恋遊戯『特別ストーリー』</v>
      </c>
      <c r="F21" s="62" t="s">
        <v>74</v>
      </c>
      <c r="G21" s="187" t="s">
        <v>800</v>
      </c>
      <c r="H21" s="31" t="str">
        <f>'参照_仕様'!$D$14</f>
        <v>帰蝶</v>
      </c>
      <c r="I21" s="28" t="str">
        <f t="array" ref="I21">LET(
_tmp, XLOOKUP($H21,'参照_仕様'!$D$11:$D$28,'参照_仕様'!$C$11:$C$28),
_tmp2, RIGHT(_tmp,LEN(_tmp)-30),
LEFT(_tmp2,LEN(_tmp2)-1)
)</f>
        <v>Kicho</v>
      </c>
      <c r="J21" s="34" t="s">
        <v>67</v>
      </c>
      <c r="K21" s="34" t="s">
        <v>68</v>
      </c>
      <c r="L21" s="34" t="s">
        <v>69</v>
      </c>
      <c r="M21" s="35">
        <v>46062.0</v>
      </c>
      <c r="N21" s="261"/>
      <c r="O21" s="262"/>
      <c r="P21" s="262"/>
      <c r="Q21" s="262"/>
      <c r="R21" s="47"/>
      <c r="S21" s="47"/>
      <c r="T21" s="47"/>
    </row>
    <row r="22">
      <c r="A22" s="28">
        <f t="shared" si="1"/>
        <v>20</v>
      </c>
      <c r="B22" s="20"/>
      <c r="C22" s="20"/>
      <c r="D22" s="267" t="s">
        <v>801</v>
      </c>
      <c r="E22" s="20"/>
      <c r="F22" s="20"/>
      <c r="G22" s="267" t="s">
        <v>802</v>
      </c>
      <c r="H22" s="31" t="str">
        <f>'参照_仕様'!$C$14</f>
        <v>Mystic Matrimony Bonus Story ～Kicho～</v>
      </c>
      <c r="I22" s="28" t="str">
        <f>VLOOKUP(H22,'参照_仕様'!$C$11:$E$31,3,0)</f>
        <v>恋遊戯『特別ストーリー』</v>
      </c>
      <c r="J22" s="34" t="s">
        <v>67</v>
      </c>
      <c r="K22" s="34" t="s">
        <v>68</v>
      </c>
      <c r="L22" s="34" t="s">
        <v>69</v>
      </c>
      <c r="M22" s="35">
        <v>46064.0</v>
      </c>
      <c r="N22" s="261"/>
      <c r="O22" s="262"/>
      <c r="P22" s="262"/>
      <c r="Q22" s="262"/>
      <c r="R22" s="47"/>
      <c r="S22" s="47"/>
      <c r="T22" s="47"/>
    </row>
    <row r="23">
      <c r="A23" s="28">
        <f t="shared" si="1"/>
        <v>21</v>
      </c>
      <c r="B23" s="20"/>
      <c r="C23" s="21"/>
      <c r="D23" s="267" t="s">
        <v>803</v>
      </c>
      <c r="E23" s="20"/>
      <c r="F23" s="21"/>
      <c r="G23" s="267" t="s">
        <v>804</v>
      </c>
      <c r="H23" s="31"/>
      <c r="I23" s="28"/>
      <c r="J23" s="34" t="s">
        <v>67</v>
      </c>
      <c r="K23" s="34" t="s">
        <v>68</v>
      </c>
      <c r="L23" s="34" t="s">
        <v>69</v>
      </c>
      <c r="M23" s="35">
        <v>46064.0</v>
      </c>
      <c r="N23" s="261"/>
      <c r="O23" s="262"/>
      <c r="P23" s="262"/>
      <c r="Q23" s="262"/>
      <c r="R23" s="47"/>
      <c r="S23" s="47"/>
      <c r="T23" s="47"/>
    </row>
    <row r="24">
      <c r="A24" s="28">
        <f t="shared" si="1"/>
        <v>22</v>
      </c>
      <c r="B24" s="20"/>
      <c r="C24" s="91" t="s">
        <v>805</v>
      </c>
      <c r="D24" s="267" t="s">
        <v>806</v>
      </c>
      <c r="E24" s="20"/>
      <c r="F24" s="91" t="s">
        <v>807</v>
      </c>
      <c r="G24" s="267" t="s">
        <v>808</v>
      </c>
      <c r="H24" s="31"/>
      <c r="I24" s="263" t="s">
        <v>529</v>
      </c>
      <c r="J24" s="34" t="s">
        <v>67</v>
      </c>
      <c r="K24" s="34" t="s">
        <v>68</v>
      </c>
      <c r="L24" s="34" t="s">
        <v>69</v>
      </c>
      <c r="M24" s="35">
        <v>46062.0</v>
      </c>
      <c r="N24" s="264"/>
      <c r="O24" s="264"/>
      <c r="P24" s="265"/>
      <c r="Q24" s="265"/>
      <c r="R24" s="47"/>
      <c r="S24" s="47"/>
      <c r="T24" s="47"/>
    </row>
    <row r="25">
      <c r="A25" s="28">
        <f t="shared" si="1"/>
        <v>23</v>
      </c>
      <c r="B25" s="20"/>
      <c r="C25" s="21"/>
      <c r="D25" s="267" t="s">
        <v>809</v>
      </c>
      <c r="E25" s="20"/>
      <c r="F25" s="21"/>
      <c r="G25" s="267" t="s">
        <v>810</v>
      </c>
      <c r="H25" s="31"/>
      <c r="I25" s="266"/>
      <c r="J25" s="261"/>
      <c r="K25" s="262"/>
      <c r="L25" s="262"/>
      <c r="M25" s="262"/>
      <c r="N25" s="34" t="s">
        <v>67</v>
      </c>
      <c r="O25" s="28" t="s">
        <v>68</v>
      </c>
      <c r="P25" s="28" t="s">
        <v>69</v>
      </c>
      <c r="Q25" s="45" t="s">
        <v>76</v>
      </c>
      <c r="R25" s="47"/>
      <c r="S25" s="47"/>
      <c r="T25" s="47"/>
    </row>
    <row r="26">
      <c r="A26" s="28">
        <f t="shared" si="1"/>
        <v>24</v>
      </c>
      <c r="B26" s="21"/>
      <c r="C26" s="96" t="s">
        <v>812</v>
      </c>
      <c r="D26" s="267" t="s">
        <v>813</v>
      </c>
      <c r="E26" s="21"/>
      <c r="F26" s="96" t="s">
        <v>814</v>
      </c>
      <c r="G26" s="267" t="s">
        <v>815</v>
      </c>
      <c r="H26" s="31"/>
      <c r="I26" s="266"/>
      <c r="J26" s="261"/>
      <c r="K26" s="262"/>
      <c r="L26" s="262"/>
      <c r="M26" s="262"/>
      <c r="N26" s="34" t="s">
        <v>67</v>
      </c>
      <c r="O26" s="28" t="s">
        <v>68</v>
      </c>
      <c r="P26" s="28" t="s">
        <v>69</v>
      </c>
      <c r="Q26" s="45" t="s">
        <v>76</v>
      </c>
      <c r="R26" s="47"/>
      <c r="S26" s="47"/>
      <c r="T26" s="47"/>
    </row>
    <row r="27">
      <c r="A27" s="28">
        <f t="shared" si="1"/>
        <v>25</v>
      </c>
      <c r="B27" s="59" t="str">
        <f>'参照_仕様'!$D$15&amp;"
"&amp;'参照_仕様'!$E$15</f>
        <v>元就
恋遊戯『特別ストーリー』</v>
      </c>
      <c r="C27" s="62" t="s">
        <v>72</v>
      </c>
      <c r="D27" s="190" t="s">
        <v>799</v>
      </c>
      <c r="E27" s="59" t="str">
        <f>'参照_仕様'!$D$15&amp;"
"&amp;'参照_仕様'!$E$15</f>
        <v>元就
恋遊戯『特別ストーリー』</v>
      </c>
      <c r="F27" s="62" t="s">
        <v>74</v>
      </c>
      <c r="G27" s="190" t="s">
        <v>800</v>
      </c>
      <c r="H27" s="37" t="str">
        <f>'参照_仕様'!$D$15</f>
        <v>元就</v>
      </c>
      <c r="I27" s="28" t="str">
        <f t="array" ref="I27">LET(
_tmp, XLOOKUP($H27,'参照_仕様'!$D$11:$D$28,'参照_仕様'!$C$11:$C$28),
_tmp2, RIGHT(_tmp,LEN(_tmp)-30),
LEFT(_tmp2,LEN(_tmp2)-1)
)</f>
        <v>Motonari</v>
      </c>
      <c r="J27" s="34" t="s">
        <v>67</v>
      </c>
      <c r="K27" s="34" t="s">
        <v>68</v>
      </c>
      <c r="L27" s="34" t="s">
        <v>69</v>
      </c>
      <c r="M27" s="35">
        <v>46062.0</v>
      </c>
      <c r="N27" s="261"/>
      <c r="O27" s="262"/>
      <c r="P27" s="262"/>
      <c r="Q27" s="262"/>
      <c r="R27" s="47"/>
      <c r="S27" s="47"/>
      <c r="T27" s="47"/>
    </row>
    <row r="28">
      <c r="A28" s="28">
        <f t="shared" si="1"/>
        <v>26</v>
      </c>
      <c r="B28" s="20"/>
      <c r="C28" s="20"/>
      <c r="D28" s="268" t="s">
        <v>801</v>
      </c>
      <c r="E28" s="20"/>
      <c r="F28" s="20"/>
      <c r="G28" s="268" t="s">
        <v>802</v>
      </c>
      <c r="H28" s="37" t="str">
        <f>'参照_仕様'!$C$15</f>
        <v>Mystic Matrimony Bonus Story ～Motonari～</v>
      </c>
      <c r="I28" s="28" t="str">
        <f>VLOOKUP(H28,'参照_仕様'!$C$11:$E$31,3,0)</f>
        <v>恋遊戯『特別ストーリー』</v>
      </c>
      <c r="J28" s="34" t="s">
        <v>67</v>
      </c>
      <c r="K28" s="34" t="s">
        <v>68</v>
      </c>
      <c r="L28" s="34" t="s">
        <v>69</v>
      </c>
      <c r="M28" s="35">
        <v>46064.0</v>
      </c>
      <c r="N28" s="261"/>
      <c r="O28" s="262"/>
      <c r="P28" s="262"/>
      <c r="Q28" s="262"/>
      <c r="R28" s="47"/>
      <c r="S28" s="47"/>
      <c r="T28" s="47"/>
    </row>
    <row r="29">
      <c r="A29" s="28">
        <f t="shared" si="1"/>
        <v>27</v>
      </c>
      <c r="B29" s="20"/>
      <c r="C29" s="21"/>
      <c r="D29" s="268" t="s">
        <v>803</v>
      </c>
      <c r="E29" s="20"/>
      <c r="F29" s="21"/>
      <c r="G29" s="268" t="s">
        <v>804</v>
      </c>
      <c r="H29" s="37"/>
      <c r="I29" s="28"/>
      <c r="J29" s="34" t="s">
        <v>67</v>
      </c>
      <c r="K29" s="34" t="s">
        <v>68</v>
      </c>
      <c r="L29" s="34" t="s">
        <v>69</v>
      </c>
      <c r="M29" s="35">
        <v>46064.0</v>
      </c>
      <c r="N29" s="261"/>
      <c r="O29" s="262"/>
      <c r="P29" s="262"/>
      <c r="Q29" s="262"/>
      <c r="R29" s="47"/>
      <c r="S29" s="47"/>
      <c r="T29" s="47"/>
    </row>
    <row r="30">
      <c r="A30" s="28">
        <f t="shared" si="1"/>
        <v>28</v>
      </c>
      <c r="B30" s="20"/>
      <c r="C30" s="91" t="s">
        <v>805</v>
      </c>
      <c r="D30" s="268" t="s">
        <v>806</v>
      </c>
      <c r="E30" s="20"/>
      <c r="F30" s="91" t="s">
        <v>807</v>
      </c>
      <c r="G30" s="268" t="s">
        <v>808</v>
      </c>
      <c r="H30" s="37"/>
      <c r="I30" s="263" t="s">
        <v>608</v>
      </c>
      <c r="J30" s="34" t="s">
        <v>67</v>
      </c>
      <c r="K30" s="34" t="s">
        <v>68</v>
      </c>
      <c r="L30" s="34" t="s">
        <v>69</v>
      </c>
      <c r="M30" s="35">
        <v>46062.0</v>
      </c>
      <c r="N30" s="264"/>
      <c r="O30" s="264"/>
      <c r="P30" s="265"/>
      <c r="Q30" s="265"/>
      <c r="R30" s="47"/>
      <c r="S30" s="47"/>
      <c r="T30" s="269"/>
    </row>
    <row r="31">
      <c r="A31" s="28">
        <f t="shared" si="1"/>
        <v>29</v>
      </c>
      <c r="B31" s="20"/>
      <c r="C31" s="21"/>
      <c r="D31" s="268" t="s">
        <v>809</v>
      </c>
      <c r="E31" s="20"/>
      <c r="F31" s="21"/>
      <c r="G31" s="268" t="s">
        <v>810</v>
      </c>
      <c r="H31" s="37"/>
      <c r="I31" s="266"/>
      <c r="J31" s="261"/>
      <c r="K31" s="262"/>
      <c r="L31" s="262"/>
      <c r="M31" s="262"/>
      <c r="N31" s="34" t="s">
        <v>67</v>
      </c>
      <c r="O31" s="28" t="s">
        <v>68</v>
      </c>
      <c r="P31" s="28" t="s">
        <v>69</v>
      </c>
      <c r="Q31" s="45" t="s">
        <v>76</v>
      </c>
      <c r="R31" s="47"/>
      <c r="S31" s="47"/>
      <c r="T31" s="47"/>
    </row>
    <row r="32">
      <c r="A32" s="28">
        <f t="shared" si="1"/>
        <v>30</v>
      </c>
      <c r="B32" s="21"/>
      <c r="C32" s="96" t="s">
        <v>812</v>
      </c>
      <c r="D32" s="268" t="s">
        <v>813</v>
      </c>
      <c r="E32" s="21"/>
      <c r="F32" s="96" t="s">
        <v>814</v>
      </c>
      <c r="G32" s="268" t="s">
        <v>815</v>
      </c>
      <c r="H32" s="37"/>
      <c r="I32" s="266"/>
      <c r="J32" s="261"/>
      <c r="K32" s="262"/>
      <c r="L32" s="262"/>
      <c r="M32" s="262"/>
      <c r="N32" s="34" t="s">
        <v>67</v>
      </c>
      <c r="O32" s="28" t="s">
        <v>68</v>
      </c>
      <c r="P32" s="28" t="s">
        <v>69</v>
      </c>
      <c r="Q32" s="45" t="s">
        <v>76</v>
      </c>
      <c r="R32" s="47"/>
      <c r="S32" s="47"/>
      <c r="T32" s="47"/>
    </row>
    <row r="33">
      <c r="A33" s="28">
        <f t="shared" si="1"/>
        <v>31</v>
      </c>
      <c r="B33" s="29" t="str">
        <f>'参照_仕様'!$D$16&amp;"
"&amp;'参照_仕様'!$E$16</f>
        <v>義元
恋遊戯『特別ストーリー』</v>
      </c>
      <c r="C33" s="62" t="s">
        <v>72</v>
      </c>
      <c r="D33" s="187" t="s">
        <v>799</v>
      </c>
      <c r="E33" s="29" t="str">
        <f>'参照_仕様'!$D$16&amp;"
"&amp;'参照_仕様'!$E$16</f>
        <v>義元
恋遊戯『特別ストーリー』</v>
      </c>
      <c r="F33" s="62" t="s">
        <v>74</v>
      </c>
      <c r="G33" s="187" t="s">
        <v>800</v>
      </c>
      <c r="H33" s="31" t="str">
        <f>'参照_仕様'!$D$16</f>
        <v>義元</v>
      </c>
      <c r="I33" s="28" t="str">
        <f t="array" ref="I33">LET(
_tmp, XLOOKUP($H33,'参照_仕様'!$D$11:$D$28,'参照_仕様'!$C$11:$C$28),
_tmp2, RIGHT(_tmp,LEN(_tmp)-30),
LEFT(_tmp2,LEN(_tmp2)-1)
)</f>
        <v>Yoshimoto</v>
      </c>
      <c r="J33" s="34" t="s">
        <v>67</v>
      </c>
      <c r="K33" s="34" t="s">
        <v>68</v>
      </c>
      <c r="L33" s="34" t="s">
        <v>69</v>
      </c>
      <c r="M33" s="35">
        <v>46062.0</v>
      </c>
      <c r="N33" s="261"/>
      <c r="O33" s="262"/>
      <c r="P33" s="262"/>
      <c r="Q33" s="262"/>
      <c r="R33" s="47"/>
      <c r="S33" s="47"/>
      <c r="T33" s="47"/>
    </row>
    <row r="34">
      <c r="A34" s="28">
        <f t="shared" si="1"/>
        <v>32</v>
      </c>
      <c r="B34" s="20"/>
      <c r="C34" s="20"/>
      <c r="D34" s="267" t="s">
        <v>801</v>
      </c>
      <c r="E34" s="20"/>
      <c r="F34" s="20"/>
      <c r="G34" s="267" t="s">
        <v>802</v>
      </c>
      <c r="H34" s="31" t="str">
        <f>'参照_仕様'!$C$16</f>
        <v>Mystic Matrimony Bonus Story ～Yoshimoto～</v>
      </c>
      <c r="I34" s="28" t="str">
        <f>VLOOKUP(H34,'参照_仕様'!$C$11:$E$31,3,0)</f>
        <v>恋遊戯『特別ストーリー』</v>
      </c>
      <c r="J34" s="34" t="s">
        <v>67</v>
      </c>
      <c r="K34" s="34" t="s">
        <v>68</v>
      </c>
      <c r="L34" s="34" t="s">
        <v>69</v>
      </c>
      <c r="M34" s="35">
        <v>46064.0</v>
      </c>
      <c r="N34" s="261"/>
      <c r="O34" s="262"/>
      <c r="P34" s="262"/>
      <c r="Q34" s="262"/>
      <c r="R34" s="47"/>
      <c r="S34" s="47"/>
      <c r="T34" s="47"/>
    </row>
    <row r="35">
      <c r="A35" s="28">
        <f t="shared" si="1"/>
        <v>33</v>
      </c>
      <c r="B35" s="20"/>
      <c r="C35" s="21"/>
      <c r="D35" s="267" t="s">
        <v>803</v>
      </c>
      <c r="E35" s="20"/>
      <c r="F35" s="21"/>
      <c r="G35" s="267" t="s">
        <v>804</v>
      </c>
      <c r="H35" s="31"/>
      <c r="I35" s="28"/>
      <c r="J35" s="34" t="s">
        <v>67</v>
      </c>
      <c r="K35" s="34" t="s">
        <v>68</v>
      </c>
      <c r="L35" s="34" t="s">
        <v>69</v>
      </c>
      <c r="M35" s="35">
        <v>46064.0</v>
      </c>
      <c r="N35" s="261"/>
      <c r="O35" s="262"/>
      <c r="P35" s="262"/>
      <c r="Q35" s="262"/>
      <c r="R35" s="47"/>
      <c r="S35" s="47"/>
      <c r="T35" s="47"/>
    </row>
    <row r="36">
      <c r="A36" s="28">
        <f t="shared" si="1"/>
        <v>34</v>
      </c>
      <c r="B36" s="20"/>
      <c r="C36" s="91" t="s">
        <v>805</v>
      </c>
      <c r="D36" s="267" t="s">
        <v>806</v>
      </c>
      <c r="E36" s="20"/>
      <c r="F36" s="91" t="s">
        <v>807</v>
      </c>
      <c r="G36" s="267" t="s">
        <v>808</v>
      </c>
      <c r="H36" s="31"/>
      <c r="I36" s="263" t="s">
        <v>606</v>
      </c>
      <c r="J36" s="34" t="s">
        <v>67</v>
      </c>
      <c r="K36" s="34" t="s">
        <v>68</v>
      </c>
      <c r="L36" s="34" t="s">
        <v>69</v>
      </c>
      <c r="M36" s="35">
        <v>46062.0</v>
      </c>
      <c r="N36" s="264"/>
      <c r="O36" s="264"/>
      <c r="P36" s="265"/>
      <c r="Q36" s="265"/>
      <c r="R36" s="47"/>
      <c r="S36" s="47"/>
      <c r="T36" s="47"/>
    </row>
    <row r="37">
      <c r="A37" s="28">
        <f t="shared" si="1"/>
        <v>35</v>
      </c>
      <c r="B37" s="20"/>
      <c r="C37" s="21"/>
      <c r="D37" s="267" t="s">
        <v>809</v>
      </c>
      <c r="E37" s="20"/>
      <c r="F37" s="21"/>
      <c r="G37" s="267" t="s">
        <v>810</v>
      </c>
      <c r="H37" s="31"/>
      <c r="I37" s="266"/>
      <c r="J37" s="261"/>
      <c r="K37" s="262"/>
      <c r="L37" s="262"/>
      <c r="M37" s="262"/>
      <c r="N37" s="34" t="s">
        <v>67</v>
      </c>
      <c r="O37" s="28" t="s">
        <v>68</v>
      </c>
      <c r="P37" s="28" t="s">
        <v>69</v>
      </c>
      <c r="Q37" s="45" t="s">
        <v>76</v>
      </c>
      <c r="R37" s="47"/>
      <c r="S37" s="47"/>
      <c r="T37" s="47"/>
    </row>
    <row r="38">
      <c r="A38" s="28">
        <f t="shared" si="1"/>
        <v>36</v>
      </c>
      <c r="B38" s="21"/>
      <c r="C38" s="96" t="s">
        <v>812</v>
      </c>
      <c r="D38" s="267" t="s">
        <v>813</v>
      </c>
      <c r="E38" s="21"/>
      <c r="F38" s="96" t="s">
        <v>814</v>
      </c>
      <c r="G38" s="267" t="s">
        <v>815</v>
      </c>
      <c r="H38" s="31"/>
      <c r="I38" s="266"/>
      <c r="J38" s="261"/>
      <c r="K38" s="262"/>
      <c r="L38" s="262"/>
      <c r="M38" s="262"/>
      <c r="N38" s="34" t="s">
        <v>67</v>
      </c>
      <c r="O38" s="28" t="s">
        <v>68</v>
      </c>
      <c r="P38" s="28" t="s">
        <v>69</v>
      </c>
      <c r="Q38" s="45" t="s">
        <v>76</v>
      </c>
      <c r="R38" s="47"/>
      <c r="S38" s="47"/>
      <c r="T38" s="47"/>
    </row>
    <row r="39">
      <c r="A39" s="28">
        <f t="shared" si="1"/>
        <v>37</v>
      </c>
      <c r="B39" s="59" t="str">
        <f>'参照_仕様'!$D$17&amp;"
"&amp;'参照_仕様'!$E$17</f>
        <v>政宗
恋遊戯『アフターストーリー』</v>
      </c>
      <c r="C39" s="62" t="s">
        <v>72</v>
      </c>
      <c r="D39" s="190" t="s">
        <v>799</v>
      </c>
      <c r="E39" s="59" t="str">
        <f>'参照_仕様'!$D$17&amp;"
"&amp;'参照_仕様'!$E$17</f>
        <v>政宗
恋遊戯『アフターストーリー』</v>
      </c>
      <c r="F39" s="62" t="s">
        <v>74</v>
      </c>
      <c r="G39" s="190" t="s">
        <v>800</v>
      </c>
      <c r="H39" s="37" t="str">
        <f>'参照_仕様'!$D$17</f>
        <v>政宗</v>
      </c>
      <c r="I39" s="28" t="str">
        <f t="array" ref="I39">LET(
_tmp, XLOOKUP($H39,'参照_仕様'!$D$11:$D$28,'参照_仕様'!$C$11:$C$28),
_tmp2, RIGHT(_tmp,LEN(_tmp)-30),
LEFT(_tmp2,LEN(_tmp2)-1)
)</f>
        <v>Masamune</v>
      </c>
      <c r="J39" s="34" t="s">
        <v>67</v>
      </c>
      <c r="K39" s="34" t="s">
        <v>68</v>
      </c>
      <c r="L39" s="34" t="s">
        <v>69</v>
      </c>
      <c r="M39" s="35">
        <v>46062.0</v>
      </c>
      <c r="N39" s="261"/>
      <c r="O39" s="262"/>
      <c r="P39" s="262"/>
      <c r="Q39" s="262"/>
      <c r="R39" s="47"/>
      <c r="S39" s="47"/>
      <c r="T39" s="47"/>
    </row>
    <row r="40">
      <c r="A40" s="28">
        <f t="shared" si="1"/>
        <v>38</v>
      </c>
      <c r="B40" s="20"/>
      <c r="C40" s="20"/>
      <c r="D40" s="268" t="s">
        <v>801</v>
      </c>
      <c r="E40" s="20"/>
      <c r="F40" s="20"/>
      <c r="G40" s="268" t="s">
        <v>802</v>
      </c>
      <c r="H40" s="37" t="str">
        <f>'参照_仕様'!$C$17</f>
        <v>Mystic Matrimony After Story ～Masamune～</v>
      </c>
      <c r="I40" s="28" t="str">
        <f>VLOOKUP(H40,'参照_仕様'!$C$11:$E$31,3,0)</f>
        <v>恋遊戯『アフターストーリー』</v>
      </c>
      <c r="J40" s="34" t="s">
        <v>67</v>
      </c>
      <c r="K40" s="34" t="s">
        <v>68</v>
      </c>
      <c r="L40" s="34" t="s">
        <v>69</v>
      </c>
      <c r="M40" s="35">
        <v>46064.0</v>
      </c>
      <c r="N40" s="261"/>
      <c r="O40" s="262"/>
      <c r="P40" s="262"/>
      <c r="Q40" s="262"/>
      <c r="R40" s="47"/>
      <c r="S40" s="47"/>
      <c r="T40" s="47"/>
    </row>
    <row r="41">
      <c r="A41" s="28">
        <f t="shared" si="1"/>
        <v>39</v>
      </c>
      <c r="B41" s="20"/>
      <c r="C41" s="21"/>
      <c r="D41" s="268" t="s">
        <v>803</v>
      </c>
      <c r="E41" s="20"/>
      <c r="F41" s="21"/>
      <c r="G41" s="268" t="s">
        <v>804</v>
      </c>
      <c r="H41" s="37"/>
      <c r="I41" s="28"/>
      <c r="J41" s="34" t="s">
        <v>67</v>
      </c>
      <c r="K41" s="34" t="s">
        <v>68</v>
      </c>
      <c r="L41" s="34" t="s">
        <v>69</v>
      </c>
      <c r="M41" s="35">
        <v>46064.0</v>
      </c>
      <c r="N41" s="261"/>
      <c r="O41" s="262"/>
      <c r="P41" s="262"/>
      <c r="Q41" s="262"/>
      <c r="R41" s="47"/>
      <c r="S41" s="47"/>
      <c r="T41" s="47"/>
    </row>
    <row r="42">
      <c r="A42" s="28">
        <f t="shared" si="1"/>
        <v>40</v>
      </c>
      <c r="B42" s="20"/>
      <c r="C42" s="91" t="s">
        <v>805</v>
      </c>
      <c r="D42" s="268" t="s">
        <v>806</v>
      </c>
      <c r="E42" s="20"/>
      <c r="F42" s="91" t="s">
        <v>807</v>
      </c>
      <c r="G42" s="268" t="s">
        <v>808</v>
      </c>
      <c r="H42" s="37"/>
      <c r="I42" s="263" t="s">
        <v>584</v>
      </c>
      <c r="J42" s="34" t="s">
        <v>67</v>
      </c>
      <c r="K42" s="34" t="s">
        <v>68</v>
      </c>
      <c r="L42" s="34" t="s">
        <v>69</v>
      </c>
      <c r="M42" s="35">
        <v>46062.0</v>
      </c>
      <c r="N42" s="264"/>
      <c r="O42" s="264"/>
      <c r="P42" s="265"/>
      <c r="Q42" s="265"/>
      <c r="R42" s="47"/>
      <c r="S42" s="47"/>
      <c r="T42" s="47"/>
    </row>
    <row r="43">
      <c r="A43" s="28">
        <f t="shared" si="1"/>
        <v>41</v>
      </c>
      <c r="B43" s="20"/>
      <c r="C43" s="21"/>
      <c r="D43" s="268" t="s">
        <v>809</v>
      </c>
      <c r="E43" s="20"/>
      <c r="F43" s="21"/>
      <c r="G43" s="268" t="s">
        <v>810</v>
      </c>
      <c r="H43" s="37"/>
      <c r="I43" s="266"/>
      <c r="J43" s="261"/>
      <c r="K43" s="262"/>
      <c r="L43" s="262"/>
      <c r="M43" s="262"/>
      <c r="N43" s="34" t="s">
        <v>67</v>
      </c>
      <c r="O43" s="28" t="s">
        <v>68</v>
      </c>
      <c r="P43" s="28" t="s">
        <v>69</v>
      </c>
      <c r="Q43" s="45" t="s">
        <v>76</v>
      </c>
      <c r="R43" s="47"/>
      <c r="S43" s="47"/>
      <c r="T43" s="47"/>
    </row>
    <row r="44">
      <c r="A44" s="28">
        <f t="shared" si="1"/>
        <v>42</v>
      </c>
      <c r="B44" s="21"/>
      <c r="C44" s="96" t="s">
        <v>812</v>
      </c>
      <c r="D44" s="268" t="s">
        <v>813</v>
      </c>
      <c r="E44" s="21"/>
      <c r="F44" s="96" t="s">
        <v>814</v>
      </c>
      <c r="G44" s="268" t="s">
        <v>815</v>
      </c>
      <c r="H44" s="37"/>
      <c r="I44" s="266"/>
      <c r="J44" s="261"/>
      <c r="K44" s="262"/>
      <c r="L44" s="262"/>
      <c r="M44" s="262"/>
      <c r="N44" s="34" t="s">
        <v>67</v>
      </c>
      <c r="O44" s="28" t="s">
        <v>68</v>
      </c>
      <c r="P44" s="28" t="s">
        <v>69</v>
      </c>
      <c r="Q44" s="45" t="s">
        <v>76</v>
      </c>
      <c r="R44" s="47"/>
      <c r="S44" s="47"/>
      <c r="T44" s="47"/>
    </row>
    <row r="45">
      <c r="A45" s="28">
        <f t="shared" si="1"/>
        <v>43</v>
      </c>
      <c r="B45" s="29" t="str">
        <f>'参照_仕様'!$D$18&amp;"
"&amp;'参照_仕様'!$E$18</f>
        <v>信長
恋遊戯『アフターストーリー』</v>
      </c>
      <c r="C45" s="62" t="s">
        <v>72</v>
      </c>
      <c r="D45" s="187" t="s">
        <v>799</v>
      </c>
      <c r="E45" s="29" t="str">
        <f>'参照_仕様'!$D$18&amp;"
"&amp;'参照_仕様'!$E$18</f>
        <v>信長
恋遊戯『アフターストーリー』</v>
      </c>
      <c r="F45" s="62" t="s">
        <v>74</v>
      </c>
      <c r="G45" s="187" t="s">
        <v>800</v>
      </c>
      <c r="H45" s="31" t="str">
        <f>'参照_仕様'!$D$18</f>
        <v>信長</v>
      </c>
      <c r="I45" s="28" t="str">
        <f t="array" ref="I45">LET(
_tmp, XLOOKUP($H45,'参照_仕様'!$D$11:$D$28,'参照_仕様'!$C$11:$C$28),
_tmp2, RIGHT(_tmp,LEN(_tmp)-30),
LEFT(_tmp2,LEN(_tmp2)-1)
)</f>
        <v>Nobunaga</v>
      </c>
      <c r="J45" s="34" t="s">
        <v>67</v>
      </c>
      <c r="K45" s="34" t="s">
        <v>68</v>
      </c>
      <c r="L45" s="34" t="s">
        <v>69</v>
      </c>
      <c r="M45" s="35">
        <v>46062.0</v>
      </c>
      <c r="N45" s="261"/>
      <c r="O45" s="262"/>
      <c r="P45" s="262"/>
      <c r="Q45" s="262"/>
      <c r="R45" s="47"/>
      <c r="S45" s="47"/>
      <c r="T45" s="47"/>
    </row>
    <row r="46">
      <c r="A46" s="28">
        <f t="shared" si="1"/>
        <v>44</v>
      </c>
      <c r="B46" s="20"/>
      <c r="C46" s="20"/>
      <c r="D46" s="267" t="s">
        <v>801</v>
      </c>
      <c r="E46" s="20"/>
      <c r="F46" s="20"/>
      <c r="G46" s="267" t="s">
        <v>802</v>
      </c>
      <c r="H46" s="31" t="str">
        <f>'参照_仕様'!$C$18</f>
        <v>Mystic Matrimony After Story ～Nobunaga～</v>
      </c>
      <c r="I46" s="28" t="str">
        <f>VLOOKUP(H46,'参照_仕様'!$C$11:$E$31,3,0)</f>
        <v>恋遊戯『アフターストーリー』</v>
      </c>
      <c r="J46" s="34" t="s">
        <v>67</v>
      </c>
      <c r="K46" s="34" t="s">
        <v>68</v>
      </c>
      <c r="L46" s="34" t="s">
        <v>69</v>
      </c>
      <c r="M46" s="35">
        <v>46064.0</v>
      </c>
      <c r="N46" s="261"/>
      <c r="O46" s="262"/>
      <c r="P46" s="262"/>
      <c r="Q46" s="262"/>
      <c r="R46" s="47"/>
      <c r="S46" s="47"/>
      <c r="T46" s="47"/>
    </row>
    <row r="47">
      <c r="A47" s="28">
        <f t="shared" si="1"/>
        <v>45</v>
      </c>
      <c r="B47" s="20"/>
      <c r="C47" s="21"/>
      <c r="D47" s="267" t="s">
        <v>803</v>
      </c>
      <c r="E47" s="20"/>
      <c r="F47" s="21"/>
      <c r="G47" s="267" t="s">
        <v>804</v>
      </c>
      <c r="H47" s="31"/>
      <c r="I47" s="28"/>
      <c r="J47" s="34" t="s">
        <v>67</v>
      </c>
      <c r="K47" s="34" t="s">
        <v>68</v>
      </c>
      <c r="L47" s="34" t="s">
        <v>69</v>
      </c>
      <c r="M47" s="35">
        <v>46064.0</v>
      </c>
      <c r="N47" s="261"/>
      <c r="O47" s="262"/>
      <c r="P47" s="262"/>
      <c r="Q47" s="262"/>
      <c r="R47" s="47"/>
      <c r="S47" s="47"/>
      <c r="T47" s="47"/>
    </row>
    <row r="48">
      <c r="A48" s="28">
        <f t="shared" si="1"/>
        <v>46</v>
      </c>
      <c r="B48" s="20"/>
      <c r="C48" s="91" t="s">
        <v>805</v>
      </c>
      <c r="D48" s="267" t="s">
        <v>806</v>
      </c>
      <c r="E48" s="20"/>
      <c r="F48" s="91" t="s">
        <v>807</v>
      </c>
      <c r="G48" s="267" t="s">
        <v>808</v>
      </c>
      <c r="H48" s="31"/>
      <c r="I48" s="263" t="s">
        <v>580</v>
      </c>
      <c r="J48" s="34" t="s">
        <v>67</v>
      </c>
      <c r="K48" s="34" t="s">
        <v>68</v>
      </c>
      <c r="L48" s="34" t="s">
        <v>69</v>
      </c>
      <c r="M48" s="35">
        <v>46062.0</v>
      </c>
      <c r="N48" s="264"/>
      <c r="O48" s="264"/>
      <c r="P48" s="265"/>
      <c r="Q48" s="265"/>
      <c r="R48" s="47"/>
      <c r="S48" s="47"/>
      <c r="T48" s="47"/>
    </row>
    <row r="49">
      <c r="A49" s="28">
        <f t="shared" si="1"/>
        <v>47</v>
      </c>
      <c r="B49" s="20"/>
      <c r="C49" s="21"/>
      <c r="D49" s="267" t="s">
        <v>809</v>
      </c>
      <c r="E49" s="20"/>
      <c r="F49" s="21"/>
      <c r="G49" s="267" t="s">
        <v>810</v>
      </c>
      <c r="H49" s="31"/>
      <c r="I49" s="266"/>
      <c r="J49" s="261"/>
      <c r="K49" s="262"/>
      <c r="L49" s="262"/>
      <c r="M49" s="262"/>
      <c r="N49" s="34" t="s">
        <v>67</v>
      </c>
      <c r="O49" s="28" t="s">
        <v>68</v>
      </c>
      <c r="P49" s="28" t="s">
        <v>69</v>
      </c>
      <c r="Q49" s="45" t="s">
        <v>76</v>
      </c>
      <c r="R49" s="47"/>
      <c r="S49" s="47"/>
      <c r="T49" s="47"/>
    </row>
    <row r="50">
      <c r="A50" s="28">
        <f t="shared" si="1"/>
        <v>48</v>
      </c>
      <c r="B50" s="21"/>
      <c r="C50" s="96" t="s">
        <v>812</v>
      </c>
      <c r="D50" s="267" t="s">
        <v>813</v>
      </c>
      <c r="E50" s="21"/>
      <c r="F50" s="96" t="s">
        <v>814</v>
      </c>
      <c r="G50" s="267" t="s">
        <v>815</v>
      </c>
      <c r="H50" s="31"/>
      <c r="I50" s="266"/>
      <c r="J50" s="261"/>
      <c r="K50" s="262"/>
      <c r="L50" s="262"/>
      <c r="M50" s="262"/>
      <c r="N50" s="34" t="s">
        <v>67</v>
      </c>
      <c r="O50" s="28" t="s">
        <v>68</v>
      </c>
      <c r="P50" s="28" t="s">
        <v>69</v>
      </c>
      <c r="Q50" s="45" t="s">
        <v>76</v>
      </c>
      <c r="R50" s="47"/>
      <c r="S50" s="47"/>
      <c r="T50" s="47"/>
    </row>
    <row r="51">
      <c r="A51" s="28">
        <f t="shared" si="1"/>
        <v>49</v>
      </c>
      <c r="B51" s="59" t="str">
        <f>'参照_仕様'!$D$19&amp;"
"&amp;'参照_仕様'!$E$19</f>
        <v>兼続
恋遊戯『アフターストーリー』</v>
      </c>
      <c r="C51" s="62" t="s">
        <v>72</v>
      </c>
      <c r="D51" s="190" t="s">
        <v>799</v>
      </c>
      <c r="E51" s="59" t="str">
        <f>'参照_仕様'!$D$19&amp;"
"&amp;'参照_仕様'!$E$19</f>
        <v>兼続
恋遊戯『アフターストーリー』</v>
      </c>
      <c r="F51" s="62" t="s">
        <v>74</v>
      </c>
      <c r="G51" s="190" t="s">
        <v>800</v>
      </c>
      <c r="H51" s="37" t="str">
        <f>'参照_仕様'!$D$19</f>
        <v>兼続</v>
      </c>
      <c r="I51" s="28" t="str">
        <f t="array" ref="I51">LET(
_tmp, XLOOKUP($H51,'参照_仕様'!$D$11:$D$28,'参照_仕様'!$C$11:$C$28),
_tmp2, RIGHT(_tmp,LEN(_tmp)-30),
LEFT(_tmp2,LEN(_tmp2)-1)
)</f>
        <v>Kanetsugu</v>
      </c>
      <c r="J51" s="34" t="s">
        <v>67</v>
      </c>
      <c r="K51" s="34" t="s">
        <v>68</v>
      </c>
      <c r="L51" s="34" t="s">
        <v>69</v>
      </c>
      <c r="M51" s="35">
        <v>46062.0</v>
      </c>
      <c r="N51" s="261"/>
      <c r="O51" s="262"/>
      <c r="P51" s="262"/>
      <c r="Q51" s="262"/>
      <c r="R51" s="47"/>
      <c r="S51" s="47"/>
      <c r="T51" s="47"/>
    </row>
    <row r="52">
      <c r="A52" s="28">
        <f t="shared" si="1"/>
        <v>50</v>
      </c>
      <c r="B52" s="20"/>
      <c r="C52" s="20"/>
      <c r="D52" s="268" t="s">
        <v>801</v>
      </c>
      <c r="E52" s="20"/>
      <c r="F52" s="20"/>
      <c r="G52" s="268" t="s">
        <v>802</v>
      </c>
      <c r="H52" s="37" t="str">
        <f>'参照_仕様'!$C$19</f>
        <v>Mystic Matrimony After Story ～Kanetsugu～</v>
      </c>
      <c r="I52" s="28" t="str">
        <f>VLOOKUP(H52,'参照_仕様'!$C$11:$E$31,3,0)</f>
        <v>恋遊戯『アフターストーリー』</v>
      </c>
      <c r="J52" s="34" t="s">
        <v>67</v>
      </c>
      <c r="K52" s="34" t="s">
        <v>68</v>
      </c>
      <c r="L52" s="34" t="s">
        <v>69</v>
      </c>
      <c r="M52" s="35">
        <v>46064.0</v>
      </c>
      <c r="N52" s="261"/>
      <c r="O52" s="262"/>
      <c r="P52" s="262"/>
      <c r="Q52" s="262"/>
      <c r="R52" s="47"/>
      <c r="S52" s="47"/>
      <c r="T52" s="47"/>
    </row>
    <row r="53">
      <c r="A53" s="28">
        <f t="shared" si="1"/>
        <v>51</v>
      </c>
      <c r="B53" s="20"/>
      <c r="C53" s="21"/>
      <c r="D53" s="268" t="s">
        <v>803</v>
      </c>
      <c r="E53" s="20"/>
      <c r="F53" s="21"/>
      <c r="G53" s="268" t="s">
        <v>804</v>
      </c>
      <c r="H53" s="37"/>
      <c r="I53" s="28"/>
      <c r="J53" s="34" t="s">
        <v>67</v>
      </c>
      <c r="K53" s="34" t="s">
        <v>68</v>
      </c>
      <c r="L53" s="34" t="s">
        <v>69</v>
      </c>
      <c r="M53" s="35">
        <v>46064.0</v>
      </c>
      <c r="N53" s="261"/>
      <c r="O53" s="262"/>
      <c r="P53" s="262"/>
      <c r="Q53" s="262"/>
      <c r="R53" s="47"/>
      <c r="S53" s="47"/>
      <c r="T53" s="47"/>
    </row>
    <row r="54">
      <c r="A54" s="28">
        <f t="shared" si="1"/>
        <v>52</v>
      </c>
      <c r="B54" s="20"/>
      <c r="C54" s="91" t="s">
        <v>805</v>
      </c>
      <c r="D54" s="268" t="s">
        <v>806</v>
      </c>
      <c r="E54" s="20"/>
      <c r="F54" s="91" t="s">
        <v>807</v>
      </c>
      <c r="G54" s="268" t="s">
        <v>808</v>
      </c>
      <c r="H54" s="37"/>
      <c r="I54" s="263" t="s">
        <v>816</v>
      </c>
      <c r="J54" s="34" t="s">
        <v>67</v>
      </c>
      <c r="K54" s="34" t="s">
        <v>68</v>
      </c>
      <c r="L54" s="34" t="s">
        <v>69</v>
      </c>
      <c r="M54" s="35">
        <v>46062.0</v>
      </c>
      <c r="N54" s="264"/>
      <c r="O54" s="264"/>
      <c r="P54" s="265"/>
      <c r="Q54" s="265"/>
      <c r="R54" s="47"/>
      <c r="S54" s="47"/>
      <c r="T54" s="47"/>
    </row>
    <row r="55">
      <c r="A55" s="28">
        <f t="shared" si="1"/>
        <v>53</v>
      </c>
      <c r="B55" s="20"/>
      <c r="C55" s="21"/>
      <c r="D55" s="268" t="s">
        <v>809</v>
      </c>
      <c r="E55" s="20"/>
      <c r="F55" s="21"/>
      <c r="G55" s="268" t="s">
        <v>810</v>
      </c>
      <c r="H55" s="37"/>
      <c r="I55" s="266"/>
      <c r="J55" s="261"/>
      <c r="K55" s="262"/>
      <c r="L55" s="262"/>
      <c r="M55" s="262"/>
      <c r="N55" s="34" t="s">
        <v>67</v>
      </c>
      <c r="O55" s="28" t="s">
        <v>68</v>
      </c>
      <c r="P55" s="28" t="s">
        <v>69</v>
      </c>
      <c r="Q55" s="45" t="s">
        <v>76</v>
      </c>
      <c r="R55" s="47"/>
      <c r="S55" s="47"/>
      <c r="T55" s="47"/>
    </row>
    <row r="56">
      <c r="A56" s="28">
        <f t="shared" si="1"/>
        <v>54</v>
      </c>
      <c r="B56" s="21"/>
      <c r="C56" s="96" t="s">
        <v>812</v>
      </c>
      <c r="D56" s="268" t="s">
        <v>813</v>
      </c>
      <c r="E56" s="21"/>
      <c r="F56" s="96" t="s">
        <v>814</v>
      </c>
      <c r="G56" s="268" t="s">
        <v>815</v>
      </c>
      <c r="H56" s="37"/>
      <c r="I56" s="266"/>
      <c r="J56" s="261"/>
      <c r="K56" s="262"/>
      <c r="L56" s="262"/>
      <c r="M56" s="262"/>
      <c r="N56" s="34" t="s">
        <v>67</v>
      </c>
      <c r="O56" s="28" t="s">
        <v>68</v>
      </c>
      <c r="P56" s="28" t="s">
        <v>69</v>
      </c>
      <c r="Q56" s="45" t="s">
        <v>76</v>
      </c>
      <c r="R56" s="47"/>
      <c r="S56" s="47"/>
      <c r="T56" s="47"/>
    </row>
    <row r="57">
      <c r="A57" s="28">
        <f t="shared" si="1"/>
        <v>55</v>
      </c>
      <c r="B57" s="29" t="str">
        <f>'参照_仕様'!$D$20&amp;"
"&amp;'参照_仕様'!$E$20</f>
        <v>帰蝶
恋遊戯『アフターストーリー』</v>
      </c>
      <c r="C57" s="62" t="s">
        <v>72</v>
      </c>
      <c r="D57" s="187" t="s">
        <v>799</v>
      </c>
      <c r="E57" s="29" t="str">
        <f>'参照_仕様'!$D$20&amp;"
"&amp;'参照_仕様'!$E$20</f>
        <v>帰蝶
恋遊戯『アフターストーリー』</v>
      </c>
      <c r="F57" s="62" t="s">
        <v>74</v>
      </c>
      <c r="G57" s="187" t="s">
        <v>800</v>
      </c>
      <c r="H57" s="31" t="str">
        <f>'参照_仕様'!$D$20</f>
        <v>帰蝶</v>
      </c>
      <c r="I57" s="28" t="str">
        <f t="array" ref="I57">LET(
_tmp, XLOOKUP($H57,'参照_仕様'!$D$11:$D$28,'参照_仕様'!$C$11:$C$28),
_tmp2, RIGHT(_tmp,LEN(_tmp)-30),
LEFT(_tmp2,LEN(_tmp2)-1)
)</f>
        <v>Kicho</v>
      </c>
      <c r="J57" s="34" t="s">
        <v>67</v>
      </c>
      <c r="K57" s="34" t="s">
        <v>68</v>
      </c>
      <c r="L57" s="34" t="s">
        <v>69</v>
      </c>
      <c r="M57" s="35">
        <v>46062.0</v>
      </c>
      <c r="N57" s="261"/>
      <c r="O57" s="262"/>
      <c r="P57" s="262"/>
      <c r="Q57" s="262"/>
      <c r="R57" s="47"/>
      <c r="S57" s="47"/>
      <c r="T57" s="47"/>
    </row>
    <row r="58">
      <c r="A58" s="28">
        <f t="shared" si="1"/>
        <v>56</v>
      </c>
      <c r="B58" s="20"/>
      <c r="C58" s="20"/>
      <c r="D58" s="267" t="s">
        <v>801</v>
      </c>
      <c r="E58" s="20"/>
      <c r="F58" s="20"/>
      <c r="G58" s="267" t="s">
        <v>802</v>
      </c>
      <c r="H58" s="31" t="str">
        <f>'参照_仕様'!$C$20</f>
        <v>Mystic Matrimony After Story ～Kicho～</v>
      </c>
      <c r="I58" s="28" t="str">
        <f>VLOOKUP(H58,'参照_仕様'!$C$11:$E$31,3,0)</f>
        <v>恋遊戯『アフターストーリー』</v>
      </c>
      <c r="J58" s="34" t="s">
        <v>67</v>
      </c>
      <c r="K58" s="34" t="s">
        <v>68</v>
      </c>
      <c r="L58" s="34" t="s">
        <v>69</v>
      </c>
      <c r="M58" s="35">
        <v>46064.0</v>
      </c>
      <c r="N58" s="261"/>
      <c r="O58" s="262"/>
      <c r="P58" s="262"/>
      <c r="Q58" s="262"/>
      <c r="R58" s="47"/>
      <c r="S58" s="47"/>
      <c r="T58" s="47"/>
    </row>
    <row r="59">
      <c r="A59" s="28">
        <f t="shared" si="1"/>
        <v>57</v>
      </c>
      <c r="B59" s="20"/>
      <c r="C59" s="21"/>
      <c r="D59" s="267" t="s">
        <v>803</v>
      </c>
      <c r="E59" s="20"/>
      <c r="F59" s="21"/>
      <c r="G59" s="267" t="s">
        <v>804</v>
      </c>
      <c r="H59" s="31"/>
      <c r="I59" s="28"/>
      <c r="J59" s="34" t="s">
        <v>67</v>
      </c>
      <c r="K59" s="34" t="s">
        <v>68</v>
      </c>
      <c r="L59" s="34" t="s">
        <v>69</v>
      </c>
      <c r="M59" s="35">
        <v>46064.0</v>
      </c>
      <c r="N59" s="261"/>
      <c r="O59" s="262"/>
      <c r="P59" s="262"/>
      <c r="Q59" s="262"/>
      <c r="R59" s="47"/>
      <c r="S59" s="47"/>
      <c r="T59" s="47"/>
    </row>
    <row r="60">
      <c r="A60" s="28">
        <f t="shared" si="1"/>
        <v>58</v>
      </c>
      <c r="B60" s="20"/>
      <c r="C60" s="91" t="s">
        <v>805</v>
      </c>
      <c r="D60" s="267" t="s">
        <v>806</v>
      </c>
      <c r="E60" s="20"/>
      <c r="F60" s="91" t="s">
        <v>807</v>
      </c>
      <c r="G60" s="267" t="s">
        <v>808</v>
      </c>
      <c r="H60" s="31"/>
      <c r="I60" s="263" t="s">
        <v>529</v>
      </c>
      <c r="J60" s="34" t="s">
        <v>67</v>
      </c>
      <c r="K60" s="34" t="s">
        <v>68</v>
      </c>
      <c r="L60" s="34" t="s">
        <v>69</v>
      </c>
      <c r="M60" s="35">
        <v>46062.0</v>
      </c>
      <c r="N60" s="264"/>
      <c r="O60" s="264"/>
      <c r="P60" s="265"/>
      <c r="Q60" s="265"/>
      <c r="R60" s="47"/>
      <c r="S60" s="47"/>
      <c r="T60" s="47"/>
    </row>
    <row r="61">
      <c r="A61" s="28">
        <f t="shared" si="1"/>
        <v>59</v>
      </c>
      <c r="B61" s="20"/>
      <c r="C61" s="21"/>
      <c r="D61" s="267" t="s">
        <v>809</v>
      </c>
      <c r="E61" s="20"/>
      <c r="F61" s="21"/>
      <c r="G61" s="267" t="s">
        <v>810</v>
      </c>
      <c r="H61" s="31"/>
      <c r="I61" s="266"/>
      <c r="J61" s="261"/>
      <c r="K61" s="262"/>
      <c r="L61" s="262"/>
      <c r="M61" s="262"/>
      <c r="N61" s="34" t="s">
        <v>67</v>
      </c>
      <c r="O61" s="28" t="s">
        <v>68</v>
      </c>
      <c r="P61" s="28" t="s">
        <v>69</v>
      </c>
      <c r="Q61" s="45" t="s">
        <v>76</v>
      </c>
      <c r="R61" s="47"/>
      <c r="S61" s="47"/>
      <c r="T61" s="47"/>
    </row>
    <row r="62">
      <c r="A62" s="28">
        <f t="shared" si="1"/>
        <v>60</v>
      </c>
      <c r="B62" s="21"/>
      <c r="C62" s="96" t="s">
        <v>812</v>
      </c>
      <c r="D62" s="267" t="s">
        <v>813</v>
      </c>
      <c r="E62" s="21"/>
      <c r="F62" s="96" t="s">
        <v>814</v>
      </c>
      <c r="G62" s="267" t="s">
        <v>815</v>
      </c>
      <c r="H62" s="31"/>
      <c r="I62" s="266"/>
      <c r="J62" s="261"/>
      <c r="K62" s="262"/>
      <c r="L62" s="262"/>
      <c r="M62" s="262"/>
      <c r="N62" s="34" t="s">
        <v>67</v>
      </c>
      <c r="O62" s="28" t="s">
        <v>68</v>
      </c>
      <c r="P62" s="28" t="s">
        <v>69</v>
      </c>
      <c r="Q62" s="45" t="s">
        <v>76</v>
      </c>
      <c r="R62" s="47"/>
      <c r="S62" s="47"/>
      <c r="T62" s="47"/>
    </row>
    <row r="63">
      <c r="A63" s="28">
        <f t="shared" si="1"/>
        <v>61</v>
      </c>
      <c r="B63" s="59" t="str">
        <f>'参照_仕様'!$D$21&amp;"
"&amp;'参照_仕様'!$E$21</f>
        <v>元就
恋遊戯『アフターストーリー』</v>
      </c>
      <c r="C63" s="62" t="s">
        <v>72</v>
      </c>
      <c r="D63" s="190" t="s">
        <v>799</v>
      </c>
      <c r="E63" s="59" t="str">
        <f>'参照_仕様'!$D$21&amp;"
"&amp;'参照_仕様'!$E$21</f>
        <v>元就
恋遊戯『アフターストーリー』</v>
      </c>
      <c r="F63" s="62" t="s">
        <v>74</v>
      </c>
      <c r="G63" s="190" t="s">
        <v>800</v>
      </c>
      <c r="H63" s="37" t="str">
        <f>'参照_仕様'!$D$21</f>
        <v>元就</v>
      </c>
      <c r="I63" s="28" t="str">
        <f t="array" ref="I63">LET(
_tmp, XLOOKUP($H63,'参照_仕様'!$D$11:$D$28,'参照_仕様'!$C$11:$C$28),
_tmp2, RIGHT(_tmp,LEN(_tmp)-30),
LEFT(_tmp2,LEN(_tmp2)-1)
)</f>
        <v>Motonari</v>
      </c>
      <c r="J63" s="34" t="s">
        <v>67</v>
      </c>
      <c r="K63" s="34" t="s">
        <v>68</v>
      </c>
      <c r="L63" s="34" t="s">
        <v>69</v>
      </c>
      <c r="M63" s="35">
        <v>46062.0</v>
      </c>
      <c r="N63" s="261"/>
      <c r="O63" s="262"/>
      <c r="P63" s="262"/>
      <c r="Q63" s="262"/>
      <c r="R63" s="47"/>
      <c r="S63" s="47"/>
      <c r="T63" s="47"/>
    </row>
    <row r="64">
      <c r="A64" s="28">
        <f t="shared" si="1"/>
        <v>62</v>
      </c>
      <c r="B64" s="20"/>
      <c r="C64" s="20"/>
      <c r="D64" s="268" t="s">
        <v>801</v>
      </c>
      <c r="E64" s="20"/>
      <c r="F64" s="20"/>
      <c r="G64" s="268" t="s">
        <v>802</v>
      </c>
      <c r="H64" s="37" t="str">
        <f>'参照_仕様'!$C$21</f>
        <v>Mystic Matrimony After Story ～Motonari～</v>
      </c>
      <c r="I64" s="28" t="str">
        <f>VLOOKUP(H64,'参照_仕様'!$C$11:$E$31,3,0)</f>
        <v>恋遊戯『アフターストーリー』</v>
      </c>
      <c r="J64" s="34" t="s">
        <v>67</v>
      </c>
      <c r="K64" s="34" t="s">
        <v>68</v>
      </c>
      <c r="L64" s="34" t="s">
        <v>69</v>
      </c>
      <c r="M64" s="35">
        <v>46064.0</v>
      </c>
      <c r="N64" s="261"/>
      <c r="O64" s="262"/>
      <c r="P64" s="262"/>
      <c r="Q64" s="262"/>
      <c r="R64" s="47"/>
      <c r="S64" s="47"/>
      <c r="T64" s="47"/>
    </row>
    <row r="65">
      <c r="A65" s="28">
        <f t="shared" si="1"/>
        <v>63</v>
      </c>
      <c r="B65" s="20"/>
      <c r="C65" s="21"/>
      <c r="D65" s="268" t="s">
        <v>803</v>
      </c>
      <c r="E65" s="20"/>
      <c r="F65" s="21"/>
      <c r="G65" s="268" t="s">
        <v>804</v>
      </c>
      <c r="H65" s="37"/>
      <c r="I65" s="28"/>
      <c r="J65" s="34" t="s">
        <v>67</v>
      </c>
      <c r="K65" s="34" t="s">
        <v>68</v>
      </c>
      <c r="L65" s="34" t="s">
        <v>69</v>
      </c>
      <c r="M65" s="35">
        <v>46064.0</v>
      </c>
      <c r="N65" s="261"/>
      <c r="O65" s="262"/>
      <c r="P65" s="262"/>
      <c r="Q65" s="262"/>
      <c r="R65" s="47"/>
      <c r="S65" s="47"/>
      <c r="T65" s="47"/>
    </row>
    <row r="66">
      <c r="A66" s="28">
        <f t="shared" si="1"/>
        <v>64</v>
      </c>
      <c r="B66" s="20"/>
      <c r="C66" s="91" t="s">
        <v>805</v>
      </c>
      <c r="D66" s="268" t="s">
        <v>806</v>
      </c>
      <c r="E66" s="20"/>
      <c r="F66" s="91" t="s">
        <v>807</v>
      </c>
      <c r="G66" s="268" t="s">
        <v>808</v>
      </c>
      <c r="H66" s="37"/>
      <c r="I66" s="263" t="s">
        <v>608</v>
      </c>
      <c r="J66" s="34" t="s">
        <v>67</v>
      </c>
      <c r="K66" s="34" t="s">
        <v>68</v>
      </c>
      <c r="L66" s="34" t="s">
        <v>69</v>
      </c>
      <c r="M66" s="35">
        <v>46062.0</v>
      </c>
      <c r="N66" s="264"/>
      <c r="O66" s="264"/>
      <c r="P66" s="265"/>
      <c r="Q66" s="265"/>
      <c r="R66" s="47"/>
      <c r="S66" s="47"/>
      <c r="T66" s="47"/>
    </row>
    <row r="67">
      <c r="A67" s="28">
        <f t="shared" si="1"/>
        <v>65</v>
      </c>
      <c r="B67" s="20"/>
      <c r="C67" s="21"/>
      <c r="D67" s="268" t="s">
        <v>809</v>
      </c>
      <c r="E67" s="20"/>
      <c r="F67" s="21"/>
      <c r="G67" s="268" t="s">
        <v>810</v>
      </c>
      <c r="H67" s="37"/>
      <c r="I67" s="266"/>
      <c r="J67" s="261"/>
      <c r="K67" s="262"/>
      <c r="L67" s="262"/>
      <c r="M67" s="262"/>
      <c r="N67" s="34" t="s">
        <v>67</v>
      </c>
      <c r="O67" s="28" t="s">
        <v>68</v>
      </c>
      <c r="P67" s="28" t="s">
        <v>69</v>
      </c>
      <c r="Q67" s="45" t="s">
        <v>76</v>
      </c>
      <c r="R67" s="47"/>
      <c r="S67" s="47"/>
      <c r="T67" s="47"/>
    </row>
    <row r="68">
      <c r="A68" s="28">
        <f t="shared" si="1"/>
        <v>66</v>
      </c>
      <c r="B68" s="21"/>
      <c r="C68" s="96" t="s">
        <v>812</v>
      </c>
      <c r="D68" s="268" t="s">
        <v>813</v>
      </c>
      <c r="E68" s="21"/>
      <c r="F68" s="96" t="s">
        <v>814</v>
      </c>
      <c r="G68" s="268" t="s">
        <v>815</v>
      </c>
      <c r="H68" s="37"/>
      <c r="I68" s="266"/>
      <c r="J68" s="261"/>
      <c r="K68" s="262"/>
      <c r="L68" s="262"/>
      <c r="M68" s="262"/>
      <c r="N68" s="34" t="s">
        <v>67</v>
      </c>
      <c r="O68" s="28" t="s">
        <v>68</v>
      </c>
      <c r="P68" s="28" t="s">
        <v>69</v>
      </c>
      <c r="Q68" s="45" t="s">
        <v>76</v>
      </c>
      <c r="R68" s="47"/>
      <c r="S68" s="47"/>
      <c r="T68" s="47"/>
    </row>
    <row r="69">
      <c r="A69" s="28">
        <f t="shared" si="1"/>
        <v>67</v>
      </c>
      <c r="B69" s="29" t="str">
        <f>'参照_仕様'!$D$22&amp;"
"&amp;'参照_仕様'!$E$22</f>
        <v>義元
恋遊戯『アフターストーリー』</v>
      </c>
      <c r="C69" s="62" t="s">
        <v>72</v>
      </c>
      <c r="D69" s="187" t="s">
        <v>799</v>
      </c>
      <c r="E69" s="29" t="str">
        <f>'参照_仕様'!$D$22&amp;"
"&amp;'参照_仕様'!$E$22</f>
        <v>義元
恋遊戯『アフターストーリー』</v>
      </c>
      <c r="F69" s="62" t="s">
        <v>74</v>
      </c>
      <c r="G69" s="187" t="s">
        <v>800</v>
      </c>
      <c r="H69" s="31" t="str">
        <f>'参照_仕様'!$D$22</f>
        <v>義元</v>
      </c>
      <c r="I69" s="28" t="str">
        <f t="array" ref="I69">LET(
_tmp, XLOOKUP($H69,'参照_仕様'!$D$11:$D$28,'参照_仕様'!$C$11:$C$28),
_tmp2, RIGHT(_tmp,LEN(_tmp)-30),
LEFT(_tmp2,LEN(_tmp2)-1)
)</f>
        <v>Yoshimoto</v>
      </c>
      <c r="J69" s="34" t="s">
        <v>67</v>
      </c>
      <c r="K69" s="34" t="s">
        <v>68</v>
      </c>
      <c r="L69" s="34" t="s">
        <v>69</v>
      </c>
      <c r="M69" s="35">
        <v>46062.0</v>
      </c>
      <c r="N69" s="261"/>
      <c r="O69" s="262"/>
      <c r="P69" s="262"/>
      <c r="Q69" s="262"/>
      <c r="R69" s="47"/>
      <c r="S69" s="47"/>
      <c r="T69" s="47"/>
    </row>
    <row r="70">
      <c r="A70" s="28">
        <f t="shared" si="1"/>
        <v>68</v>
      </c>
      <c r="B70" s="20"/>
      <c r="C70" s="20"/>
      <c r="D70" s="267" t="s">
        <v>801</v>
      </c>
      <c r="E70" s="20"/>
      <c r="F70" s="20"/>
      <c r="G70" s="267" t="s">
        <v>802</v>
      </c>
      <c r="H70" s="31" t="str">
        <f>'参照_仕様'!$C$22</f>
        <v>Mystic Matrimony After Story ～Yoshimoto～</v>
      </c>
      <c r="I70" s="28" t="str">
        <f>VLOOKUP(H70,'参照_仕様'!$C$11:$E$31,3,0)</f>
        <v>恋遊戯『アフターストーリー』</v>
      </c>
      <c r="J70" s="34" t="s">
        <v>67</v>
      </c>
      <c r="K70" s="34" t="s">
        <v>68</v>
      </c>
      <c r="L70" s="34" t="s">
        <v>69</v>
      </c>
      <c r="M70" s="35">
        <v>46064.0</v>
      </c>
      <c r="N70" s="261"/>
      <c r="O70" s="262"/>
      <c r="P70" s="262"/>
      <c r="Q70" s="262"/>
      <c r="R70" s="47"/>
      <c r="S70" s="47"/>
      <c r="T70" s="47"/>
    </row>
    <row r="71">
      <c r="A71" s="28">
        <f t="shared" si="1"/>
        <v>69</v>
      </c>
      <c r="B71" s="20"/>
      <c r="C71" s="21"/>
      <c r="D71" s="267" t="s">
        <v>803</v>
      </c>
      <c r="E71" s="20"/>
      <c r="F71" s="21"/>
      <c r="G71" s="267" t="s">
        <v>804</v>
      </c>
      <c r="H71" s="31"/>
      <c r="I71" s="28"/>
      <c r="J71" s="34" t="s">
        <v>67</v>
      </c>
      <c r="K71" s="34" t="s">
        <v>68</v>
      </c>
      <c r="L71" s="34" t="s">
        <v>69</v>
      </c>
      <c r="M71" s="35">
        <v>46064.0</v>
      </c>
      <c r="N71" s="261"/>
      <c r="O71" s="262"/>
      <c r="P71" s="262"/>
      <c r="Q71" s="262"/>
      <c r="R71" s="47"/>
      <c r="S71" s="47"/>
      <c r="T71" s="47"/>
    </row>
    <row r="72">
      <c r="A72" s="28">
        <f t="shared" si="1"/>
        <v>70</v>
      </c>
      <c r="B72" s="20"/>
      <c r="C72" s="91" t="s">
        <v>805</v>
      </c>
      <c r="D72" s="267" t="s">
        <v>806</v>
      </c>
      <c r="E72" s="20"/>
      <c r="F72" s="91" t="s">
        <v>807</v>
      </c>
      <c r="G72" s="267" t="s">
        <v>808</v>
      </c>
      <c r="H72" s="31"/>
      <c r="I72" s="263" t="s">
        <v>606</v>
      </c>
      <c r="J72" s="34" t="s">
        <v>67</v>
      </c>
      <c r="K72" s="34" t="s">
        <v>68</v>
      </c>
      <c r="L72" s="34" t="s">
        <v>69</v>
      </c>
      <c r="M72" s="35">
        <v>46062.0</v>
      </c>
      <c r="N72" s="264"/>
      <c r="O72" s="264"/>
      <c r="P72" s="265"/>
      <c r="Q72" s="265"/>
      <c r="R72" s="47"/>
      <c r="S72" s="47"/>
      <c r="T72" s="47"/>
    </row>
    <row r="73">
      <c r="A73" s="28">
        <f t="shared" si="1"/>
        <v>71</v>
      </c>
      <c r="B73" s="20"/>
      <c r="C73" s="21"/>
      <c r="D73" s="267" t="s">
        <v>809</v>
      </c>
      <c r="E73" s="20"/>
      <c r="F73" s="21"/>
      <c r="G73" s="267" t="s">
        <v>810</v>
      </c>
      <c r="H73" s="31"/>
      <c r="I73" s="266"/>
      <c r="J73" s="261"/>
      <c r="K73" s="262"/>
      <c r="L73" s="262"/>
      <c r="M73" s="262"/>
      <c r="N73" s="34" t="s">
        <v>67</v>
      </c>
      <c r="O73" s="28" t="s">
        <v>68</v>
      </c>
      <c r="P73" s="28" t="s">
        <v>69</v>
      </c>
      <c r="Q73" s="45" t="s">
        <v>76</v>
      </c>
      <c r="R73" s="47"/>
      <c r="S73" s="47"/>
      <c r="T73" s="47"/>
    </row>
    <row r="74">
      <c r="A74" s="28">
        <f t="shared" si="1"/>
        <v>72</v>
      </c>
      <c r="B74" s="21"/>
      <c r="C74" s="96" t="s">
        <v>812</v>
      </c>
      <c r="D74" s="267" t="s">
        <v>813</v>
      </c>
      <c r="E74" s="21"/>
      <c r="F74" s="96" t="s">
        <v>814</v>
      </c>
      <c r="G74" s="267" t="s">
        <v>815</v>
      </c>
      <c r="H74" s="31"/>
      <c r="I74" s="266"/>
      <c r="J74" s="261"/>
      <c r="K74" s="262"/>
      <c r="L74" s="262"/>
      <c r="M74" s="262"/>
      <c r="N74" s="34" t="s">
        <v>67</v>
      </c>
      <c r="O74" s="28" t="s">
        <v>68</v>
      </c>
      <c r="P74" s="28" t="s">
        <v>69</v>
      </c>
      <c r="Q74" s="45" t="s">
        <v>76</v>
      </c>
      <c r="R74" s="47"/>
      <c r="S74" s="47"/>
      <c r="T74" s="47"/>
    </row>
    <row r="75">
      <c r="A75" s="28">
        <f t="shared" si="1"/>
        <v>73</v>
      </c>
      <c r="B75" s="59" t="str">
        <f>'参照_仕様'!$D$23&amp;"
"&amp;'参照_仕様'!$E$23</f>
        <v>信長
戦国妖絵巻『鬼の彼に求められて…♡』</v>
      </c>
      <c r="C75" s="62" t="s">
        <v>72</v>
      </c>
      <c r="D75" s="190" t="s">
        <v>799</v>
      </c>
      <c r="E75" s="59" t="str">
        <f>'参照_仕様'!$D$23&amp;"
"&amp;'参照_仕様'!$E$23</f>
        <v>信長
戦国妖絵巻『鬼の彼に求められて…♡』</v>
      </c>
      <c r="F75" s="62" t="s">
        <v>74</v>
      </c>
      <c r="G75" s="190" t="s">
        <v>800</v>
      </c>
      <c r="H75" s="37" t="str">
        <f>'参照_仕様'!$D$23</f>
        <v>信長</v>
      </c>
      <c r="I75" s="28" t="str">
        <f t="array" ref="I75">LET(
_tmp, XLOOKUP($H75,'参照_仕様'!$D$11:$D$28,'参照_仕様'!$C$11:$C$28),
_tmp2, RIGHT(_tmp,LEN(_tmp)-30),
LEFT(_tmp2,LEN(_tmp2)-1)
)</f>
        <v>Nobunaga</v>
      </c>
      <c r="J75" s="34" t="s">
        <v>67</v>
      </c>
      <c r="K75" s="34" t="s">
        <v>68</v>
      </c>
      <c r="L75" s="34" t="s">
        <v>69</v>
      </c>
      <c r="M75" s="35">
        <v>46062.0</v>
      </c>
      <c r="N75" s="261"/>
      <c r="O75" s="262"/>
      <c r="P75" s="262"/>
      <c r="Q75" s="262"/>
      <c r="R75" s="47"/>
      <c r="S75" s="47"/>
      <c r="T75" s="47"/>
    </row>
    <row r="76">
      <c r="A76" s="28">
        <f t="shared" si="1"/>
        <v>74</v>
      </c>
      <c r="B76" s="20"/>
      <c r="C76" s="20"/>
      <c r="D76" s="268" t="s">
        <v>801</v>
      </c>
      <c r="E76" s="20"/>
      <c r="F76" s="20"/>
      <c r="G76" s="268" t="s">
        <v>802</v>
      </c>
      <c r="H76" s="37" t="str">
        <f>'参照_仕様'!$C$23</f>
        <v>Demon of My Dreams (Nobunaga)</v>
      </c>
      <c r="I76" s="28" t="str">
        <f>VLOOKUP(H76,'参照_仕様'!$C$11:$E$31,3,0)</f>
        <v>戦国妖絵巻『鬼の彼に求められて…♡』</v>
      </c>
      <c r="J76" s="34" t="s">
        <v>67</v>
      </c>
      <c r="K76" s="34" t="s">
        <v>68</v>
      </c>
      <c r="L76" s="34" t="s">
        <v>69</v>
      </c>
      <c r="M76" s="35">
        <v>46064.0</v>
      </c>
      <c r="N76" s="261"/>
      <c r="O76" s="262"/>
      <c r="P76" s="262"/>
      <c r="Q76" s="262"/>
      <c r="R76" s="47"/>
      <c r="S76" s="47"/>
      <c r="T76" s="47"/>
    </row>
    <row r="77">
      <c r="A77" s="28">
        <f t="shared" si="1"/>
        <v>75</v>
      </c>
      <c r="B77" s="20"/>
      <c r="C77" s="21"/>
      <c r="D77" s="268" t="s">
        <v>803</v>
      </c>
      <c r="E77" s="20"/>
      <c r="F77" s="21"/>
      <c r="G77" s="268" t="s">
        <v>804</v>
      </c>
      <c r="H77" s="37"/>
      <c r="I77" s="28"/>
      <c r="J77" s="34" t="s">
        <v>67</v>
      </c>
      <c r="K77" s="34" t="s">
        <v>68</v>
      </c>
      <c r="L77" s="34" t="s">
        <v>69</v>
      </c>
      <c r="M77" s="35">
        <v>46064.0</v>
      </c>
      <c r="N77" s="261"/>
      <c r="O77" s="262"/>
      <c r="P77" s="262"/>
      <c r="Q77" s="262"/>
      <c r="R77" s="47"/>
      <c r="S77" s="47"/>
      <c r="T77" s="47"/>
    </row>
    <row r="78">
      <c r="A78" s="28">
        <f t="shared" si="1"/>
        <v>76</v>
      </c>
      <c r="B78" s="20"/>
      <c r="C78" s="91" t="s">
        <v>805</v>
      </c>
      <c r="D78" s="268" t="s">
        <v>806</v>
      </c>
      <c r="E78" s="20"/>
      <c r="F78" s="91" t="s">
        <v>807</v>
      </c>
      <c r="G78" s="268" t="s">
        <v>808</v>
      </c>
      <c r="H78" s="37"/>
      <c r="I78" s="263" t="s">
        <v>580</v>
      </c>
      <c r="J78" s="34" t="s">
        <v>67</v>
      </c>
      <c r="K78" s="34" t="s">
        <v>68</v>
      </c>
      <c r="L78" s="34" t="s">
        <v>69</v>
      </c>
      <c r="M78" s="35">
        <v>46062.0</v>
      </c>
      <c r="N78" s="264"/>
      <c r="O78" s="264"/>
      <c r="P78" s="265"/>
      <c r="Q78" s="265"/>
      <c r="R78" s="47"/>
      <c r="S78" s="47"/>
      <c r="T78" s="47"/>
    </row>
    <row r="79">
      <c r="A79" s="28">
        <f t="shared" si="1"/>
        <v>77</v>
      </c>
      <c r="B79" s="20"/>
      <c r="C79" s="21"/>
      <c r="D79" s="268" t="s">
        <v>809</v>
      </c>
      <c r="E79" s="20"/>
      <c r="F79" s="21"/>
      <c r="G79" s="268" t="s">
        <v>810</v>
      </c>
      <c r="H79" s="37"/>
      <c r="I79" s="266"/>
      <c r="J79" s="261"/>
      <c r="K79" s="262"/>
      <c r="L79" s="262"/>
      <c r="M79" s="262"/>
      <c r="N79" s="34" t="s">
        <v>67</v>
      </c>
      <c r="O79" s="28" t="s">
        <v>68</v>
      </c>
      <c r="P79" s="28" t="s">
        <v>69</v>
      </c>
      <c r="Q79" s="45" t="s">
        <v>76</v>
      </c>
      <c r="R79" s="47"/>
      <c r="S79" s="47"/>
      <c r="T79" s="47"/>
    </row>
    <row r="80">
      <c r="A80" s="28">
        <f t="shared" si="1"/>
        <v>78</v>
      </c>
      <c r="B80" s="21"/>
      <c r="C80" s="96" t="s">
        <v>812</v>
      </c>
      <c r="D80" s="268" t="s">
        <v>813</v>
      </c>
      <c r="E80" s="21"/>
      <c r="F80" s="96" t="s">
        <v>814</v>
      </c>
      <c r="G80" s="268" t="s">
        <v>815</v>
      </c>
      <c r="H80" s="37"/>
      <c r="I80" s="261"/>
      <c r="J80" s="261"/>
      <c r="K80" s="262"/>
      <c r="L80" s="262"/>
      <c r="M80" s="262"/>
      <c r="N80" s="34" t="s">
        <v>67</v>
      </c>
      <c r="O80" s="28" t="s">
        <v>68</v>
      </c>
      <c r="P80" s="28" t="s">
        <v>69</v>
      </c>
      <c r="Q80" s="45" t="s">
        <v>76</v>
      </c>
      <c r="R80" s="47"/>
      <c r="S80" s="47"/>
      <c r="T80" s="47"/>
    </row>
    <row r="81">
      <c r="A81" s="28">
        <f t="shared" si="1"/>
        <v>79</v>
      </c>
      <c r="B81" s="29" t="str">
        <f>'参照_仕様'!$D$24&amp;"
"&amp;'参照_仕様'!$E$24</f>
        <v>政宗
戦国妖絵巻『鬼の彼に求められて…♡』</v>
      </c>
      <c r="C81" s="62" t="s">
        <v>72</v>
      </c>
      <c r="D81" s="187" t="s">
        <v>799</v>
      </c>
      <c r="E81" s="29" t="str">
        <f>'参照_仕様'!$D$24&amp;"
"&amp;'参照_仕様'!$E$24</f>
        <v>政宗
戦国妖絵巻『鬼の彼に求められて…♡』</v>
      </c>
      <c r="F81" s="62" t="s">
        <v>74</v>
      </c>
      <c r="G81" s="187" t="s">
        <v>800</v>
      </c>
      <c r="H81" s="31" t="str">
        <f>'参照_仕様'!$D$24</f>
        <v>政宗</v>
      </c>
      <c r="I81" s="28" t="str">
        <f t="array" ref="I81">LET(
_tmp, XLOOKUP($H81,'参照_仕様'!$D$11:$D$28,'参照_仕様'!$C$11:$C$28),
_tmp2, RIGHT(_tmp,LEN(_tmp)-30),
LEFT(_tmp2,LEN(_tmp2)-1)
)</f>
        <v>Masamune</v>
      </c>
      <c r="J81" s="34" t="s">
        <v>67</v>
      </c>
      <c r="K81" s="34" t="s">
        <v>68</v>
      </c>
      <c r="L81" s="34" t="s">
        <v>69</v>
      </c>
      <c r="M81" s="35">
        <v>46062.0</v>
      </c>
      <c r="N81" s="261"/>
      <c r="O81" s="262"/>
      <c r="P81" s="262"/>
      <c r="Q81" s="262"/>
      <c r="R81" s="47"/>
      <c r="S81" s="47"/>
      <c r="T81" s="47"/>
    </row>
    <row r="82">
      <c r="A82" s="28">
        <f t="shared" si="1"/>
        <v>80</v>
      </c>
      <c r="B82" s="20"/>
      <c r="C82" s="20"/>
      <c r="D82" s="267" t="s">
        <v>801</v>
      </c>
      <c r="E82" s="20"/>
      <c r="F82" s="20"/>
      <c r="G82" s="267" t="s">
        <v>802</v>
      </c>
      <c r="H82" s="31" t="str">
        <f>'参照_仕様'!$C$24</f>
        <v>Demon of My Dreams (Masamune)</v>
      </c>
      <c r="I82" s="28" t="str">
        <f>VLOOKUP(H82,'参照_仕様'!$C$11:$E$31,3,0)</f>
        <v>戦国妖絵巻『鬼の彼に求められて…♡』</v>
      </c>
      <c r="J82" s="34" t="s">
        <v>67</v>
      </c>
      <c r="K82" s="34" t="s">
        <v>68</v>
      </c>
      <c r="L82" s="34" t="s">
        <v>69</v>
      </c>
      <c r="M82" s="35">
        <v>46064.0</v>
      </c>
      <c r="N82" s="261"/>
      <c r="O82" s="262"/>
      <c r="P82" s="262"/>
      <c r="Q82" s="262"/>
      <c r="R82" s="47"/>
      <c r="S82" s="47"/>
      <c r="T82" s="47"/>
    </row>
    <row r="83">
      <c r="A83" s="28">
        <f t="shared" si="1"/>
        <v>81</v>
      </c>
      <c r="B83" s="20"/>
      <c r="C83" s="21"/>
      <c r="D83" s="267" t="s">
        <v>803</v>
      </c>
      <c r="E83" s="20"/>
      <c r="F83" s="21"/>
      <c r="G83" s="267" t="s">
        <v>804</v>
      </c>
      <c r="H83" s="31"/>
      <c r="I83" s="28"/>
      <c r="J83" s="34" t="s">
        <v>67</v>
      </c>
      <c r="K83" s="34" t="s">
        <v>68</v>
      </c>
      <c r="L83" s="34" t="s">
        <v>69</v>
      </c>
      <c r="M83" s="35">
        <v>46064.0</v>
      </c>
      <c r="N83" s="261"/>
      <c r="O83" s="262"/>
      <c r="P83" s="262"/>
      <c r="Q83" s="262"/>
      <c r="R83" s="47"/>
      <c r="S83" s="47"/>
      <c r="T83" s="47"/>
    </row>
    <row r="84">
      <c r="A84" s="28">
        <f t="shared" si="1"/>
        <v>82</v>
      </c>
      <c r="B84" s="20"/>
      <c r="C84" s="91" t="s">
        <v>805</v>
      </c>
      <c r="D84" s="267" t="s">
        <v>806</v>
      </c>
      <c r="E84" s="20"/>
      <c r="F84" s="91" t="s">
        <v>807</v>
      </c>
      <c r="G84" s="267" t="s">
        <v>808</v>
      </c>
      <c r="H84" s="31"/>
      <c r="I84" s="263" t="s">
        <v>584</v>
      </c>
      <c r="J84" s="34" t="s">
        <v>67</v>
      </c>
      <c r="K84" s="34" t="s">
        <v>68</v>
      </c>
      <c r="L84" s="34" t="s">
        <v>69</v>
      </c>
      <c r="M84" s="35">
        <v>46062.0</v>
      </c>
      <c r="N84" s="264"/>
      <c r="O84" s="264"/>
      <c r="P84" s="265"/>
      <c r="Q84" s="265"/>
      <c r="R84" s="47"/>
      <c r="S84" s="47"/>
      <c r="T84" s="47"/>
    </row>
    <row r="85">
      <c r="A85" s="28">
        <f t="shared" si="1"/>
        <v>83</v>
      </c>
      <c r="B85" s="20"/>
      <c r="C85" s="21"/>
      <c r="D85" s="267" t="s">
        <v>809</v>
      </c>
      <c r="E85" s="20"/>
      <c r="F85" s="21"/>
      <c r="G85" s="267" t="s">
        <v>810</v>
      </c>
      <c r="H85" s="31"/>
      <c r="I85" s="266"/>
      <c r="J85" s="261"/>
      <c r="K85" s="262"/>
      <c r="L85" s="262"/>
      <c r="M85" s="262"/>
      <c r="N85" s="34" t="s">
        <v>67</v>
      </c>
      <c r="O85" s="28" t="s">
        <v>68</v>
      </c>
      <c r="P85" s="28" t="s">
        <v>69</v>
      </c>
      <c r="Q85" s="45" t="s">
        <v>76</v>
      </c>
      <c r="R85" s="47"/>
      <c r="S85" s="47"/>
      <c r="T85" s="47"/>
    </row>
    <row r="86">
      <c r="A86" s="28">
        <f t="shared" si="1"/>
        <v>84</v>
      </c>
      <c r="B86" s="21"/>
      <c r="C86" s="96" t="s">
        <v>812</v>
      </c>
      <c r="D86" s="267" t="s">
        <v>813</v>
      </c>
      <c r="E86" s="21"/>
      <c r="F86" s="96" t="s">
        <v>814</v>
      </c>
      <c r="G86" s="267" t="s">
        <v>815</v>
      </c>
      <c r="H86" s="31"/>
      <c r="I86" s="266"/>
      <c r="J86" s="261"/>
      <c r="K86" s="262"/>
      <c r="L86" s="262"/>
      <c r="M86" s="262"/>
      <c r="N86" s="34" t="s">
        <v>67</v>
      </c>
      <c r="O86" s="28" t="s">
        <v>68</v>
      </c>
      <c r="P86" s="28" t="s">
        <v>69</v>
      </c>
      <c r="Q86" s="45" t="s">
        <v>76</v>
      </c>
      <c r="R86" s="47"/>
      <c r="S86" s="47"/>
      <c r="T86" s="47"/>
    </row>
    <row r="87">
      <c r="A87" s="28">
        <f t="shared" si="1"/>
        <v>85</v>
      </c>
      <c r="B87" s="59" t="str">
        <f>'参照_仕様'!$D$25&amp;"
"&amp;'参照_仕様'!$E$25</f>
        <v>義元
戦国妖絵巻『龍の彼に求められて…♡』</v>
      </c>
      <c r="C87" s="62" t="s">
        <v>72</v>
      </c>
      <c r="D87" s="190" t="s">
        <v>799</v>
      </c>
      <c r="E87" s="59" t="str">
        <f>'参照_仕様'!$D$25&amp;"
"&amp;'参照_仕様'!$E$25</f>
        <v>義元
戦国妖絵巻『龍の彼に求められて…♡』</v>
      </c>
      <c r="F87" s="62" t="s">
        <v>74</v>
      </c>
      <c r="G87" s="190" t="s">
        <v>800</v>
      </c>
      <c r="H87" s="37" t="str">
        <f>'参照_仕様'!$D$25</f>
        <v>義元</v>
      </c>
      <c r="I87" s="28" t="str">
        <f t="array" ref="I87">LET(
_tmp, XLOOKUP($H87,'参照_仕様'!$D$11:$D$28,'参照_仕様'!$C$11:$C$28),
_tmp2, RIGHT(_tmp,LEN(_tmp)-30),
LEFT(_tmp2,LEN(_tmp2)-1)
)</f>
        <v>Yoshimoto</v>
      </c>
      <c r="J87" s="34" t="s">
        <v>67</v>
      </c>
      <c r="K87" s="34" t="s">
        <v>68</v>
      </c>
      <c r="L87" s="34" t="s">
        <v>69</v>
      </c>
      <c r="M87" s="35">
        <v>46062.0</v>
      </c>
      <c r="N87" s="261"/>
      <c r="O87" s="262"/>
      <c r="P87" s="262"/>
      <c r="Q87" s="262"/>
      <c r="R87" s="47"/>
      <c r="S87" s="47"/>
      <c r="T87" s="47"/>
    </row>
    <row r="88">
      <c r="A88" s="28">
        <f t="shared" si="1"/>
        <v>86</v>
      </c>
      <c r="B88" s="20"/>
      <c r="C88" s="20"/>
      <c r="D88" s="268" t="s">
        <v>801</v>
      </c>
      <c r="E88" s="20"/>
      <c r="F88" s="20"/>
      <c r="G88" s="268" t="s">
        <v>802</v>
      </c>
      <c r="H88" s="37" t="str">
        <f>'参照_仕様'!$C$25</f>
        <v>Demon of My Dreams (Yoshimoto)</v>
      </c>
      <c r="I88" s="28" t="str">
        <f>VLOOKUP(H88,'参照_仕様'!$C$11:$E$31,3,0)</f>
        <v>戦国妖絵巻『龍の彼に求められて…♡』</v>
      </c>
      <c r="J88" s="34" t="s">
        <v>67</v>
      </c>
      <c r="K88" s="34" t="s">
        <v>68</v>
      </c>
      <c r="L88" s="34" t="s">
        <v>69</v>
      </c>
      <c r="M88" s="35">
        <v>46064.0</v>
      </c>
      <c r="N88" s="261"/>
      <c r="O88" s="262"/>
      <c r="P88" s="262"/>
      <c r="Q88" s="262"/>
      <c r="R88" s="47"/>
      <c r="S88" s="47"/>
      <c r="T88" s="47"/>
    </row>
    <row r="89">
      <c r="A89" s="28">
        <f t="shared" si="1"/>
        <v>87</v>
      </c>
      <c r="B89" s="20"/>
      <c r="C89" s="21"/>
      <c r="D89" s="268" t="s">
        <v>803</v>
      </c>
      <c r="E89" s="20"/>
      <c r="F89" s="21"/>
      <c r="G89" s="268" t="s">
        <v>804</v>
      </c>
      <c r="H89" s="37"/>
      <c r="I89" s="28"/>
      <c r="J89" s="34" t="s">
        <v>67</v>
      </c>
      <c r="K89" s="34" t="s">
        <v>68</v>
      </c>
      <c r="L89" s="34" t="s">
        <v>69</v>
      </c>
      <c r="M89" s="35">
        <v>46064.0</v>
      </c>
      <c r="N89" s="261"/>
      <c r="O89" s="262"/>
      <c r="P89" s="262"/>
      <c r="Q89" s="262"/>
      <c r="R89" s="47"/>
      <c r="S89" s="47"/>
      <c r="T89" s="47"/>
    </row>
    <row r="90">
      <c r="A90" s="28">
        <f t="shared" si="1"/>
        <v>88</v>
      </c>
      <c r="B90" s="20"/>
      <c r="C90" s="91" t="s">
        <v>805</v>
      </c>
      <c r="D90" s="268" t="s">
        <v>806</v>
      </c>
      <c r="E90" s="20"/>
      <c r="F90" s="91" t="s">
        <v>807</v>
      </c>
      <c r="G90" s="268" t="s">
        <v>808</v>
      </c>
      <c r="H90" s="37"/>
      <c r="I90" s="263" t="s">
        <v>606</v>
      </c>
      <c r="J90" s="34" t="s">
        <v>67</v>
      </c>
      <c r="K90" s="34" t="s">
        <v>68</v>
      </c>
      <c r="L90" s="34" t="s">
        <v>69</v>
      </c>
      <c r="M90" s="35">
        <v>46062.0</v>
      </c>
      <c r="N90" s="264"/>
      <c r="O90" s="264"/>
      <c r="P90" s="265"/>
      <c r="Q90" s="265"/>
      <c r="R90" s="47"/>
      <c r="S90" s="47"/>
      <c r="T90" s="47"/>
    </row>
    <row r="91">
      <c r="A91" s="28">
        <f t="shared" si="1"/>
        <v>89</v>
      </c>
      <c r="B91" s="20"/>
      <c r="C91" s="21"/>
      <c r="D91" s="268" t="s">
        <v>809</v>
      </c>
      <c r="E91" s="20"/>
      <c r="F91" s="21"/>
      <c r="G91" s="268" t="s">
        <v>810</v>
      </c>
      <c r="H91" s="37"/>
      <c r="I91" s="266"/>
      <c r="J91" s="261"/>
      <c r="K91" s="262"/>
      <c r="L91" s="262"/>
      <c r="M91" s="262"/>
      <c r="N91" s="34" t="s">
        <v>67</v>
      </c>
      <c r="O91" s="28" t="s">
        <v>68</v>
      </c>
      <c r="P91" s="28" t="s">
        <v>69</v>
      </c>
      <c r="Q91" s="45" t="s">
        <v>76</v>
      </c>
      <c r="R91" s="47"/>
      <c r="S91" s="47"/>
      <c r="T91" s="47"/>
    </row>
    <row r="92">
      <c r="A92" s="28">
        <f t="shared" si="1"/>
        <v>90</v>
      </c>
      <c r="B92" s="21"/>
      <c r="C92" s="96" t="s">
        <v>812</v>
      </c>
      <c r="D92" s="268" t="s">
        <v>813</v>
      </c>
      <c r="E92" s="21"/>
      <c r="F92" s="96" t="s">
        <v>814</v>
      </c>
      <c r="G92" s="268" t="s">
        <v>815</v>
      </c>
      <c r="H92" s="37"/>
      <c r="I92" s="266"/>
      <c r="J92" s="261"/>
      <c r="K92" s="262"/>
      <c r="L92" s="262"/>
      <c r="M92" s="262"/>
      <c r="N92" s="34" t="s">
        <v>67</v>
      </c>
      <c r="O92" s="28" t="s">
        <v>68</v>
      </c>
      <c r="P92" s="28" t="s">
        <v>69</v>
      </c>
      <c r="Q92" s="45" t="s">
        <v>76</v>
      </c>
      <c r="R92" s="47"/>
      <c r="S92" s="47"/>
      <c r="T92" s="47"/>
    </row>
    <row r="93">
      <c r="A93" s="28">
        <f t="shared" si="1"/>
        <v>91</v>
      </c>
      <c r="B93" s="29" t="str">
        <f>'参照_仕様'!$D$26&amp;"
"&amp;'参照_仕様'!$E$26</f>
        <v>元就
戦国妖絵巻『吸血鬼の彼に求められて…♡』</v>
      </c>
      <c r="C93" s="62" t="s">
        <v>72</v>
      </c>
      <c r="D93" s="187" t="s">
        <v>799</v>
      </c>
      <c r="E93" s="29" t="str">
        <f>'参照_仕様'!$D$26&amp;"
"&amp;'参照_仕様'!$E$26</f>
        <v>元就
戦国妖絵巻『吸血鬼の彼に求められて…♡』</v>
      </c>
      <c r="F93" s="62" t="s">
        <v>74</v>
      </c>
      <c r="G93" s="187" t="s">
        <v>800</v>
      </c>
      <c r="H93" s="31" t="str">
        <f>'参照_仕様'!$D$26</f>
        <v>元就</v>
      </c>
      <c r="I93" s="28" t="str">
        <f t="array" ref="I93">LET(
_tmp, XLOOKUP($H93,'参照_仕様'!$D$11:$D$28,'参照_仕様'!$C$11:$C$28),
_tmp2, RIGHT(_tmp,LEN(_tmp)-30),
LEFT(_tmp2,LEN(_tmp2)-1)
)</f>
        <v>Motonari</v>
      </c>
      <c r="J93" s="34" t="s">
        <v>67</v>
      </c>
      <c r="K93" s="34" t="s">
        <v>68</v>
      </c>
      <c r="L93" s="34" t="s">
        <v>69</v>
      </c>
      <c r="M93" s="35">
        <v>46062.0</v>
      </c>
      <c r="N93" s="261"/>
      <c r="O93" s="262"/>
      <c r="P93" s="262"/>
      <c r="Q93" s="262"/>
      <c r="R93" s="47"/>
      <c r="S93" s="47"/>
      <c r="T93" s="47"/>
    </row>
    <row r="94">
      <c r="A94" s="28">
        <f t="shared" si="1"/>
        <v>92</v>
      </c>
      <c r="B94" s="20"/>
      <c r="C94" s="20"/>
      <c r="D94" s="267" t="s">
        <v>801</v>
      </c>
      <c r="E94" s="20"/>
      <c r="F94" s="20"/>
      <c r="G94" s="267" t="s">
        <v>802</v>
      </c>
      <c r="H94" s="31" t="str">
        <f>'参照_仕様'!$C$26</f>
        <v>Demon of My Dreams (Motonari)</v>
      </c>
      <c r="I94" s="28" t="str">
        <f>VLOOKUP(H94,'参照_仕様'!$C$11:$E$31,3,0)</f>
        <v>戦国妖絵巻『吸血鬼の彼に求められて…♡』</v>
      </c>
      <c r="J94" s="34" t="s">
        <v>67</v>
      </c>
      <c r="K94" s="34" t="s">
        <v>68</v>
      </c>
      <c r="L94" s="34" t="s">
        <v>69</v>
      </c>
      <c r="M94" s="35">
        <v>46064.0</v>
      </c>
      <c r="N94" s="261"/>
      <c r="O94" s="262"/>
      <c r="P94" s="262"/>
      <c r="Q94" s="262"/>
      <c r="R94" s="47"/>
      <c r="S94" s="47"/>
      <c r="T94" s="47"/>
    </row>
    <row r="95">
      <c r="A95" s="28">
        <f t="shared" si="1"/>
        <v>93</v>
      </c>
      <c r="B95" s="20"/>
      <c r="C95" s="21"/>
      <c r="D95" s="267" t="s">
        <v>803</v>
      </c>
      <c r="E95" s="20"/>
      <c r="F95" s="21"/>
      <c r="G95" s="267" t="s">
        <v>804</v>
      </c>
      <c r="H95" s="31"/>
      <c r="I95" s="28"/>
      <c r="J95" s="34" t="s">
        <v>67</v>
      </c>
      <c r="K95" s="34" t="s">
        <v>68</v>
      </c>
      <c r="L95" s="34" t="s">
        <v>69</v>
      </c>
      <c r="M95" s="35">
        <v>46064.0</v>
      </c>
      <c r="N95" s="261"/>
      <c r="O95" s="262"/>
      <c r="P95" s="262"/>
      <c r="Q95" s="262"/>
      <c r="R95" s="47"/>
      <c r="S95" s="47"/>
      <c r="T95" s="47"/>
    </row>
    <row r="96">
      <c r="A96" s="28">
        <f t="shared" si="1"/>
        <v>94</v>
      </c>
      <c r="B96" s="20"/>
      <c r="C96" s="91" t="s">
        <v>805</v>
      </c>
      <c r="D96" s="267" t="s">
        <v>806</v>
      </c>
      <c r="E96" s="20"/>
      <c r="F96" s="91" t="s">
        <v>807</v>
      </c>
      <c r="G96" s="267" t="s">
        <v>808</v>
      </c>
      <c r="H96" s="31"/>
      <c r="I96" s="263" t="s">
        <v>608</v>
      </c>
      <c r="J96" s="34" t="s">
        <v>67</v>
      </c>
      <c r="K96" s="34" t="s">
        <v>68</v>
      </c>
      <c r="L96" s="34" t="s">
        <v>69</v>
      </c>
      <c r="M96" s="35">
        <v>46062.0</v>
      </c>
      <c r="N96" s="264"/>
      <c r="O96" s="264"/>
      <c r="P96" s="265"/>
      <c r="Q96" s="265"/>
      <c r="R96" s="47"/>
      <c r="S96" s="47"/>
      <c r="T96" s="47"/>
    </row>
    <row r="97">
      <c r="A97" s="28">
        <f t="shared" si="1"/>
        <v>95</v>
      </c>
      <c r="B97" s="20"/>
      <c r="C97" s="21"/>
      <c r="D97" s="267" t="s">
        <v>809</v>
      </c>
      <c r="E97" s="20"/>
      <c r="F97" s="21"/>
      <c r="G97" s="267" t="s">
        <v>810</v>
      </c>
      <c r="H97" s="31"/>
      <c r="I97" s="266"/>
      <c r="J97" s="261"/>
      <c r="K97" s="262"/>
      <c r="L97" s="262"/>
      <c r="M97" s="262"/>
      <c r="N97" s="34" t="s">
        <v>67</v>
      </c>
      <c r="O97" s="28" t="s">
        <v>68</v>
      </c>
      <c r="P97" s="28" t="s">
        <v>69</v>
      </c>
      <c r="Q97" s="45" t="s">
        <v>76</v>
      </c>
      <c r="R97" s="47"/>
      <c r="S97" s="47"/>
      <c r="T97" s="47"/>
    </row>
    <row r="98">
      <c r="A98" s="28">
        <f t="shared" si="1"/>
        <v>96</v>
      </c>
      <c r="B98" s="21"/>
      <c r="C98" s="96" t="s">
        <v>812</v>
      </c>
      <c r="D98" s="267" t="s">
        <v>813</v>
      </c>
      <c r="E98" s="21"/>
      <c r="F98" s="96" t="s">
        <v>814</v>
      </c>
      <c r="G98" s="267" t="s">
        <v>815</v>
      </c>
      <c r="H98" s="31"/>
      <c r="I98" s="266"/>
      <c r="J98" s="261"/>
      <c r="K98" s="262"/>
      <c r="L98" s="262"/>
      <c r="M98" s="262"/>
      <c r="N98" s="34" t="s">
        <v>67</v>
      </c>
      <c r="O98" s="28" t="s">
        <v>68</v>
      </c>
      <c r="P98" s="28" t="s">
        <v>69</v>
      </c>
      <c r="Q98" s="45" t="s">
        <v>76</v>
      </c>
      <c r="R98" s="47"/>
      <c r="S98" s="47"/>
      <c r="T98" s="47"/>
    </row>
    <row r="99">
      <c r="A99" s="28">
        <f t="shared" si="1"/>
        <v>97</v>
      </c>
      <c r="B99" s="59" t="str">
        <f>'参照_仕様'!$D$27&amp;"
"&amp;'参照_仕様'!$E$27</f>
        <v>兼続
戦国妖絵巻『龍の彼に求められて…♡』</v>
      </c>
      <c r="C99" s="62" t="s">
        <v>72</v>
      </c>
      <c r="D99" s="190" t="s">
        <v>799</v>
      </c>
      <c r="E99" s="59" t="str">
        <f>'参照_仕様'!$D$27&amp;"
"&amp;'参照_仕様'!$E$27</f>
        <v>兼続
戦国妖絵巻『龍の彼に求められて…♡』</v>
      </c>
      <c r="F99" s="62" t="s">
        <v>74</v>
      </c>
      <c r="G99" s="190" t="s">
        <v>800</v>
      </c>
      <c r="H99" s="37" t="str">
        <f>'参照_仕様'!$D$27</f>
        <v>兼続</v>
      </c>
      <c r="I99" s="28" t="str">
        <f t="array" ref="I99">LET(
_tmp, XLOOKUP($H99,'参照_仕様'!$D$11:$D$28,'参照_仕様'!$C$11:$C$28),
_tmp2, RIGHT(_tmp,LEN(_tmp)-30),
LEFT(_tmp2,LEN(_tmp2)-1)
)</f>
        <v>Kanetsugu</v>
      </c>
      <c r="J99" s="34" t="s">
        <v>67</v>
      </c>
      <c r="K99" s="34" t="s">
        <v>68</v>
      </c>
      <c r="L99" s="34" t="s">
        <v>69</v>
      </c>
      <c r="M99" s="35">
        <v>46062.0</v>
      </c>
      <c r="N99" s="261"/>
      <c r="O99" s="262"/>
      <c r="P99" s="262"/>
      <c r="Q99" s="262"/>
      <c r="R99" s="47"/>
      <c r="S99" s="47"/>
      <c r="T99" s="47"/>
    </row>
    <row r="100">
      <c r="A100" s="28">
        <f t="shared" si="1"/>
        <v>98</v>
      </c>
      <c r="B100" s="20"/>
      <c r="C100" s="20"/>
      <c r="D100" s="268" t="s">
        <v>801</v>
      </c>
      <c r="E100" s="20"/>
      <c r="F100" s="20"/>
      <c r="G100" s="268" t="s">
        <v>802</v>
      </c>
      <c r="H100" s="37" t="str">
        <f>'参照_仕様'!$C$27</f>
        <v>Demon of My Dreams (Kanetsugu)</v>
      </c>
      <c r="I100" s="28" t="str">
        <f>VLOOKUP(H100,'参照_仕様'!$C$11:$E$31,3,0)</f>
        <v>戦国妖絵巻『龍の彼に求められて…♡』</v>
      </c>
      <c r="J100" s="34" t="s">
        <v>67</v>
      </c>
      <c r="K100" s="34" t="s">
        <v>68</v>
      </c>
      <c r="L100" s="34" t="s">
        <v>69</v>
      </c>
      <c r="M100" s="35">
        <v>46064.0</v>
      </c>
      <c r="N100" s="261"/>
      <c r="O100" s="262"/>
      <c r="P100" s="262"/>
      <c r="Q100" s="262"/>
      <c r="R100" s="47"/>
      <c r="S100" s="47"/>
      <c r="T100" s="47"/>
    </row>
    <row r="101">
      <c r="A101" s="28">
        <f t="shared" si="1"/>
        <v>99</v>
      </c>
      <c r="B101" s="20"/>
      <c r="C101" s="21"/>
      <c r="D101" s="268" t="s">
        <v>803</v>
      </c>
      <c r="E101" s="20"/>
      <c r="F101" s="21"/>
      <c r="G101" s="268" t="s">
        <v>804</v>
      </c>
      <c r="H101" s="37"/>
      <c r="I101" s="28"/>
      <c r="J101" s="34" t="s">
        <v>67</v>
      </c>
      <c r="K101" s="34" t="s">
        <v>68</v>
      </c>
      <c r="L101" s="34" t="s">
        <v>69</v>
      </c>
      <c r="M101" s="35">
        <v>46064.0</v>
      </c>
      <c r="N101" s="261"/>
      <c r="O101" s="262"/>
      <c r="P101" s="262"/>
      <c r="Q101" s="262"/>
      <c r="R101" s="47"/>
      <c r="S101" s="47"/>
      <c r="T101" s="47"/>
    </row>
    <row r="102">
      <c r="A102" s="28">
        <f t="shared" si="1"/>
        <v>100</v>
      </c>
      <c r="B102" s="20"/>
      <c r="C102" s="91" t="s">
        <v>805</v>
      </c>
      <c r="D102" s="268" t="s">
        <v>806</v>
      </c>
      <c r="E102" s="20"/>
      <c r="F102" s="91" t="s">
        <v>807</v>
      </c>
      <c r="G102" s="268" t="s">
        <v>808</v>
      </c>
      <c r="H102" s="37"/>
      <c r="I102" s="263" t="s">
        <v>816</v>
      </c>
      <c r="J102" s="34" t="s">
        <v>67</v>
      </c>
      <c r="K102" s="34" t="s">
        <v>68</v>
      </c>
      <c r="L102" s="34" t="s">
        <v>69</v>
      </c>
      <c r="M102" s="35">
        <v>46062.0</v>
      </c>
      <c r="N102" s="264"/>
      <c r="O102" s="264"/>
      <c r="P102" s="265"/>
      <c r="Q102" s="265"/>
      <c r="R102" s="47"/>
      <c r="S102" s="47"/>
      <c r="T102" s="47"/>
    </row>
    <row r="103">
      <c r="A103" s="28">
        <f t="shared" si="1"/>
        <v>101</v>
      </c>
      <c r="B103" s="20"/>
      <c r="C103" s="21"/>
      <c r="D103" s="268" t="s">
        <v>809</v>
      </c>
      <c r="E103" s="20"/>
      <c r="F103" s="21"/>
      <c r="G103" s="268" t="s">
        <v>810</v>
      </c>
      <c r="H103" s="37"/>
      <c r="I103" s="266"/>
      <c r="J103" s="261"/>
      <c r="K103" s="262"/>
      <c r="L103" s="262"/>
      <c r="M103" s="262"/>
      <c r="N103" s="34" t="s">
        <v>67</v>
      </c>
      <c r="O103" s="28" t="s">
        <v>68</v>
      </c>
      <c r="P103" s="28" t="s">
        <v>69</v>
      </c>
      <c r="Q103" s="45" t="s">
        <v>76</v>
      </c>
      <c r="R103" s="47"/>
      <c r="S103" s="47"/>
      <c r="T103" s="47"/>
    </row>
    <row r="104">
      <c r="A104" s="28">
        <f t="shared" si="1"/>
        <v>102</v>
      </c>
      <c r="B104" s="21"/>
      <c r="C104" s="96" t="s">
        <v>812</v>
      </c>
      <c r="D104" s="268" t="s">
        <v>813</v>
      </c>
      <c r="E104" s="21"/>
      <c r="F104" s="96" t="s">
        <v>814</v>
      </c>
      <c r="G104" s="268" t="s">
        <v>815</v>
      </c>
      <c r="H104" s="37"/>
      <c r="I104" s="266"/>
      <c r="J104" s="261"/>
      <c r="K104" s="262"/>
      <c r="L104" s="262"/>
      <c r="M104" s="262"/>
      <c r="N104" s="34" t="s">
        <v>67</v>
      </c>
      <c r="O104" s="28" t="s">
        <v>68</v>
      </c>
      <c r="P104" s="28" t="s">
        <v>69</v>
      </c>
      <c r="Q104" s="45" t="s">
        <v>76</v>
      </c>
      <c r="R104" s="47"/>
      <c r="S104" s="47"/>
      <c r="T104" s="47"/>
    </row>
    <row r="105">
      <c r="A105" s="28">
        <f t="shared" si="1"/>
        <v>103</v>
      </c>
      <c r="B105" s="29" t="str">
        <f>'参照_仕様'!$D$28&amp;"
"&amp;'参照_仕様'!$E$28</f>
        <v>帰蝶
戦国妖絵巻『吸血鬼の彼に求められて…♡』</v>
      </c>
      <c r="C105" s="62" t="s">
        <v>72</v>
      </c>
      <c r="D105" s="187" t="s">
        <v>799</v>
      </c>
      <c r="E105" s="29" t="str">
        <f>'参照_仕様'!$D$28&amp;"
"&amp;'参照_仕様'!$E$28</f>
        <v>帰蝶
戦国妖絵巻『吸血鬼の彼に求められて…♡』</v>
      </c>
      <c r="F105" s="62" t="s">
        <v>74</v>
      </c>
      <c r="G105" s="187" t="s">
        <v>800</v>
      </c>
      <c r="H105" s="31" t="str">
        <f>'参照_仕様'!$D$28</f>
        <v>帰蝶</v>
      </c>
      <c r="I105" s="28" t="str">
        <f t="array" ref="I105">LET(
_tmp, XLOOKUP($H105,'参照_仕様'!$D$11:$D$28,'参照_仕様'!$C$11:$C$28),
_tmp2, RIGHT(_tmp,LEN(_tmp)-30),
LEFT(_tmp2,LEN(_tmp2)-1)
)</f>
        <v>Kicho</v>
      </c>
      <c r="J105" s="34" t="s">
        <v>67</v>
      </c>
      <c r="K105" s="34" t="s">
        <v>68</v>
      </c>
      <c r="L105" s="34" t="s">
        <v>69</v>
      </c>
      <c r="M105" s="35">
        <v>46062.0</v>
      </c>
      <c r="N105" s="261"/>
      <c r="O105" s="262"/>
      <c r="P105" s="262"/>
      <c r="Q105" s="262"/>
      <c r="R105" s="47"/>
      <c r="S105" s="47"/>
      <c r="T105" s="47"/>
    </row>
    <row r="106">
      <c r="A106" s="28">
        <f t="shared" si="1"/>
        <v>104</v>
      </c>
      <c r="B106" s="20"/>
      <c r="C106" s="20"/>
      <c r="D106" s="267" t="s">
        <v>801</v>
      </c>
      <c r="E106" s="20"/>
      <c r="F106" s="20"/>
      <c r="G106" s="267" t="s">
        <v>802</v>
      </c>
      <c r="H106" s="31" t="str">
        <f>'参照_仕様'!$C$28</f>
        <v>Demon of My Dreams (Kicho)</v>
      </c>
      <c r="I106" s="28" t="str">
        <f>VLOOKUP(H106,'参照_仕様'!$C$11:$E$31,3,0)</f>
        <v>戦国妖絵巻『吸血鬼の彼に求められて…♡』</v>
      </c>
      <c r="J106" s="34" t="s">
        <v>67</v>
      </c>
      <c r="K106" s="34" t="s">
        <v>68</v>
      </c>
      <c r="L106" s="34" t="s">
        <v>69</v>
      </c>
      <c r="M106" s="35">
        <v>46064.0</v>
      </c>
      <c r="N106" s="261"/>
      <c r="O106" s="262"/>
      <c r="P106" s="262"/>
      <c r="Q106" s="262"/>
      <c r="R106" s="47"/>
      <c r="S106" s="47"/>
      <c r="T106" s="47"/>
    </row>
    <row r="107">
      <c r="A107" s="28">
        <f t="shared" si="1"/>
        <v>105</v>
      </c>
      <c r="B107" s="20"/>
      <c r="C107" s="21"/>
      <c r="D107" s="267" t="s">
        <v>803</v>
      </c>
      <c r="E107" s="20"/>
      <c r="F107" s="21"/>
      <c r="G107" s="267" t="s">
        <v>804</v>
      </c>
      <c r="H107" s="31"/>
      <c r="I107" s="28"/>
      <c r="J107" s="34" t="s">
        <v>67</v>
      </c>
      <c r="K107" s="34" t="s">
        <v>68</v>
      </c>
      <c r="L107" s="34" t="s">
        <v>69</v>
      </c>
      <c r="M107" s="35">
        <v>46064.0</v>
      </c>
      <c r="N107" s="261"/>
      <c r="O107" s="262"/>
      <c r="P107" s="262"/>
      <c r="Q107" s="262"/>
      <c r="R107" s="47"/>
      <c r="S107" s="47"/>
      <c r="T107" s="47"/>
    </row>
    <row r="108">
      <c r="A108" s="28">
        <f t="shared" si="1"/>
        <v>106</v>
      </c>
      <c r="B108" s="20"/>
      <c r="C108" s="91" t="s">
        <v>805</v>
      </c>
      <c r="D108" s="267" t="s">
        <v>806</v>
      </c>
      <c r="E108" s="20"/>
      <c r="F108" s="91" t="s">
        <v>807</v>
      </c>
      <c r="G108" s="267" t="s">
        <v>808</v>
      </c>
      <c r="H108" s="31"/>
      <c r="I108" s="263" t="s">
        <v>529</v>
      </c>
      <c r="J108" s="34" t="s">
        <v>67</v>
      </c>
      <c r="K108" s="34" t="s">
        <v>68</v>
      </c>
      <c r="L108" s="34" t="s">
        <v>69</v>
      </c>
      <c r="M108" s="35">
        <v>46062.0</v>
      </c>
      <c r="N108" s="264"/>
      <c r="O108" s="264"/>
      <c r="P108" s="265"/>
      <c r="Q108" s="265"/>
      <c r="R108" s="47"/>
      <c r="S108" s="47"/>
      <c r="T108" s="47"/>
    </row>
    <row r="109">
      <c r="A109" s="28">
        <f t="shared" si="1"/>
        <v>107</v>
      </c>
      <c r="B109" s="20"/>
      <c r="C109" s="21"/>
      <c r="D109" s="267" t="s">
        <v>809</v>
      </c>
      <c r="E109" s="20"/>
      <c r="F109" s="21"/>
      <c r="G109" s="267" t="s">
        <v>810</v>
      </c>
      <c r="H109" s="31"/>
      <c r="I109" s="266"/>
      <c r="J109" s="261"/>
      <c r="K109" s="262"/>
      <c r="L109" s="262"/>
      <c r="M109" s="262"/>
      <c r="N109" s="34" t="s">
        <v>67</v>
      </c>
      <c r="O109" s="28" t="s">
        <v>68</v>
      </c>
      <c r="P109" s="28" t="s">
        <v>69</v>
      </c>
      <c r="Q109" s="45" t="s">
        <v>76</v>
      </c>
      <c r="R109" s="47"/>
      <c r="S109" s="47"/>
      <c r="T109" s="47"/>
    </row>
    <row r="110" collapsed="1">
      <c r="A110" s="28">
        <f t="shared" si="1"/>
        <v>108</v>
      </c>
      <c r="B110" s="21"/>
      <c r="C110" s="96" t="s">
        <v>812</v>
      </c>
      <c r="D110" s="267" t="s">
        <v>813</v>
      </c>
      <c r="E110" s="21"/>
      <c r="F110" s="96" t="s">
        <v>814</v>
      </c>
      <c r="G110" s="267" t="s">
        <v>815</v>
      </c>
      <c r="H110" s="31"/>
      <c r="I110" s="266"/>
      <c r="J110" s="261"/>
      <c r="K110" s="262"/>
      <c r="L110" s="262"/>
      <c r="M110" s="262"/>
      <c r="N110" s="34" t="s">
        <v>67</v>
      </c>
      <c r="O110" s="28" t="s">
        <v>68</v>
      </c>
      <c r="P110" s="28" t="s">
        <v>69</v>
      </c>
      <c r="Q110" s="45" t="s">
        <v>76</v>
      </c>
      <c r="R110" s="47"/>
      <c r="S110" s="47"/>
      <c r="T110" s="47"/>
    </row>
    <row r="111" hidden="1" outlineLevel="1">
      <c r="A111" s="28">
        <f t="shared" si="1"/>
        <v>109</v>
      </c>
      <c r="B111" s="59" t="str">
        <f>'参照_仕様'!$D$29&amp;"
"&amp;'参照_仕様'!$E$29</f>
        <v>共通
恋遊戯『戦国妖絵巻』</v>
      </c>
      <c r="C111" s="62" t="s">
        <v>72</v>
      </c>
      <c r="D111" s="190" t="s">
        <v>799</v>
      </c>
      <c r="E111" s="59" t="str">
        <f>'参照_仕様'!$D$29&amp;"
"&amp;'参照_仕様'!$E$29</f>
        <v>共通
恋遊戯『戦国妖絵巻』</v>
      </c>
      <c r="F111" s="62" t="s">
        <v>74</v>
      </c>
      <c r="G111" s="190" t="s">
        <v>800</v>
      </c>
      <c r="H111" s="37" t="str">
        <f>'参照_仕様'!$D$29</f>
        <v>共通</v>
      </c>
      <c r="I111" s="28"/>
      <c r="J111" s="34" t="s">
        <v>67</v>
      </c>
      <c r="K111" s="34" t="s">
        <v>68</v>
      </c>
      <c r="L111" s="34" t="s">
        <v>69</v>
      </c>
      <c r="M111" s="35">
        <v>46064.0</v>
      </c>
      <c r="N111" s="261"/>
      <c r="O111" s="262"/>
      <c r="P111" s="262"/>
      <c r="Q111" s="262"/>
      <c r="R111" s="47"/>
      <c r="S111" s="47"/>
      <c r="T111" s="47"/>
    </row>
    <row r="112" hidden="1" outlineLevel="1">
      <c r="A112" s="28">
        <f t="shared" si="1"/>
        <v>110</v>
      </c>
      <c r="B112" s="20"/>
      <c r="C112" s="20"/>
      <c r="D112" s="268" t="s">
        <v>801</v>
      </c>
      <c r="E112" s="20"/>
      <c r="F112" s="20"/>
      <c r="G112" s="268" t="s">
        <v>802</v>
      </c>
      <c r="H112" s="37" t="str">
        <f>'参照_仕様'!$C$29</f>
        <v>Demon of My Dreams</v>
      </c>
      <c r="I112" s="28"/>
      <c r="J112" s="34" t="s">
        <v>67</v>
      </c>
      <c r="K112" s="34" t="s">
        <v>68</v>
      </c>
      <c r="L112" s="34" t="s">
        <v>69</v>
      </c>
      <c r="M112" s="35">
        <v>46064.0</v>
      </c>
      <c r="N112" s="261"/>
      <c r="O112" s="262"/>
      <c r="P112" s="262"/>
      <c r="Q112" s="262"/>
      <c r="R112" s="47"/>
      <c r="S112" s="47"/>
      <c r="T112" s="47"/>
    </row>
    <row r="113" hidden="1" outlineLevel="1">
      <c r="A113" s="28">
        <f t="shared" si="1"/>
        <v>111</v>
      </c>
      <c r="B113" s="20"/>
      <c r="C113" s="21"/>
      <c r="D113" s="268" t="s">
        <v>803</v>
      </c>
      <c r="E113" s="20"/>
      <c r="F113" s="21"/>
      <c r="G113" s="268" t="s">
        <v>804</v>
      </c>
      <c r="H113" s="37"/>
      <c r="I113" s="28"/>
      <c r="J113" s="34" t="s">
        <v>67</v>
      </c>
      <c r="K113" s="34" t="s">
        <v>68</v>
      </c>
      <c r="L113" s="34" t="s">
        <v>69</v>
      </c>
      <c r="M113" s="35">
        <v>46064.0</v>
      </c>
      <c r="N113" s="34" t="s">
        <v>67</v>
      </c>
      <c r="O113" s="28" t="s">
        <v>68</v>
      </c>
      <c r="P113" s="28" t="s">
        <v>69</v>
      </c>
      <c r="Q113" s="45" t="s">
        <v>76</v>
      </c>
      <c r="R113" s="47"/>
      <c r="S113" s="47"/>
      <c r="T113" s="47"/>
    </row>
    <row r="114" hidden="1" outlineLevel="1">
      <c r="A114" s="28">
        <f t="shared" si="1"/>
        <v>112</v>
      </c>
      <c r="B114" s="20"/>
      <c r="C114" s="91" t="s">
        <v>805</v>
      </c>
      <c r="D114" s="268" t="s">
        <v>806</v>
      </c>
      <c r="E114" s="20"/>
      <c r="F114" s="91" t="s">
        <v>807</v>
      </c>
      <c r="G114" s="268" t="s">
        <v>808</v>
      </c>
      <c r="H114" s="37"/>
      <c r="I114" s="270"/>
      <c r="J114" s="34"/>
      <c r="K114" s="34"/>
      <c r="L114" s="34"/>
      <c r="M114" s="35"/>
      <c r="N114" s="264"/>
      <c r="O114" s="264"/>
      <c r="P114" s="265"/>
      <c r="Q114" s="265"/>
      <c r="R114" s="47"/>
      <c r="S114" s="47"/>
      <c r="T114" s="47"/>
    </row>
    <row r="115" hidden="1" outlineLevel="1">
      <c r="A115" s="28">
        <f t="shared" si="1"/>
        <v>113</v>
      </c>
      <c r="B115" s="20"/>
      <c r="C115" s="21"/>
      <c r="D115" s="268" t="s">
        <v>809</v>
      </c>
      <c r="E115" s="20"/>
      <c r="F115" s="21"/>
      <c r="G115" s="268" t="s">
        <v>810</v>
      </c>
      <c r="H115" s="37"/>
      <c r="I115" s="266"/>
      <c r="J115" s="261"/>
      <c r="K115" s="262"/>
      <c r="L115" s="262"/>
      <c r="M115" s="262"/>
      <c r="N115" s="34" t="s">
        <v>67</v>
      </c>
      <c r="O115" s="28" t="s">
        <v>68</v>
      </c>
      <c r="P115" s="28" t="s">
        <v>69</v>
      </c>
      <c r="Q115" s="45" t="s">
        <v>76</v>
      </c>
      <c r="R115" s="47"/>
      <c r="S115" s="47"/>
      <c r="T115" s="47"/>
    </row>
    <row r="116" hidden="1" outlineLevel="1">
      <c r="A116" s="28">
        <f t="shared" si="1"/>
        <v>114</v>
      </c>
      <c r="B116" s="21"/>
      <c r="C116" s="96" t="s">
        <v>812</v>
      </c>
      <c r="D116" s="268" t="s">
        <v>813</v>
      </c>
      <c r="E116" s="21"/>
      <c r="F116" s="96" t="s">
        <v>814</v>
      </c>
      <c r="G116" s="268" t="s">
        <v>815</v>
      </c>
      <c r="H116" s="37"/>
      <c r="I116" s="266"/>
      <c r="J116" s="261"/>
      <c r="K116" s="262"/>
      <c r="L116" s="262"/>
      <c r="M116" s="262"/>
      <c r="N116" s="34" t="s">
        <v>67</v>
      </c>
      <c r="O116" s="28" t="s">
        <v>68</v>
      </c>
      <c r="P116" s="28" t="s">
        <v>69</v>
      </c>
      <c r="Q116" s="45" t="s">
        <v>76</v>
      </c>
      <c r="R116" s="47"/>
      <c r="S116" s="47"/>
      <c r="T116" s="47"/>
    </row>
    <row r="117" hidden="1" outlineLevel="1">
      <c r="A117" s="28">
        <f t="shared" si="1"/>
        <v>115</v>
      </c>
      <c r="B117" s="29" t="str">
        <f>'参照_仕様'!$D$30&amp;"
"&amp;'参照_仕様'!$E$30</f>
        <v>共通
戦国妖絵巻～今宵、夢で逢いましょう～前編</v>
      </c>
      <c r="C117" s="62" t="s">
        <v>72</v>
      </c>
      <c r="D117" s="187" t="s">
        <v>799</v>
      </c>
      <c r="E117" s="29" t="str">
        <f>'参照_仕様'!$D$30&amp;"
"&amp;'参照_仕様'!$E$30</f>
        <v>共通
戦国妖絵巻～今宵、夢で逢いましょう～前編</v>
      </c>
      <c r="F117" s="62" t="s">
        <v>74</v>
      </c>
      <c r="G117" s="187" t="s">
        <v>800</v>
      </c>
      <c r="H117" s="31" t="str">
        <f>'参照_仕様'!$D$30</f>
        <v>共通</v>
      </c>
      <c r="I117" s="28"/>
      <c r="J117" s="34" t="s">
        <v>67</v>
      </c>
      <c r="K117" s="34" t="s">
        <v>68</v>
      </c>
      <c r="L117" s="34" t="s">
        <v>69</v>
      </c>
      <c r="M117" s="35">
        <v>46064.0</v>
      </c>
      <c r="N117" s="261"/>
      <c r="O117" s="262"/>
      <c r="P117" s="262"/>
      <c r="Q117" s="262"/>
      <c r="R117" s="47"/>
      <c r="S117" s="47"/>
      <c r="T117" s="47"/>
    </row>
    <row r="118" hidden="1" outlineLevel="1">
      <c r="A118" s="28">
        <f t="shared" si="1"/>
        <v>116</v>
      </c>
      <c r="B118" s="20"/>
      <c r="C118" s="20"/>
      <c r="D118" s="267" t="s">
        <v>801</v>
      </c>
      <c r="E118" s="20"/>
      <c r="F118" s="20"/>
      <c r="G118" s="267" t="s">
        <v>802</v>
      </c>
      <c r="H118" s="31" t="str">
        <f>'参照_仕様'!$C$30</f>
        <v>Let's Meet in a Dream Part1</v>
      </c>
      <c r="I118" s="28"/>
      <c r="J118" s="34" t="s">
        <v>67</v>
      </c>
      <c r="K118" s="34" t="s">
        <v>68</v>
      </c>
      <c r="L118" s="34" t="s">
        <v>69</v>
      </c>
      <c r="M118" s="35">
        <v>46064.0</v>
      </c>
      <c r="N118" s="261"/>
      <c r="O118" s="262"/>
      <c r="P118" s="262"/>
      <c r="Q118" s="262"/>
      <c r="R118" s="47"/>
      <c r="S118" s="47"/>
      <c r="T118" s="47"/>
    </row>
    <row r="119" hidden="1" outlineLevel="1">
      <c r="A119" s="28">
        <f t="shared" si="1"/>
        <v>117</v>
      </c>
      <c r="B119" s="20"/>
      <c r="C119" s="21"/>
      <c r="D119" s="267" t="s">
        <v>803</v>
      </c>
      <c r="E119" s="20"/>
      <c r="F119" s="21"/>
      <c r="G119" s="267" t="s">
        <v>804</v>
      </c>
      <c r="H119" s="31"/>
      <c r="I119" s="28"/>
      <c r="J119" s="34" t="s">
        <v>67</v>
      </c>
      <c r="K119" s="34" t="s">
        <v>68</v>
      </c>
      <c r="L119" s="34" t="s">
        <v>69</v>
      </c>
      <c r="M119" s="35">
        <v>46064.0</v>
      </c>
      <c r="N119" s="34" t="s">
        <v>67</v>
      </c>
      <c r="O119" s="28" t="s">
        <v>68</v>
      </c>
      <c r="P119" s="28" t="s">
        <v>69</v>
      </c>
      <c r="Q119" s="45" t="s">
        <v>76</v>
      </c>
      <c r="R119" s="47"/>
      <c r="S119" s="47"/>
      <c r="T119" s="47"/>
    </row>
    <row r="120" hidden="1" outlineLevel="1">
      <c r="A120" s="28">
        <f t="shared" si="1"/>
        <v>118</v>
      </c>
      <c r="B120" s="20"/>
      <c r="C120" s="91" t="s">
        <v>805</v>
      </c>
      <c r="D120" s="267" t="s">
        <v>806</v>
      </c>
      <c r="E120" s="20"/>
      <c r="F120" s="91" t="s">
        <v>807</v>
      </c>
      <c r="G120" s="267" t="s">
        <v>808</v>
      </c>
      <c r="H120" s="31"/>
      <c r="I120" s="270"/>
      <c r="J120" s="34"/>
      <c r="K120" s="34"/>
      <c r="L120" s="34"/>
      <c r="M120" s="35"/>
      <c r="N120" s="264"/>
      <c r="O120" s="264"/>
      <c r="P120" s="265"/>
      <c r="Q120" s="265"/>
      <c r="R120" s="47"/>
      <c r="S120" s="47"/>
      <c r="T120" s="47"/>
    </row>
    <row r="121" hidden="1" outlineLevel="1">
      <c r="A121" s="28">
        <f t="shared" si="1"/>
        <v>119</v>
      </c>
      <c r="B121" s="20"/>
      <c r="C121" s="21"/>
      <c r="D121" s="267" t="s">
        <v>809</v>
      </c>
      <c r="E121" s="20"/>
      <c r="F121" s="21"/>
      <c r="G121" s="267" t="s">
        <v>810</v>
      </c>
      <c r="H121" s="31"/>
      <c r="I121" s="266"/>
      <c r="J121" s="261"/>
      <c r="K121" s="262"/>
      <c r="L121" s="262"/>
      <c r="M121" s="262"/>
      <c r="N121" s="34" t="s">
        <v>67</v>
      </c>
      <c r="O121" s="28" t="s">
        <v>68</v>
      </c>
      <c r="P121" s="28" t="s">
        <v>69</v>
      </c>
      <c r="Q121" s="45" t="s">
        <v>76</v>
      </c>
      <c r="R121" s="47"/>
      <c r="S121" s="47"/>
      <c r="T121" s="47"/>
    </row>
    <row r="122" hidden="1" outlineLevel="1">
      <c r="A122" s="28">
        <f t="shared" si="1"/>
        <v>120</v>
      </c>
      <c r="B122" s="21"/>
      <c r="C122" s="96" t="s">
        <v>812</v>
      </c>
      <c r="D122" s="267" t="s">
        <v>813</v>
      </c>
      <c r="E122" s="21"/>
      <c r="F122" s="96" t="s">
        <v>814</v>
      </c>
      <c r="G122" s="267" t="s">
        <v>815</v>
      </c>
      <c r="H122" s="31"/>
      <c r="I122" s="266"/>
      <c r="J122" s="261"/>
      <c r="K122" s="262"/>
      <c r="L122" s="262"/>
      <c r="M122" s="262"/>
      <c r="N122" s="34" t="s">
        <v>67</v>
      </c>
      <c r="O122" s="28" t="s">
        <v>68</v>
      </c>
      <c r="P122" s="28" t="s">
        <v>69</v>
      </c>
      <c r="Q122" s="45" t="s">
        <v>76</v>
      </c>
      <c r="R122" s="47"/>
      <c r="S122" s="47"/>
      <c r="T122" s="47"/>
    </row>
    <row r="123" hidden="1" outlineLevel="1">
      <c r="A123" s="28">
        <f t="shared" si="1"/>
        <v>121</v>
      </c>
      <c r="B123" s="59" t="str">
        <f>'参照_仕様'!$D$31&amp;"
"&amp;'参照_仕様'!$E$31</f>
        <v>共通
戦国妖絵巻～今宵、夢で逢いましょう～後編</v>
      </c>
      <c r="C123" s="62" t="s">
        <v>72</v>
      </c>
      <c r="D123" s="190" t="s">
        <v>799</v>
      </c>
      <c r="E123" s="59" t="str">
        <f>'参照_仕様'!$D$31&amp;"
"&amp;'参照_仕様'!$E$31</f>
        <v>共通
戦国妖絵巻～今宵、夢で逢いましょう～後編</v>
      </c>
      <c r="F123" s="62" t="s">
        <v>74</v>
      </c>
      <c r="G123" s="190" t="s">
        <v>800</v>
      </c>
      <c r="H123" s="37" t="str">
        <f>'参照_仕様'!$D$31</f>
        <v>共通</v>
      </c>
      <c r="I123" s="28"/>
      <c r="J123" s="34" t="s">
        <v>67</v>
      </c>
      <c r="K123" s="34" t="s">
        <v>68</v>
      </c>
      <c r="L123" s="34" t="s">
        <v>69</v>
      </c>
      <c r="M123" s="35">
        <v>46064.0</v>
      </c>
      <c r="N123" s="261"/>
      <c r="O123" s="262"/>
      <c r="P123" s="262"/>
      <c r="Q123" s="262"/>
      <c r="R123" s="47"/>
      <c r="S123" s="47"/>
      <c r="T123" s="47"/>
    </row>
    <row r="124" hidden="1" outlineLevel="1">
      <c r="A124" s="28">
        <f t="shared" si="1"/>
        <v>122</v>
      </c>
      <c r="B124" s="20"/>
      <c r="C124" s="20"/>
      <c r="D124" s="268" t="s">
        <v>801</v>
      </c>
      <c r="E124" s="20"/>
      <c r="F124" s="20"/>
      <c r="G124" s="268" t="s">
        <v>802</v>
      </c>
      <c r="H124" s="37" t="str">
        <f>'参照_仕様'!$C$31</f>
        <v>Let's Meet in a Dream Part2</v>
      </c>
      <c r="I124" s="28"/>
      <c r="J124" s="34" t="s">
        <v>67</v>
      </c>
      <c r="K124" s="34" t="s">
        <v>68</v>
      </c>
      <c r="L124" s="34" t="s">
        <v>69</v>
      </c>
      <c r="M124" s="35">
        <v>46064.0</v>
      </c>
      <c r="N124" s="261"/>
      <c r="O124" s="262"/>
      <c r="P124" s="262"/>
      <c r="Q124" s="262"/>
      <c r="R124" s="47"/>
      <c r="S124" s="47"/>
      <c r="T124" s="47"/>
    </row>
    <row r="125" hidden="1" outlineLevel="1">
      <c r="A125" s="28">
        <f t="shared" si="1"/>
        <v>123</v>
      </c>
      <c r="B125" s="20"/>
      <c r="C125" s="21"/>
      <c r="D125" s="268" t="s">
        <v>803</v>
      </c>
      <c r="E125" s="20"/>
      <c r="F125" s="21"/>
      <c r="G125" s="268" t="s">
        <v>804</v>
      </c>
      <c r="H125" s="37"/>
      <c r="I125" s="28"/>
      <c r="J125" s="34" t="s">
        <v>67</v>
      </c>
      <c r="K125" s="34" t="s">
        <v>68</v>
      </c>
      <c r="L125" s="34" t="s">
        <v>69</v>
      </c>
      <c r="M125" s="35">
        <v>46064.0</v>
      </c>
      <c r="N125" s="34" t="s">
        <v>67</v>
      </c>
      <c r="O125" s="28" t="s">
        <v>68</v>
      </c>
      <c r="P125" s="28" t="s">
        <v>69</v>
      </c>
      <c r="Q125" s="45" t="s">
        <v>76</v>
      </c>
      <c r="R125" s="47"/>
      <c r="S125" s="47"/>
      <c r="T125" s="47"/>
    </row>
    <row r="126" hidden="1" outlineLevel="1">
      <c r="A126" s="28">
        <f t="shared" si="1"/>
        <v>124</v>
      </c>
      <c r="B126" s="20"/>
      <c r="C126" s="91" t="s">
        <v>805</v>
      </c>
      <c r="D126" s="268" t="s">
        <v>806</v>
      </c>
      <c r="E126" s="20"/>
      <c r="F126" s="91" t="s">
        <v>807</v>
      </c>
      <c r="G126" s="268" t="s">
        <v>808</v>
      </c>
      <c r="H126" s="37"/>
      <c r="I126" s="270"/>
      <c r="J126" s="34"/>
      <c r="K126" s="34"/>
      <c r="L126" s="34"/>
      <c r="M126" s="35"/>
      <c r="N126" s="264"/>
      <c r="O126" s="264"/>
      <c r="P126" s="265"/>
      <c r="Q126" s="265"/>
      <c r="R126" s="47"/>
      <c r="S126" s="47"/>
      <c r="T126" s="47"/>
    </row>
    <row r="127" hidden="1" outlineLevel="1">
      <c r="A127" s="28">
        <f t="shared" si="1"/>
        <v>125</v>
      </c>
      <c r="B127" s="20"/>
      <c r="C127" s="21"/>
      <c r="D127" s="268" t="s">
        <v>809</v>
      </c>
      <c r="E127" s="20"/>
      <c r="F127" s="21"/>
      <c r="G127" s="268" t="s">
        <v>810</v>
      </c>
      <c r="H127" s="37"/>
      <c r="I127" s="266"/>
      <c r="J127" s="261"/>
      <c r="K127" s="262"/>
      <c r="L127" s="262"/>
      <c r="M127" s="262"/>
      <c r="N127" s="34" t="s">
        <v>67</v>
      </c>
      <c r="O127" s="28" t="s">
        <v>68</v>
      </c>
      <c r="P127" s="28" t="s">
        <v>69</v>
      </c>
      <c r="Q127" s="45" t="s">
        <v>76</v>
      </c>
      <c r="R127" s="47"/>
      <c r="S127" s="47"/>
      <c r="T127" s="47"/>
    </row>
    <row r="128" hidden="1" outlineLevel="1">
      <c r="A128" s="28">
        <f t="shared" si="1"/>
        <v>126</v>
      </c>
      <c r="B128" s="21"/>
      <c r="C128" s="96" t="s">
        <v>812</v>
      </c>
      <c r="D128" s="268" t="s">
        <v>813</v>
      </c>
      <c r="E128" s="21"/>
      <c r="F128" s="96" t="s">
        <v>814</v>
      </c>
      <c r="G128" s="268" t="s">
        <v>815</v>
      </c>
      <c r="H128" s="37"/>
      <c r="I128" s="266"/>
      <c r="J128" s="261"/>
      <c r="K128" s="262"/>
      <c r="L128" s="262"/>
      <c r="M128" s="262"/>
      <c r="N128" s="34" t="s">
        <v>67</v>
      </c>
      <c r="O128" s="28" t="s">
        <v>68</v>
      </c>
      <c r="P128" s="28" t="s">
        <v>69</v>
      </c>
      <c r="Q128" s="45" t="s">
        <v>76</v>
      </c>
      <c r="R128" s="47"/>
      <c r="S128" s="47"/>
      <c r="T128" s="47"/>
    </row>
    <row r="129">
      <c r="A129" s="28">
        <f t="shared" si="1"/>
        <v>127</v>
      </c>
      <c r="B129" s="29" t="s">
        <v>817</v>
      </c>
      <c r="C129" s="73" t="s">
        <v>72</v>
      </c>
      <c r="D129" s="187" t="s">
        <v>803</v>
      </c>
      <c r="E129" s="29" t="s">
        <v>817</v>
      </c>
      <c r="F129" s="73" t="s">
        <v>74</v>
      </c>
      <c r="G129" s="187" t="s">
        <v>804</v>
      </c>
      <c r="H129" s="29" t="str">
        <f>'参照_概要'!B36</f>
        <v>開催告知</v>
      </c>
      <c r="I129" s="28"/>
      <c r="J129" s="34" t="s">
        <v>67</v>
      </c>
      <c r="K129" s="34" t="s">
        <v>68</v>
      </c>
      <c r="L129" s="34" t="s">
        <v>69</v>
      </c>
      <c r="M129" s="35">
        <v>46064.0</v>
      </c>
      <c r="N129" s="261"/>
      <c r="O129" s="262"/>
      <c r="P129" s="262"/>
      <c r="Q129" s="262"/>
      <c r="R129" s="47"/>
      <c r="S129" s="47"/>
      <c r="T129" s="47"/>
    </row>
    <row r="130">
      <c r="A130" s="28">
        <f t="shared" si="1"/>
        <v>128</v>
      </c>
      <c r="B130" s="20"/>
      <c r="C130" s="91" t="s">
        <v>818</v>
      </c>
      <c r="D130" s="187" t="s">
        <v>806</v>
      </c>
      <c r="E130" s="20"/>
      <c r="F130" s="91" t="s">
        <v>819</v>
      </c>
      <c r="G130" s="187" t="s">
        <v>808</v>
      </c>
      <c r="H130" s="20"/>
      <c r="I130" s="263" t="s">
        <v>820</v>
      </c>
      <c r="J130" s="34" t="s">
        <v>67</v>
      </c>
      <c r="K130" s="34" t="s">
        <v>68</v>
      </c>
      <c r="L130" s="34" t="s">
        <v>69</v>
      </c>
      <c r="M130" s="35">
        <v>46062.0</v>
      </c>
      <c r="N130" s="261"/>
      <c r="O130" s="262"/>
      <c r="P130" s="262"/>
      <c r="Q130" s="262"/>
      <c r="R130" s="47"/>
      <c r="S130" s="47"/>
      <c r="T130" s="47"/>
    </row>
    <row r="131">
      <c r="A131" s="28">
        <f t="shared" si="1"/>
        <v>129</v>
      </c>
      <c r="B131" s="20"/>
      <c r="C131" s="21"/>
      <c r="D131" s="267" t="s">
        <v>809</v>
      </c>
      <c r="E131" s="20"/>
      <c r="F131" s="21"/>
      <c r="G131" s="267" t="s">
        <v>810</v>
      </c>
      <c r="H131" s="20"/>
      <c r="I131" s="266"/>
      <c r="J131" s="261"/>
      <c r="K131" s="262"/>
      <c r="L131" s="262"/>
      <c r="M131" s="262"/>
      <c r="N131" s="34" t="s">
        <v>67</v>
      </c>
      <c r="O131" s="28" t="s">
        <v>68</v>
      </c>
      <c r="P131" s="28" t="s">
        <v>69</v>
      </c>
      <c r="Q131" s="45" t="s">
        <v>76</v>
      </c>
      <c r="R131" s="47"/>
      <c r="S131" s="47"/>
      <c r="T131" s="47"/>
    </row>
    <row r="132">
      <c r="A132" s="28">
        <f t="shared" si="1"/>
        <v>130</v>
      </c>
      <c r="B132" s="20"/>
      <c r="C132" s="96" t="s">
        <v>821</v>
      </c>
      <c r="D132" s="267" t="s">
        <v>813</v>
      </c>
      <c r="E132" s="20"/>
      <c r="F132" s="96" t="s">
        <v>822</v>
      </c>
      <c r="G132" s="267" t="s">
        <v>815</v>
      </c>
      <c r="H132" s="21"/>
      <c r="I132" s="266"/>
      <c r="J132" s="261"/>
      <c r="K132" s="262"/>
      <c r="L132" s="262"/>
      <c r="M132" s="262"/>
      <c r="N132" s="34" t="s">
        <v>67</v>
      </c>
      <c r="O132" s="28" t="s">
        <v>68</v>
      </c>
      <c r="P132" s="28" t="s">
        <v>69</v>
      </c>
      <c r="Q132" s="45" t="s">
        <v>76</v>
      </c>
      <c r="R132" s="47"/>
      <c r="S132" s="47"/>
      <c r="T132" s="47"/>
    </row>
    <row r="133">
      <c r="A133" s="28">
        <f t="shared" si="1"/>
        <v>131</v>
      </c>
      <c r="B133" s="20"/>
      <c r="C133" s="73" t="s">
        <v>72</v>
      </c>
      <c r="D133" s="190" t="s">
        <v>803</v>
      </c>
      <c r="E133" s="20"/>
      <c r="F133" s="73" t="s">
        <v>74</v>
      </c>
      <c r="G133" s="190" t="s">
        <v>804</v>
      </c>
      <c r="H133" s="59" t="str">
        <f>'参照_概要'!B37</f>
        <v>ランキング応援セット発売</v>
      </c>
      <c r="I133" s="28"/>
      <c r="J133" s="34" t="s">
        <v>67</v>
      </c>
      <c r="K133" s="34" t="s">
        <v>68</v>
      </c>
      <c r="L133" s="34" t="s">
        <v>69</v>
      </c>
      <c r="M133" s="35">
        <v>46064.0</v>
      </c>
      <c r="N133" s="261"/>
      <c r="O133" s="262"/>
      <c r="P133" s="262"/>
      <c r="Q133" s="262"/>
      <c r="R133" s="47"/>
      <c r="S133" s="47"/>
      <c r="T133" s="47"/>
    </row>
    <row r="134">
      <c r="A134" s="28">
        <f t="shared" si="1"/>
        <v>132</v>
      </c>
      <c r="B134" s="20"/>
      <c r="C134" s="91" t="s">
        <v>818</v>
      </c>
      <c r="D134" s="190" t="s">
        <v>806</v>
      </c>
      <c r="E134" s="20"/>
      <c r="F134" s="91" t="s">
        <v>819</v>
      </c>
      <c r="G134" s="190" t="s">
        <v>808</v>
      </c>
      <c r="H134" s="20"/>
      <c r="I134" s="263" t="s">
        <v>820</v>
      </c>
      <c r="J134" s="34" t="s">
        <v>67</v>
      </c>
      <c r="K134" s="34" t="s">
        <v>68</v>
      </c>
      <c r="L134" s="34" t="s">
        <v>69</v>
      </c>
      <c r="M134" s="35">
        <v>46062.0</v>
      </c>
      <c r="N134" s="261"/>
      <c r="O134" s="262"/>
      <c r="P134" s="262"/>
      <c r="Q134" s="262"/>
      <c r="R134" s="47"/>
      <c r="S134" s="47"/>
      <c r="T134" s="47"/>
    </row>
    <row r="135">
      <c r="A135" s="28">
        <f t="shared" si="1"/>
        <v>133</v>
      </c>
      <c r="B135" s="20"/>
      <c r="C135" s="21"/>
      <c r="D135" s="268" t="s">
        <v>809</v>
      </c>
      <c r="E135" s="20"/>
      <c r="F135" s="21"/>
      <c r="G135" s="268" t="s">
        <v>810</v>
      </c>
      <c r="H135" s="20"/>
      <c r="I135" s="266"/>
      <c r="J135" s="261"/>
      <c r="K135" s="262"/>
      <c r="L135" s="262"/>
      <c r="M135" s="262"/>
      <c r="N135" s="34" t="s">
        <v>67</v>
      </c>
      <c r="O135" s="28" t="s">
        <v>68</v>
      </c>
      <c r="P135" s="28" t="s">
        <v>69</v>
      </c>
      <c r="Q135" s="45" t="s">
        <v>76</v>
      </c>
      <c r="R135" s="47"/>
      <c r="S135" s="47"/>
      <c r="T135" s="47"/>
    </row>
    <row r="136">
      <c r="A136" s="28">
        <f t="shared" si="1"/>
        <v>134</v>
      </c>
      <c r="B136" s="21"/>
      <c r="C136" s="96" t="s">
        <v>821</v>
      </c>
      <c r="D136" s="268" t="s">
        <v>813</v>
      </c>
      <c r="E136" s="21"/>
      <c r="F136" s="96" t="s">
        <v>822</v>
      </c>
      <c r="G136" s="268" t="s">
        <v>815</v>
      </c>
      <c r="H136" s="21"/>
      <c r="I136" s="266"/>
      <c r="J136" s="261"/>
      <c r="K136" s="262"/>
      <c r="L136" s="262"/>
      <c r="M136" s="262"/>
      <c r="N136" s="34" t="s">
        <v>67</v>
      </c>
      <c r="O136" s="28" t="s">
        <v>68</v>
      </c>
      <c r="P136" s="28" t="s">
        <v>69</v>
      </c>
      <c r="Q136" s="45" t="s">
        <v>76</v>
      </c>
      <c r="R136" s="47"/>
      <c r="S136" s="47"/>
      <c r="T136" s="47"/>
    </row>
  </sheetData>
  <customSheetViews>
    <customSheetView guid="{1ABAEFC5-7779-47AF-8E40-B46656CFF8B1}" filter="1" showAutoFilter="1">
      <autoFilter ref="$A$1:$T$136">
        <filterColumn colId="13">
          <colorFilter dxfId="2"/>
        </filterColumn>
      </autoFilter>
    </customSheetView>
  </customSheetViews>
  <mergeCells count="147">
    <mergeCell ref="H1:H2"/>
    <mergeCell ref="J1:M1"/>
    <mergeCell ref="N1:Q1"/>
    <mergeCell ref="R1:R2"/>
    <mergeCell ref="S1:S2"/>
    <mergeCell ref="T1:T2"/>
    <mergeCell ref="C6:C7"/>
    <mergeCell ref="F6:F7"/>
    <mergeCell ref="A1:A2"/>
    <mergeCell ref="B1:B2"/>
    <mergeCell ref="D1:D2"/>
    <mergeCell ref="E1:E2"/>
    <mergeCell ref="G1:G2"/>
    <mergeCell ref="B3:B8"/>
    <mergeCell ref="E3:E8"/>
    <mergeCell ref="B15:B20"/>
    <mergeCell ref="B21:B26"/>
    <mergeCell ref="C21:C23"/>
    <mergeCell ref="C24:C25"/>
    <mergeCell ref="C1:C2"/>
    <mergeCell ref="C3:C5"/>
    <mergeCell ref="B9:B14"/>
    <mergeCell ref="C9:C11"/>
    <mergeCell ref="C12:C13"/>
    <mergeCell ref="C15:C17"/>
    <mergeCell ref="C18:C19"/>
    <mergeCell ref="F21:F23"/>
    <mergeCell ref="F24:F25"/>
    <mergeCell ref="B27:B32"/>
    <mergeCell ref="B33:B38"/>
    <mergeCell ref="B39:B44"/>
    <mergeCell ref="B45:B50"/>
    <mergeCell ref="B51:B56"/>
    <mergeCell ref="B57:B62"/>
    <mergeCell ref="B63:B68"/>
    <mergeCell ref="B111:B116"/>
    <mergeCell ref="B117:B122"/>
    <mergeCell ref="B123:B128"/>
    <mergeCell ref="B129:B136"/>
    <mergeCell ref="B69:B74"/>
    <mergeCell ref="B75:B80"/>
    <mergeCell ref="B81:B86"/>
    <mergeCell ref="B87:B92"/>
    <mergeCell ref="B93:B98"/>
    <mergeCell ref="B99:B104"/>
    <mergeCell ref="B105:B110"/>
    <mergeCell ref="C33:C35"/>
    <mergeCell ref="C36:C37"/>
    <mergeCell ref="C39:C41"/>
    <mergeCell ref="C42:C43"/>
    <mergeCell ref="C45:C47"/>
    <mergeCell ref="C48:C49"/>
    <mergeCell ref="C51:C53"/>
    <mergeCell ref="C81:C83"/>
    <mergeCell ref="C87:C89"/>
    <mergeCell ref="C93:C95"/>
    <mergeCell ref="C99:C101"/>
    <mergeCell ref="C105:C107"/>
    <mergeCell ref="C111:C113"/>
    <mergeCell ref="C117:C119"/>
    <mergeCell ref="C54:C55"/>
    <mergeCell ref="C57:C59"/>
    <mergeCell ref="C60:C61"/>
    <mergeCell ref="C63:C65"/>
    <mergeCell ref="C66:C67"/>
    <mergeCell ref="C69:C71"/>
    <mergeCell ref="C72:C73"/>
    <mergeCell ref="F57:F59"/>
    <mergeCell ref="F60:F61"/>
    <mergeCell ref="F63:F65"/>
    <mergeCell ref="F66:F67"/>
    <mergeCell ref="F69:F71"/>
    <mergeCell ref="F72:F73"/>
    <mergeCell ref="F75:F77"/>
    <mergeCell ref="H129:H132"/>
    <mergeCell ref="F130:F131"/>
    <mergeCell ref="H133:H136"/>
    <mergeCell ref="F134:F135"/>
    <mergeCell ref="F78:F79"/>
    <mergeCell ref="F81:F83"/>
    <mergeCell ref="F84:F85"/>
    <mergeCell ref="F87:F89"/>
    <mergeCell ref="F90:F91"/>
    <mergeCell ref="F93:F95"/>
    <mergeCell ref="F96:F97"/>
    <mergeCell ref="C114:C115"/>
    <mergeCell ref="C120:C121"/>
    <mergeCell ref="C123:C125"/>
    <mergeCell ref="C75:C77"/>
    <mergeCell ref="C78:C79"/>
    <mergeCell ref="C84:C85"/>
    <mergeCell ref="C90:C91"/>
    <mergeCell ref="C96:C97"/>
    <mergeCell ref="C102:C103"/>
    <mergeCell ref="C108:C109"/>
    <mergeCell ref="F1:F2"/>
    <mergeCell ref="F3:F5"/>
    <mergeCell ref="E9:E14"/>
    <mergeCell ref="F9:F11"/>
    <mergeCell ref="F12:F13"/>
    <mergeCell ref="F15:F17"/>
    <mergeCell ref="F18:F19"/>
    <mergeCell ref="E15:E20"/>
    <mergeCell ref="E21:E26"/>
    <mergeCell ref="C27:C29"/>
    <mergeCell ref="F27:F29"/>
    <mergeCell ref="C30:C31"/>
    <mergeCell ref="F30:F31"/>
    <mergeCell ref="F33:F35"/>
    <mergeCell ref="F36:F37"/>
    <mergeCell ref="F39:F41"/>
    <mergeCell ref="F42:F43"/>
    <mergeCell ref="F45:F47"/>
    <mergeCell ref="F48:F49"/>
    <mergeCell ref="F51:F53"/>
    <mergeCell ref="F54:F55"/>
    <mergeCell ref="E27:E32"/>
    <mergeCell ref="E33:E38"/>
    <mergeCell ref="E39:E44"/>
    <mergeCell ref="E45:E50"/>
    <mergeCell ref="E51:E56"/>
    <mergeCell ref="E57:E62"/>
    <mergeCell ref="E63:E68"/>
    <mergeCell ref="E111:E116"/>
    <mergeCell ref="E117:E122"/>
    <mergeCell ref="E123:E128"/>
    <mergeCell ref="E129:E136"/>
    <mergeCell ref="E69:E74"/>
    <mergeCell ref="E75:E80"/>
    <mergeCell ref="E81:E86"/>
    <mergeCell ref="E87:E92"/>
    <mergeCell ref="E93:E98"/>
    <mergeCell ref="E99:E104"/>
    <mergeCell ref="E105:E110"/>
    <mergeCell ref="F120:F121"/>
    <mergeCell ref="F123:F125"/>
    <mergeCell ref="C126:C127"/>
    <mergeCell ref="F126:F127"/>
    <mergeCell ref="C130:C131"/>
    <mergeCell ref="C134:C135"/>
    <mergeCell ref="F99:F101"/>
    <mergeCell ref="F102:F103"/>
    <mergeCell ref="F105:F107"/>
    <mergeCell ref="F108:F109"/>
    <mergeCell ref="F111:F113"/>
    <mergeCell ref="F114:F115"/>
    <mergeCell ref="F117:F119"/>
  </mergeCells>
  <hyperlinks>
    <hyperlink r:id="rId1" ref="I6"/>
    <hyperlink r:id="rId2" ref="I12"/>
    <hyperlink r:id="rId3" ref="I18"/>
    <hyperlink r:id="rId4" ref="I24"/>
    <hyperlink r:id="rId5" ref="I30"/>
    <hyperlink r:id="rId6" ref="I36"/>
    <hyperlink r:id="rId7" ref="I42"/>
    <hyperlink r:id="rId8" ref="I48"/>
    <hyperlink r:id="rId9" ref="I54"/>
    <hyperlink r:id="rId10" ref="I60"/>
    <hyperlink r:id="rId11" ref="I66"/>
    <hyperlink r:id="rId12" ref="I72"/>
    <hyperlink r:id="rId13" ref="I78"/>
    <hyperlink r:id="rId14" ref="I84"/>
    <hyperlink r:id="rId15" ref="I90"/>
    <hyperlink r:id="rId16" ref="I96"/>
    <hyperlink r:id="rId17" ref="I102"/>
    <hyperlink r:id="rId18" ref="I108"/>
    <hyperlink r:id="rId19" ref="I130"/>
    <hyperlink r:id="rId20" ref="I134"/>
  </hyperlinks>
  <printOptions/>
  <pageMargins bottom="0.75" footer="0.0" header="0.0" left="0.7" right="0.7" top="0.75"/>
  <pageSetup orientation="landscape"/>
  <drawing r:id="rId2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outlineLevelCol="1"/>
  <cols>
    <col collapsed="1" customWidth="1" min="1" max="1" width="4.43"/>
    <col customWidth="1" hidden="1" min="2" max="2" width="28.71" outlineLevel="1"/>
    <col collapsed="1" customWidth="1" min="3" max="3" width="17.29"/>
    <col customWidth="1" hidden="1" min="4" max="4" width="43.0" outlineLevel="1"/>
    <col collapsed="1" customWidth="1" min="5" max="5" width="28.71"/>
    <col customWidth="1" hidden="1" min="6" max="6" width="17.29" outlineLevel="1"/>
    <col customWidth="1" min="7" max="7" width="43.0"/>
    <col customWidth="1" min="8" max="8" width="35.86"/>
    <col customWidth="1" min="9" max="9" width="34.86" outlineLevel="1"/>
    <col customWidth="1" min="10" max="10" width="8.71" outlineLevel="1"/>
    <col collapsed="1" customWidth="1" min="11" max="11" width="8.71"/>
    <col customWidth="1" hidden="1" min="12" max="15" width="8.71" outlineLevel="1"/>
    <col customWidth="1" min="16" max="20" width="8.71"/>
    <col customWidth="1" min="21" max="22" width="28.71"/>
  </cols>
  <sheetData>
    <row r="1">
      <c r="A1" s="22" t="s">
        <v>47</v>
      </c>
      <c r="B1" s="22" t="s">
        <v>768</v>
      </c>
      <c r="C1" s="22" t="s">
        <v>49</v>
      </c>
      <c r="D1" s="22" t="s">
        <v>50</v>
      </c>
      <c r="E1" s="23" t="s">
        <v>768</v>
      </c>
      <c r="F1" s="23" t="s">
        <v>49</v>
      </c>
      <c r="G1" s="23" t="s">
        <v>50</v>
      </c>
      <c r="H1" s="22" t="s">
        <v>770</v>
      </c>
      <c r="I1" s="258" t="s">
        <v>823</v>
      </c>
      <c r="J1" s="271"/>
      <c r="K1" s="271"/>
      <c r="L1" s="24" t="s">
        <v>52</v>
      </c>
      <c r="M1" s="8"/>
      <c r="N1" s="8"/>
      <c r="O1" s="9"/>
      <c r="P1" s="25" t="s">
        <v>53</v>
      </c>
      <c r="Q1" s="8"/>
      <c r="R1" s="8"/>
      <c r="S1" s="9"/>
      <c r="T1" s="22" t="s">
        <v>54</v>
      </c>
      <c r="U1" s="22" t="s">
        <v>55</v>
      </c>
      <c r="V1" s="22" t="s">
        <v>56</v>
      </c>
    </row>
    <row r="2">
      <c r="A2" s="21"/>
      <c r="B2" s="21"/>
      <c r="C2" s="21"/>
      <c r="D2" s="21"/>
      <c r="E2" s="21"/>
      <c r="F2" s="21"/>
      <c r="G2" s="21"/>
      <c r="H2" s="21"/>
      <c r="I2" s="260"/>
      <c r="J2" s="169" t="s">
        <v>25</v>
      </c>
      <c r="K2" s="169" t="s">
        <v>820</v>
      </c>
      <c r="L2" s="26" t="s">
        <v>57</v>
      </c>
      <c r="M2" s="27" t="s">
        <v>58</v>
      </c>
      <c r="N2" s="27" t="s">
        <v>59</v>
      </c>
      <c r="O2" s="26" t="s">
        <v>60</v>
      </c>
      <c r="P2" s="26" t="s">
        <v>57</v>
      </c>
      <c r="Q2" s="27" t="s">
        <v>58</v>
      </c>
      <c r="R2" s="26" t="s">
        <v>59</v>
      </c>
      <c r="S2" s="26" t="s">
        <v>60</v>
      </c>
      <c r="T2" s="21"/>
      <c r="U2" s="21"/>
      <c r="V2" s="21"/>
    </row>
    <row r="3">
      <c r="A3" s="28">
        <f t="shared" ref="A3:A157" si="1">ROW()-2</f>
        <v>1</v>
      </c>
      <c r="B3" s="59" t="str">
        <f>'参照_特典詳細'!C5</f>
        <v>夜を練り歩く義元</v>
      </c>
      <c r="C3" s="272" t="s">
        <v>72</v>
      </c>
      <c r="D3" s="47" t="s">
        <v>824</v>
      </c>
      <c r="E3" s="59" t="str">
        <f>'参照_特典詳細'!C5</f>
        <v>夜を練り歩く義元</v>
      </c>
      <c r="F3" s="272" t="s">
        <v>74</v>
      </c>
      <c r="G3" s="47" t="s">
        <v>825</v>
      </c>
      <c r="H3" s="37"/>
      <c r="I3" s="28" t="str">
        <f t="array" ref="I3:I157">IF(LEN(E3:E157),
VLOOKUP(E3:E157,'参照_特典詳細'!$C$5:$G$50,2,0),
)</f>
        <v>Yoshimoto with a Lantern</v>
      </c>
      <c r="J3" s="34" t="str">
        <f t="array" ref="J3:J157">IF(LEN(E3:E157),VLOOKUP(E3:E157,'参照_特典詳細'!$C$5:$G$55,5,0),)</f>
        <v>6_1_3882</v>
      </c>
      <c r="K3" s="273" t="str">
        <f t="array" ref="K3:K157">IF(LEN(J3:J157), HYPERLINK("https://common-legacy-app-admin.us.ikemen-sengoku.jp/admin/avatar/material_list/"&amp;J3:J157,"Search"),)</f>
        <v>Search</v>
      </c>
      <c r="L3" s="34" t="s">
        <v>67</v>
      </c>
      <c r="M3" s="34" t="s">
        <v>68</v>
      </c>
      <c r="N3" s="34" t="s">
        <v>69</v>
      </c>
      <c r="O3" s="35">
        <v>46064.0</v>
      </c>
      <c r="P3" s="34" t="s">
        <v>67</v>
      </c>
      <c r="Q3" s="28" t="str">
        <f t="array" ref="Q3:S157">IF(P3:P157="OK",{"IW","Bill","2/12"},)</f>
        <v>IW</v>
      </c>
      <c r="R3" s="28" t="s">
        <v>69</v>
      </c>
      <c r="S3" s="45" t="s">
        <v>76</v>
      </c>
      <c r="T3" s="37"/>
      <c r="U3" s="37"/>
      <c r="V3" s="37"/>
    </row>
    <row r="4">
      <c r="A4" s="28">
        <f t="shared" si="1"/>
        <v>2</v>
      </c>
      <c r="B4" s="20"/>
      <c r="C4" s="259"/>
      <c r="D4" s="225" t="s">
        <v>826</v>
      </c>
      <c r="E4" s="20"/>
      <c r="F4" s="259"/>
      <c r="G4" s="225" t="s">
        <v>827</v>
      </c>
      <c r="H4" s="37"/>
      <c r="I4" s="28"/>
      <c r="J4" s="34"/>
      <c r="K4" s="20"/>
      <c r="L4" s="34" t="s">
        <v>67</v>
      </c>
      <c r="M4" s="34" t="s">
        <v>68</v>
      </c>
      <c r="N4" s="34" t="s">
        <v>69</v>
      </c>
      <c r="O4" s="35">
        <v>46064.0</v>
      </c>
      <c r="P4" s="34" t="s">
        <v>67</v>
      </c>
      <c r="Q4" s="28" t="s">
        <v>68</v>
      </c>
      <c r="R4" s="28" t="s">
        <v>69</v>
      </c>
      <c r="S4" s="45" t="s">
        <v>76</v>
      </c>
      <c r="T4" s="47"/>
      <c r="U4" s="47"/>
      <c r="V4" s="47"/>
    </row>
    <row r="5">
      <c r="A5" s="28">
        <f t="shared" si="1"/>
        <v>3</v>
      </c>
      <c r="B5" s="20"/>
      <c r="C5" s="274" t="s">
        <v>828</v>
      </c>
      <c r="D5" s="225" t="s">
        <v>829</v>
      </c>
      <c r="E5" s="20"/>
      <c r="F5" s="274" t="s">
        <v>830</v>
      </c>
      <c r="G5" s="225" t="s">
        <v>831</v>
      </c>
      <c r="H5" s="37" t="str">
        <f>'参照_特典詳細'!$D$5</f>
        <v>Yoshimoto with a Lantern</v>
      </c>
      <c r="I5" s="34"/>
      <c r="J5" s="34"/>
      <c r="K5" s="20"/>
      <c r="L5" s="34" t="s">
        <v>67</v>
      </c>
      <c r="M5" s="34" t="s">
        <v>68</v>
      </c>
      <c r="N5" s="34" t="s">
        <v>69</v>
      </c>
      <c r="O5" s="35">
        <v>46063.0</v>
      </c>
      <c r="P5" s="262"/>
      <c r="Q5" s="262"/>
      <c r="R5" s="262"/>
      <c r="S5" s="262"/>
      <c r="T5" s="47"/>
      <c r="U5" s="47"/>
      <c r="V5" s="47"/>
    </row>
    <row r="6">
      <c r="A6" s="28">
        <f t="shared" si="1"/>
        <v>4</v>
      </c>
      <c r="B6" s="20"/>
      <c r="C6" s="275"/>
      <c r="D6" s="225" t="s">
        <v>832</v>
      </c>
      <c r="E6" s="20"/>
      <c r="F6" s="275"/>
      <c r="G6" s="225" t="s">
        <v>833</v>
      </c>
      <c r="H6" s="37">
        <f>'参照_特典詳細'!$E$5</f>
        <v>30</v>
      </c>
      <c r="I6" s="34"/>
      <c r="J6" s="34"/>
      <c r="K6" s="21"/>
      <c r="L6" s="34" t="s">
        <v>67</v>
      </c>
      <c r="M6" s="34" t="s">
        <v>68</v>
      </c>
      <c r="N6" s="34" t="s">
        <v>69</v>
      </c>
      <c r="O6" s="35">
        <v>46063.0</v>
      </c>
      <c r="P6" s="262"/>
      <c r="Q6" s="262"/>
      <c r="R6" s="262"/>
      <c r="S6" s="262"/>
      <c r="T6" s="47"/>
      <c r="U6" s="47"/>
      <c r="V6" s="47"/>
    </row>
    <row r="7" hidden="1">
      <c r="A7" s="28">
        <f t="shared" si="1"/>
        <v>5</v>
      </c>
      <c r="B7" s="21"/>
      <c r="C7" s="259"/>
      <c r="D7" s="276" t="s">
        <v>834</v>
      </c>
      <c r="E7" s="21"/>
      <c r="F7" s="259"/>
      <c r="G7" s="277" t="s">
        <v>835</v>
      </c>
      <c r="H7" s="278" t="str">
        <f>'参照_特典詳細'!$F$5</f>
        <v>置物</v>
      </c>
      <c r="I7" s="36"/>
      <c r="J7" s="34"/>
      <c r="K7" s="28"/>
      <c r="L7" s="36"/>
      <c r="M7" s="36"/>
      <c r="N7" s="36"/>
      <c r="O7" s="71"/>
      <c r="P7" s="262"/>
      <c r="Q7" s="262"/>
      <c r="R7" s="262"/>
      <c r="S7" s="262"/>
      <c r="T7" s="47"/>
      <c r="U7" s="47"/>
      <c r="V7" s="47"/>
    </row>
    <row r="8">
      <c r="A8" s="28">
        <f t="shared" si="1"/>
        <v>6</v>
      </c>
      <c r="B8" s="29" t="str">
        <f>'参照_特典詳細'!C6</f>
        <v>夜を練り歩く元就</v>
      </c>
      <c r="C8" s="272" t="s">
        <v>72</v>
      </c>
      <c r="D8" s="187" t="s">
        <v>824</v>
      </c>
      <c r="E8" s="29" t="str">
        <f>'参照_特典詳細'!C6</f>
        <v>夜を練り歩く元就</v>
      </c>
      <c r="F8" s="272" t="s">
        <v>74</v>
      </c>
      <c r="G8" s="187" t="s">
        <v>825</v>
      </c>
      <c r="H8" s="31"/>
      <c r="I8" s="28" t="s">
        <v>651</v>
      </c>
      <c r="J8" s="28" t="s">
        <v>836</v>
      </c>
      <c r="K8" s="273" t="s">
        <v>29</v>
      </c>
      <c r="L8" s="34" t="s">
        <v>67</v>
      </c>
      <c r="M8" s="34" t="s">
        <v>68</v>
      </c>
      <c r="N8" s="34" t="s">
        <v>69</v>
      </c>
      <c r="O8" s="35">
        <v>46064.0</v>
      </c>
      <c r="P8" s="34" t="s">
        <v>67</v>
      </c>
      <c r="Q8" s="28" t="s">
        <v>68</v>
      </c>
      <c r="R8" s="28" t="s">
        <v>69</v>
      </c>
      <c r="S8" s="45" t="s">
        <v>76</v>
      </c>
      <c r="T8" s="37"/>
      <c r="U8" s="37"/>
      <c r="V8" s="37"/>
    </row>
    <row r="9">
      <c r="A9" s="28">
        <f t="shared" si="1"/>
        <v>7</v>
      </c>
      <c r="B9" s="20"/>
      <c r="C9" s="259"/>
      <c r="D9" s="187" t="s">
        <v>826</v>
      </c>
      <c r="E9" s="20"/>
      <c r="F9" s="259"/>
      <c r="G9" s="187" t="s">
        <v>827</v>
      </c>
      <c r="H9" s="31"/>
      <c r="I9" s="28"/>
      <c r="J9" s="28"/>
      <c r="K9" s="20"/>
      <c r="L9" s="34" t="s">
        <v>67</v>
      </c>
      <c r="M9" s="34" t="s">
        <v>68</v>
      </c>
      <c r="N9" s="34" t="s">
        <v>69</v>
      </c>
      <c r="O9" s="35">
        <v>46064.0</v>
      </c>
      <c r="P9" s="34" t="s">
        <v>67</v>
      </c>
      <c r="Q9" s="28" t="s">
        <v>68</v>
      </c>
      <c r="R9" s="28" t="s">
        <v>69</v>
      </c>
      <c r="S9" s="45" t="s">
        <v>76</v>
      </c>
      <c r="T9" s="47"/>
      <c r="U9" s="47"/>
      <c r="V9" s="47"/>
    </row>
    <row r="10">
      <c r="A10" s="28">
        <f t="shared" si="1"/>
        <v>8</v>
      </c>
      <c r="B10" s="20"/>
      <c r="C10" s="274" t="s">
        <v>828</v>
      </c>
      <c r="D10" s="187" t="s">
        <v>829</v>
      </c>
      <c r="E10" s="20"/>
      <c r="F10" s="274" t="s">
        <v>830</v>
      </c>
      <c r="G10" s="187" t="s">
        <v>831</v>
      </c>
      <c r="H10" s="31" t="str">
        <f>'参照_特典詳細'!$D$6</f>
        <v>Motonari with a Lantern</v>
      </c>
      <c r="I10" s="34"/>
      <c r="J10" s="28"/>
      <c r="K10" s="20"/>
      <c r="L10" s="34" t="s">
        <v>67</v>
      </c>
      <c r="M10" s="34" t="s">
        <v>68</v>
      </c>
      <c r="N10" s="34" t="s">
        <v>69</v>
      </c>
      <c r="O10" s="35">
        <v>46063.0</v>
      </c>
      <c r="P10" s="262"/>
      <c r="Q10" s="262"/>
      <c r="R10" s="262"/>
      <c r="S10" s="262"/>
      <c r="T10" s="47"/>
      <c r="U10" s="47"/>
      <c r="V10" s="47"/>
    </row>
    <row r="11">
      <c r="A11" s="28">
        <f t="shared" si="1"/>
        <v>9</v>
      </c>
      <c r="B11" s="20"/>
      <c r="C11" s="275"/>
      <c r="D11" s="187" t="s">
        <v>832</v>
      </c>
      <c r="E11" s="20"/>
      <c r="F11" s="275"/>
      <c r="G11" s="187" t="s">
        <v>833</v>
      </c>
      <c r="H11" s="31">
        <f>'参照_特典詳細'!$E$6</f>
        <v>30</v>
      </c>
      <c r="I11" s="34"/>
      <c r="J11" s="28"/>
      <c r="K11" s="21"/>
      <c r="L11" s="34" t="s">
        <v>67</v>
      </c>
      <c r="M11" s="34" t="s">
        <v>68</v>
      </c>
      <c r="N11" s="34" t="s">
        <v>69</v>
      </c>
      <c r="O11" s="35">
        <v>46063.0</v>
      </c>
      <c r="P11" s="262"/>
      <c r="Q11" s="262"/>
      <c r="R11" s="262"/>
      <c r="S11" s="262"/>
      <c r="T11" s="47"/>
      <c r="U11" s="47"/>
      <c r="V11" s="47"/>
    </row>
    <row r="12" hidden="1">
      <c r="A12" s="28">
        <f t="shared" si="1"/>
        <v>10</v>
      </c>
      <c r="B12" s="21"/>
      <c r="C12" s="259"/>
      <c r="D12" s="279" t="s">
        <v>834</v>
      </c>
      <c r="E12" s="21"/>
      <c r="F12" s="259"/>
      <c r="G12" s="279" t="s">
        <v>835</v>
      </c>
      <c r="H12" s="278" t="str">
        <f>'参照_特典詳細'!$F$6</f>
        <v>置物</v>
      </c>
      <c r="I12" s="28"/>
      <c r="J12" s="28"/>
      <c r="K12" s="28"/>
      <c r="L12" s="28"/>
      <c r="M12" s="28"/>
      <c r="N12" s="28"/>
      <c r="O12" s="45"/>
      <c r="P12" s="262"/>
      <c r="Q12" s="262"/>
      <c r="R12" s="262"/>
      <c r="S12" s="262"/>
      <c r="T12" s="47"/>
      <c r="U12" s="47"/>
      <c r="V12" s="47"/>
    </row>
    <row r="13">
      <c r="A13" s="28">
        <f t="shared" si="1"/>
        <v>11</v>
      </c>
      <c r="B13" s="59" t="str">
        <f>'参照_特典詳細'!C7</f>
        <v>夜を練り歩く帰蝶</v>
      </c>
      <c r="C13" s="272" t="s">
        <v>72</v>
      </c>
      <c r="D13" s="190" t="s">
        <v>824</v>
      </c>
      <c r="E13" s="59" t="str">
        <f>'参照_特典詳細'!C7</f>
        <v>夜を練り歩く帰蝶</v>
      </c>
      <c r="F13" s="272" t="s">
        <v>74</v>
      </c>
      <c r="G13" s="190" t="s">
        <v>825</v>
      </c>
      <c r="H13" s="37"/>
      <c r="I13" s="28" t="s">
        <v>655</v>
      </c>
      <c r="J13" s="28" t="s">
        <v>837</v>
      </c>
      <c r="K13" s="273" t="s">
        <v>29</v>
      </c>
      <c r="L13" s="34" t="s">
        <v>67</v>
      </c>
      <c r="M13" s="34" t="s">
        <v>68</v>
      </c>
      <c r="N13" s="34" t="s">
        <v>69</v>
      </c>
      <c r="O13" s="35">
        <v>46064.0</v>
      </c>
      <c r="P13" s="34" t="s">
        <v>67</v>
      </c>
      <c r="Q13" s="28" t="s">
        <v>68</v>
      </c>
      <c r="R13" s="28" t="s">
        <v>69</v>
      </c>
      <c r="S13" s="45" t="s">
        <v>76</v>
      </c>
      <c r="T13" s="47"/>
      <c r="U13" s="47"/>
      <c r="V13" s="47"/>
    </row>
    <row r="14">
      <c r="A14" s="28">
        <f t="shared" si="1"/>
        <v>12</v>
      </c>
      <c r="B14" s="20"/>
      <c r="C14" s="259"/>
      <c r="D14" s="190" t="s">
        <v>826</v>
      </c>
      <c r="E14" s="20"/>
      <c r="F14" s="259"/>
      <c r="G14" s="190" t="s">
        <v>827</v>
      </c>
      <c r="H14" s="37"/>
      <c r="I14" s="28"/>
      <c r="J14" s="28"/>
      <c r="K14" s="20"/>
      <c r="L14" s="34" t="s">
        <v>67</v>
      </c>
      <c r="M14" s="34" t="s">
        <v>68</v>
      </c>
      <c r="N14" s="34" t="s">
        <v>69</v>
      </c>
      <c r="O14" s="35">
        <v>46064.0</v>
      </c>
      <c r="P14" s="34" t="s">
        <v>67</v>
      </c>
      <c r="Q14" s="28" t="s">
        <v>68</v>
      </c>
      <c r="R14" s="28" t="s">
        <v>69</v>
      </c>
      <c r="S14" s="45" t="s">
        <v>76</v>
      </c>
      <c r="T14" s="37"/>
      <c r="U14" s="37"/>
      <c r="V14" s="37"/>
    </row>
    <row r="15">
      <c r="A15" s="28">
        <f t="shared" si="1"/>
        <v>13</v>
      </c>
      <c r="B15" s="20"/>
      <c r="C15" s="274" t="s">
        <v>828</v>
      </c>
      <c r="D15" s="190" t="s">
        <v>829</v>
      </c>
      <c r="E15" s="20"/>
      <c r="F15" s="274" t="s">
        <v>830</v>
      </c>
      <c r="G15" s="190" t="s">
        <v>831</v>
      </c>
      <c r="H15" s="37" t="str">
        <f>'参照_特典詳細'!$D$7</f>
        <v>Kicho with a Lantern</v>
      </c>
      <c r="I15" s="34"/>
      <c r="J15" s="28"/>
      <c r="K15" s="20"/>
      <c r="L15" s="34" t="s">
        <v>67</v>
      </c>
      <c r="M15" s="34" t="s">
        <v>68</v>
      </c>
      <c r="N15" s="34" t="s">
        <v>69</v>
      </c>
      <c r="O15" s="35">
        <v>46063.0</v>
      </c>
      <c r="P15" s="262"/>
      <c r="Q15" s="262"/>
      <c r="R15" s="262"/>
      <c r="S15" s="262"/>
      <c r="T15" s="37"/>
      <c r="U15" s="37"/>
      <c r="V15" s="37"/>
    </row>
    <row r="16">
      <c r="A16" s="28">
        <f t="shared" si="1"/>
        <v>14</v>
      </c>
      <c r="B16" s="20"/>
      <c r="C16" s="275"/>
      <c r="D16" s="190" t="s">
        <v>832</v>
      </c>
      <c r="E16" s="20"/>
      <c r="F16" s="275"/>
      <c r="G16" s="190" t="s">
        <v>833</v>
      </c>
      <c r="H16" s="37">
        <f>'参照_特典詳細'!$E$7</f>
        <v>30</v>
      </c>
      <c r="I16" s="34"/>
      <c r="J16" s="28"/>
      <c r="K16" s="21"/>
      <c r="L16" s="34" t="s">
        <v>67</v>
      </c>
      <c r="M16" s="34" t="s">
        <v>68</v>
      </c>
      <c r="N16" s="34" t="s">
        <v>69</v>
      </c>
      <c r="O16" s="35">
        <v>46063.0</v>
      </c>
      <c r="P16" s="262"/>
      <c r="Q16" s="262"/>
      <c r="R16" s="262"/>
      <c r="S16" s="262"/>
      <c r="T16" s="37"/>
      <c r="U16" s="37"/>
      <c r="V16" s="37"/>
    </row>
    <row r="17" hidden="1">
      <c r="A17" s="28">
        <f t="shared" si="1"/>
        <v>15</v>
      </c>
      <c r="B17" s="21"/>
      <c r="C17" s="259"/>
      <c r="D17" s="279" t="s">
        <v>834</v>
      </c>
      <c r="E17" s="21"/>
      <c r="F17" s="259"/>
      <c r="G17" s="279" t="s">
        <v>835</v>
      </c>
      <c r="H17" s="278" t="str">
        <f>'参照_特典詳細'!$F$7</f>
        <v>置物</v>
      </c>
      <c r="I17" s="28"/>
      <c r="J17" s="28"/>
      <c r="K17" s="28"/>
      <c r="L17" s="28"/>
      <c r="M17" s="28"/>
      <c r="N17" s="28"/>
      <c r="O17" s="45"/>
      <c r="P17" s="262"/>
      <c r="Q17" s="262"/>
      <c r="R17" s="262"/>
      <c r="S17" s="262"/>
      <c r="T17" s="37"/>
      <c r="U17" s="37"/>
      <c r="V17" s="37"/>
    </row>
    <row r="18">
      <c r="A18" s="28">
        <f t="shared" si="1"/>
        <v>16</v>
      </c>
      <c r="B18" s="29" t="str">
        <f>'参照_特典詳細'!C8</f>
        <v>夜を練り歩く兼続</v>
      </c>
      <c r="C18" s="272" t="s">
        <v>72</v>
      </c>
      <c r="D18" s="187" t="s">
        <v>824</v>
      </c>
      <c r="E18" s="29" t="str">
        <f>'参照_特典詳細'!C8</f>
        <v>夜を練り歩く兼続</v>
      </c>
      <c r="F18" s="272" t="s">
        <v>74</v>
      </c>
      <c r="G18" s="187" t="s">
        <v>825</v>
      </c>
      <c r="H18" s="31"/>
      <c r="I18" s="28" t="s">
        <v>656</v>
      </c>
      <c r="J18" s="28" t="s">
        <v>838</v>
      </c>
      <c r="K18" s="273" t="s">
        <v>29</v>
      </c>
      <c r="L18" s="34" t="s">
        <v>67</v>
      </c>
      <c r="M18" s="34" t="s">
        <v>68</v>
      </c>
      <c r="N18" s="34" t="s">
        <v>69</v>
      </c>
      <c r="O18" s="35">
        <v>46064.0</v>
      </c>
      <c r="P18" s="34" t="s">
        <v>67</v>
      </c>
      <c r="Q18" s="28" t="s">
        <v>68</v>
      </c>
      <c r="R18" s="28" t="s">
        <v>69</v>
      </c>
      <c r="S18" s="45" t="s">
        <v>76</v>
      </c>
      <c r="T18" s="37"/>
      <c r="U18" s="37"/>
      <c r="V18" s="37"/>
    </row>
    <row r="19">
      <c r="A19" s="28">
        <f t="shared" si="1"/>
        <v>17</v>
      </c>
      <c r="B19" s="20"/>
      <c r="C19" s="259"/>
      <c r="D19" s="187" t="s">
        <v>826</v>
      </c>
      <c r="E19" s="20"/>
      <c r="F19" s="259"/>
      <c r="G19" s="187" t="s">
        <v>827</v>
      </c>
      <c r="H19" s="31"/>
      <c r="I19" s="28"/>
      <c r="J19" s="28"/>
      <c r="K19" s="20"/>
      <c r="L19" s="34" t="s">
        <v>67</v>
      </c>
      <c r="M19" s="34" t="s">
        <v>68</v>
      </c>
      <c r="N19" s="34" t="s">
        <v>69</v>
      </c>
      <c r="O19" s="35">
        <v>46064.0</v>
      </c>
      <c r="P19" s="34" t="s">
        <v>67</v>
      </c>
      <c r="Q19" s="28" t="s">
        <v>68</v>
      </c>
      <c r="R19" s="28" t="s">
        <v>69</v>
      </c>
      <c r="S19" s="45" t="s">
        <v>76</v>
      </c>
      <c r="T19" s="37"/>
      <c r="U19" s="37"/>
      <c r="V19" s="37"/>
    </row>
    <row r="20">
      <c r="A20" s="28">
        <f t="shared" si="1"/>
        <v>18</v>
      </c>
      <c r="B20" s="20"/>
      <c r="C20" s="274" t="s">
        <v>828</v>
      </c>
      <c r="D20" s="187" t="s">
        <v>829</v>
      </c>
      <c r="E20" s="20"/>
      <c r="F20" s="274" t="s">
        <v>830</v>
      </c>
      <c r="G20" s="187" t="s">
        <v>831</v>
      </c>
      <c r="H20" s="31" t="str">
        <f>'参照_特典詳細'!$D$8</f>
        <v>Kanetsugu with a Lantern</v>
      </c>
      <c r="I20" s="34"/>
      <c r="J20" s="28"/>
      <c r="K20" s="20"/>
      <c r="L20" s="34" t="s">
        <v>67</v>
      </c>
      <c r="M20" s="34" t="s">
        <v>68</v>
      </c>
      <c r="N20" s="34" t="s">
        <v>69</v>
      </c>
      <c r="O20" s="35">
        <v>46063.0</v>
      </c>
      <c r="P20" s="262"/>
      <c r="Q20" s="262"/>
      <c r="R20" s="262"/>
      <c r="S20" s="262"/>
      <c r="T20" s="37"/>
      <c r="U20" s="37"/>
      <c r="V20" s="37"/>
    </row>
    <row r="21" ht="15.75" customHeight="1">
      <c r="A21" s="28">
        <f t="shared" si="1"/>
        <v>19</v>
      </c>
      <c r="B21" s="20"/>
      <c r="C21" s="275"/>
      <c r="D21" s="187" t="s">
        <v>832</v>
      </c>
      <c r="E21" s="20"/>
      <c r="F21" s="275"/>
      <c r="G21" s="187" t="s">
        <v>833</v>
      </c>
      <c r="H21" s="31">
        <f>'参照_特典詳細'!$E$8</f>
        <v>30</v>
      </c>
      <c r="I21" s="34"/>
      <c r="J21" s="28"/>
      <c r="K21" s="21"/>
      <c r="L21" s="34" t="s">
        <v>67</v>
      </c>
      <c r="M21" s="34" t="s">
        <v>68</v>
      </c>
      <c r="N21" s="34" t="s">
        <v>69</v>
      </c>
      <c r="O21" s="35">
        <v>46063.0</v>
      </c>
      <c r="P21" s="262"/>
      <c r="Q21" s="262"/>
      <c r="R21" s="262"/>
      <c r="S21" s="262"/>
      <c r="T21" s="37"/>
      <c r="U21" s="37"/>
      <c r="V21" s="37"/>
    </row>
    <row r="22" ht="15.75" hidden="1" customHeight="1">
      <c r="A22" s="28">
        <f t="shared" si="1"/>
        <v>20</v>
      </c>
      <c r="B22" s="21"/>
      <c r="C22" s="259"/>
      <c r="D22" s="279" t="s">
        <v>834</v>
      </c>
      <c r="E22" s="21"/>
      <c r="F22" s="259"/>
      <c r="G22" s="279" t="s">
        <v>835</v>
      </c>
      <c r="H22" s="278" t="str">
        <f>'参照_特典詳細'!$F$8</f>
        <v>置物</v>
      </c>
      <c r="I22" s="28"/>
      <c r="J22" s="28"/>
      <c r="K22" s="28"/>
      <c r="L22" s="28"/>
      <c r="M22" s="28"/>
      <c r="N22" s="28"/>
      <c r="O22" s="45"/>
      <c r="P22" s="262"/>
      <c r="Q22" s="262"/>
      <c r="R22" s="262"/>
      <c r="S22" s="262"/>
      <c r="T22" s="37"/>
      <c r="U22" s="37"/>
      <c r="V22" s="37"/>
    </row>
    <row r="23" ht="15.75" customHeight="1">
      <c r="A23" s="28">
        <f t="shared" si="1"/>
        <v>21</v>
      </c>
      <c r="B23" s="59" t="str">
        <f>'参照_特典詳細'!C9</f>
        <v>夜を練り歩く信長</v>
      </c>
      <c r="C23" s="272" t="s">
        <v>72</v>
      </c>
      <c r="D23" s="190" t="s">
        <v>824</v>
      </c>
      <c r="E23" s="59" t="str">
        <f>'参照_特典詳細'!C9</f>
        <v>夜を練り歩く信長</v>
      </c>
      <c r="F23" s="272" t="s">
        <v>74</v>
      </c>
      <c r="G23" s="190" t="s">
        <v>825</v>
      </c>
      <c r="H23" s="37"/>
      <c r="I23" s="28" t="s">
        <v>660</v>
      </c>
      <c r="J23" s="28" t="s">
        <v>839</v>
      </c>
      <c r="K23" s="273" t="s">
        <v>29</v>
      </c>
      <c r="L23" s="34" t="s">
        <v>67</v>
      </c>
      <c r="M23" s="34" t="s">
        <v>68</v>
      </c>
      <c r="N23" s="34" t="s">
        <v>69</v>
      </c>
      <c r="O23" s="35">
        <v>46064.0</v>
      </c>
      <c r="P23" s="34" t="s">
        <v>67</v>
      </c>
      <c r="Q23" s="28" t="s">
        <v>68</v>
      </c>
      <c r="R23" s="28" t="s">
        <v>69</v>
      </c>
      <c r="S23" s="45" t="s">
        <v>76</v>
      </c>
      <c r="T23" s="37"/>
      <c r="U23" s="37"/>
      <c r="V23" s="37"/>
    </row>
    <row r="24" ht="15.75" customHeight="1">
      <c r="A24" s="28">
        <f t="shared" si="1"/>
        <v>22</v>
      </c>
      <c r="B24" s="20"/>
      <c r="C24" s="259"/>
      <c r="D24" s="190" t="s">
        <v>826</v>
      </c>
      <c r="E24" s="20"/>
      <c r="F24" s="259"/>
      <c r="G24" s="190" t="s">
        <v>827</v>
      </c>
      <c r="H24" s="37"/>
      <c r="I24" s="28"/>
      <c r="J24" s="28"/>
      <c r="K24" s="20"/>
      <c r="L24" s="34" t="s">
        <v>67</v>
      </c>
      <c r="M24" s="34" t="s">
        <v>68</v>
      </c>
      <c r="N24" s="34" t="s">
        <v>69</v>
      </c>
      <c r="O24" s="35">
        <v>46064.0</v>
      </c>
      <c r="P24" s="34" t="s">
        <v>67</v>
      </c>
      <c r="Q24" s="28" t="s">
        <v>68</v>
      </c>
      <c r="R24" s="28" t="s">
        <v>69</v>
      </c>
      <c r="S24" s="45" t="s">
        <v>76</v>
      </c>
      <c r="T24" s="37"/>
      <c r="U24" s="37"/>
      <c r="V24" s="37"/>
    </row>
    <row r="25" ht="15.75" customHeight="1">
      <c r="A25" s="28">
        <f t="shared" si="1"/>
        <v>23</v>
      </c>
      <c r="B25" s="20"/>
      <c r="C25" s="274" t="s">
        <v>828</v>
      </c>
      <c r="D25" s="190" t="s">
        <v>829</v>
      </c>
      <c r="E25" s="20"/>
      <c r="F25" s="274" t="s">
        <v>830</v>
      </c>
      <c r="G25" s="190" t="s">
        <v>831</v>
      </c>
      <c r="H25" s="37" t="str">
        <f>'参照_特典詳細'!$D$9</f>
        <v>Nobunaga with a Lantern</v>
      </c>
      <c r="I25" s="34"/>
      <c r="J25" s="28"/>
      <c r="K25" s="20"/>
      <c r="L25" s="34" t="s">
        <v>67</v>
      </c>
      <c r="M25" s="34" t="s">
        <v>68</v>
      </c>
      <c r="N25" s="34" t="s">
        <v>69</v>
      </c>
      <c r="O25" s="35">
        <v>46063.0</v>
      </c>
      <c r="P25" s="262"/>
      <c r="Q25" s="262"/>
      <c r="R25" s="262"/>
      <c r="S25" s="262"/>
      <c r="T25" s="37"/>
      <c r="U25" s="37"/>
      <c r="V25" s="37"/>
    </row>
    <row r="26" ht="15.75" customHeight="1">
      <c r="A26" s="28">
        <f t="shared" si="1"/>
        <v>24</v>
      </c>
      <c r="B26" s="20"/>
      <c r="C26" s="275"/>
      <c r="D26" s="190" t="s">
        <v>832</v>
      </c>
      <c r="E26" s="20"/>
      <c r="F26" s="275"/>
      <c r="G26" s="190" t="s">
        <v>833</v>
      </c>
      <c r="H26" s="37">
        <f>'参照_特典詳細'!$E$9</f>
        <v>30</v>
      </c>
      <c r="I26" s="34"/>
      <c r="J26" s="28"/>
      <c r="K26" s="21"/>
      <c r="L26" s="34" t="s">
        <v>67</v>
      </c>
      <c r="M26" s="34" t="s">
        <v>68</v>
      </c>
      <c r="N26" s="34" t="s">
        <v>69</v>
      </c>
      <c r="O26" s="35">
        <v>46063.0</v>
      </c>
      <c r="P26" s="262"/>
      <c r="Q26" s="262"/>
      <c r="R26" s="262"/>
      <c r="S26" s="262"/>
      <c r="T26" s="37"/>
      <c r="U26" s="37"/>
      <c r="V26" s="37"/>
    </row>
    <row r="27" ht="15.75" hidden="1" customHeight="1">
      <c r="A27" s="28">
        <f t="shared" si="1"/>
        <v>25</v>
      </c>
      <c r="B27" s="21"/>
      <c r="C27" s="259"/>
      <c r="D27" s="279" t="s">
        <v>834</v>
      </c>
      <c r="E27" s="21"/>
      <c r="F27" s="259"/>
      <c r="G27" s="279" t="s">
        <v>835</v>
      </c>
      <c r="H27" s="278" t="str">
        <f>'参照_特典詳細'!$F$9</f>
        <v>置物</v>
      </c>
      <c r="I27" s="28"/>
      <c r="J27" s="28"/>
      <c r="K27" s="28"/>
      <c r="L27" s="28"/>
      <c r="M27" s="28"/>
      <c r="N27" s="28"/>
      <c r="O27" s="45"/>
      <c r="P27" s="262"/>
      <c r="Q27" s="262"/>
      <c r="R27" s="262"/>
      <c r="S27" s="262"/>
      <c r="T27" s="37"/>
      <c r="U27" s="37"/>
      <c r="V27" s="37"/>
    </row>
    <row r="28" ht="15.75" customHeight="1">
      <c r="A28" s="28">
        <f t="shared" si="1"/>
        <v>26</v>
      </c>
      <c r="B28" s="29" t="str">
        <f>'参照_特典詳細'!C10</f>
        <v>夜を練り歩く政宗</v>
      </c>
      <c r="C28" s="272" t="s">
        <v>72</v>
      </c>
      <c r="D28" s="187" t="s">
        <v>824</v>
      </c>
      <c r="E28" s="29" t="str">
        <f>'参照_特典詳細'!C10</f>
        <v>夜を練り歩く政宗</v>
      </c>
      <c r="F28" s="272" t="s">
        <v>74</v>
      </c>
      <c r="G28" s="187" t="s">
        <v>825</v>
      </c>
      <c r="H28" s="31"/>
      <c r="I28" s="28" t="s">
        <v>661</v>
      </c>
      <c r="J28" s="28" t="s">
        <v>840</v>
      </c>
      <c r="K28" s="273" t="s">
        <v>29</v>
      </c>
      <c r="L28" s="34" t="s">
        <v>67</v>
      </c>
      <c r="M28" s="34" t="s">
        <v>68</v>
      </c>
      <c r="N28" s="34" t="s">
        <v>69</v>
      </c>
      <c r="O28" s="35">
        <v>46064.0</v>
      </c>
      <c r="P28" s="34" t="s">
        <v>67</v>
      </c>
      <c r="Q28" s="28" t="s">
        <v>68</v>
      </c>
      <c r="R28" s="28" t="s">
        <v>69</v>
      </c>
      <c r="S28" s="45" t="s">
        <v>76</v>
      </c>
      <c r="T28" s="37"/>
      <c r="U28" s="37"/>
      <c r="V28" s="37"/>
    </row>
    <row r="29" ht="15.75" customHeight="1">
      <c r="A29" s="28">
        <f t="shared" si="1"/>
        <v>27</v>
      </c>
      <c r="B29" s="20"/>
      <c r="C29" s="259"/>
      <c r="D29" s="187" t="s">
        <v>826</v>
      </c>
      <c r="E29" s="20"/>
      <c r="F29" s="259"/>
      <c r="G29" s="187" t="s">
        <v>827</v>
      </c>
      <c r="H29" s="31"/>
      <c r="I29" s="28"/>
      <c r="J29" s="28"/>
      <c r="K29" s="20"/>
      <c r="L29" s="34" t="s">
        <v>67</v>
      </c>
      <c r="M29" s="34" t="s">
        <v>68</v>
      </c>
      <c r="N29" s="34" t="s">
        <v>69</v>
      </c>
      <c r="O29" s="35">
        <v>46064.0</v>
      </c>
      <c r="P29" s="34" t="s">
        <v>67</v>
      </c>
      <c r="Q29" s="28" t="s">
        <v>68</v>
      </c>
      <c r="R29" s="28" t="s">
        <v>69</v>
      </c>
      <c r="S29" s="45" t="s">
        <v>76</v>
      </c>
      <c r="T29" s="37"/>
      <c r="U29" s="37"/>
      <c r="V29" s="37"/>
    </row>
    <row r="30" ht="15.75" customHeight="1">
      <c r="A30" s="28">
        <f t="shared" si="1"/>
        <v>28</v>
      </c>
      <c r="B30" s="20"/>
      <c r="C30" s="274" t="s">
        <v>828</v>
      </c>
      <c r="D30" s="187" t="s">
        <v>829</v>
      </c>
      <c r="E30" s="20"/>
      <c r="F30" s="274" t="s">
        <v>830</v>
      </c>
      <c r="G30" s="187" t="s">
        <v>831</v>
      </c>
      <c r="H30" s="31" t="str">
        <f>'参照_特典詳細'!$D$10</f>
        <v>Masamune with a Lantern</v>
      </c>
      <c r="I30" s="34"/>
      <c r="J30" s="28"/>
      <c r="K30" s="20"/>
      <c r="L30" s="34" t="s">
        <v>67</v>
      </c>
      <c r="M30" s="34" t="s">
        <v>68</v>
      </c>
      <c r="N30" s="34" t="s">
        <v>69</v>
      </c>
      <c r="O30" s="35">
        <v>46063.0</v>
      </c>
      <c r="P30" s="262"/>
      <c r="Q30" s="262"/>
      <c r="R30" s="262"/>
      <c r="S30" s="262"/>
      <c r="T30" s="37"/>
      <c r="U30" s="37"/>
      <c r="V30" s="37"/>
    </row>
    <row r="31" ht="15.75" customHeight="1">
      <c r="A31" s="28">
        <f t="shared" si="1"/>
        <v>29</v>
      </c>
      <c r="B31" s="20"/>
      <c r="C31" s="275"/>
      <c r="D31" s="187" t="s">
        <v>832</v>
      </c>
      <c r="E31" s="20"/>
      <c r="F31" s="275"/>
      <c r="G31" s="187" t="s">
        <v>833</v>
      </c>
      <c r="H31" s="31">
        <f>'参照_特典詳細'!$E$10</f>
        <v>30</v>
      </c>
      <c r="I31" s="34"/>
      <c r="J31" s="28"/>
      <c r="K31" s="21"/>
      <c r="L31" s="34" t="s">
        <v>67</v>
      </c>
      <c r="M31" s="34" t="s">
        <v>68</v>
      </c>
      <c r="N31" s="34" t="s">
        <v>69</v>
      </c>
      <c r="O31" s="35">
        <v>46063.0</v>
      </c>
      <c r="P31" s="262"/>
      <c r="Q31" s="262"/>
      <c r="R31" s="262"/>
      <c r="S31" s="262"/>
      <c r="T31" s="37"/>
      <c r="U31" s="37"/>
      <c r="V31" s="37"/>
    </row>
    <row r="32" ht="15.75" hidden="1" customHeight="1">
      <c r="A32" s="28">
        <f t="shared" si="1"/>
        <v>30</v>
      </c>
      <c r="B32" s="21"/>
      <c r="C32" s="259"/>
      <c r="D32" s="279" t="s">
        <v>834</v>
      </c>
      <c r="E32" s="21"/>
      <c r="F32" s="259"/>
      <c r="G32" s="279" t="s">
        <v>835</v>
      </c>
      <c r="H32" s="278" t="str">
        <f>'参照_特典詳細'!$F$10</f>
        <v>置物</v>
      </c>
      <c r="I32" s="28"/>
      <c r="J32" s="28"/>
      <c r="K32" s="28"/>
      <c r="L32" s="28"/>
      <c r="M32" s="28"/>
      <c r="N32" s="28"/>
      <c r="O32" s="45"/>
      <c r="P32" s="262"/>
      <c r="Q32" s="262"/>
      <c r="R32" s="262"/>
      <c r="S32" s="262"/>
      <c r="T32" s="37"/>
      <c r="U32" s="37"/>
      <c r="V32" s="37"/>
    </row>
    <row r="33" ht="15.75" customHeight="1">
      <c r="A33" s="28">
        <f t="shared" si="1"/>
        <v>31</v>
      </c>
      <c r="B33" s="59" t="str">
        <f>'参照_特典詳細'!C22</f>
        <v>『恋遊戯』全コレクション称号</v>
      </c>
      <c r="C33" s="272" t="s">
        <v>72</v>
      </c>
      <c r="D33" s="190" t="s">
        <v>824</v>
      </c>
      <c r="E33" s="59" t="str">
        <f>'参照_特典詳細'!C22</f>
        <v>『恋遊戯』全コレクション称号</v>
      </c>
      <c r="F33" s="272" t="s">
        <v>74</v>
      </c>
      <c r="G33" s="190" t="s">
        <v>825</v>
      </c>
      <c r="H33" s="37"/>
      <c r="I33" s="28" t="s">
        <v>674</v>
      </c>
      <c r="J33" s="28" t="s">
        <v>841</v>
      </c>
      <c r="K33" s="273" t="s">
        <v>29</v>
      </c>
      <c r="L33" s="34" t="s">
        <v>67</v>
      </c>
      <c r="M33" s="34" t="s">
        <v>68</v>
      </c>
      <c r="N33" s="34" t="s">
        <v>69</v>
      </c>
      <c r="O33" s="35">
        <v>46064.0</v>
      </c>
      <c r="P33" s="34" t="s">
        <v>67</v>
      </c>
      <c r="Q33" s="28" t="s">
        <v>68</v>
      </c>
      <c r="R33" s="28" t="s">
        <v>69</v>
      </c>
      <c r="S33" s="45" t="s">
        <v>76</v>
      </c>
      <c r="T33" s="37"/>
      <c r="U33" s="37"/>
      <c r="V33" s="37"/>
    </row>
    <row r="34" ht="15.75" customHeight="1">
      <c r="A34" s="28">
        <f t="shared" si="1"/>
        <v>32</v>
      </c>
      <c r="B34" s="20"/>
      <c r="C34" s="259"/>
      <c r="D34" s="190" t="s">
        <v>826</v>
      </c>
      <c r="E34" s="20"/>
      <c r="F34" s="259"/>
      <c r="G34" s="190" t="s">
        <v>827</v>
      </c>
      <c r="H34" s="37"/>
      <c r="I34" s="28"/>
      <c r="J34" s="28"/>
      <c r="K34" s="20"/>
      <c r="L34" s="34" t="s">
        <v>67</v>
      </c>
      <c r="M34" s="34" t="s">
        <v>68</v>
      </c>
      <c r="N34" s="34" t="s">
        <v>69</v>
      </c>
      <c r="O34" s="35">
        <v>46064.0</v>
      </c>
      <c r="P34" s="34" t="s">
        <v>67</v>
      </c>
      <c r="Q34" s="28" t="s">
        <v>68</v>
      </c>
      <c r="R34" s="28" t="s">
        <v>69</v>
      </c>
      <c r="S34" s="45" t="s">
        <v>76</v>
      </c>
      <c r="T34" s="37"/>
      <c r="U34" s="37"/>
      <c r="V34" s="37"/>
    </row>
    <row r="35" ht="15.75" customHeight="1">
      <c r="A35" s="28">
        <f t="shared" si="1"/>
        <v>33</v>
      </c>
      <c r="B35" s="20"/>
      <c r="C35" s="274" t="s">
        <v>828</v>
      </c>
      <c r="D35" s="190" t="s">
        <v>829</v>
      </c>
      <c r="E35" s="20"/>
      <c r="F35" s="274" t="s">
        <v>830</v>
      </c>
      <c r="G35" s="190" t="s">
        <v>831</v>
      </c>
      <c r="H35" s="37" t="str">
        <f>'参照_特典詳細'!$D$22</f>
        <v>Mystic Matrimony Trophy</v>
      </c>
      <c r="I35" s="34"/>
      <c r="J35" s="28"/>
      <c r="K35" s="20"/>
      <c r="L35" s="34" t="s">
        <v>67</v>
      </c>
      <c r="M35" s="34" t="s">
        <v>68</v>
      </c>
      <c r="N35" s="34" t="s">
        <v>69</v>
      </c>
      <c r="O35" s="35">
        <v>46063.0</v>
      </c>
      <c r="P35" s="262"/>
      <c r="Q35" s="262"/>
      <c r="R35" s="262"/>
      <c r="S35" s="262"/>
      <c r="T35" s="37"/>
      <c r="U35" s="37"/>
      <c r="V35" s="37"/>
    </row>
    <row r="36" ht="15.75" customHeight="1">
      <c r="A36" s="28">
        <f t="shared" si="1"/>
        <v>34</v>
      </c>
      <c r="B36" s="20"/>
      <c r="C36" s="275"/>
      <c r="D36" s="190" t="s">
        <v>832</v>
      </c>
      <c r="E36" s="20"/>
      <c r="F36" s="275"/>
      <c r="G36" s="190" t="s">
        <v>833</v>
      </c>
      <c r="H36" s="37">
        <f>'参照_特典詳細'!$E$22</f>
        <v>150</v>
      </c>
      <c r="I36" s="34"/>
      <c r="J36" s="28"/>
      <c r="K36" s="21"/>
      <c r="L36" s="34" t="s">
        <v>67</v>
      </c>
      <c r="M36" s="34" t="s">
        <v>68</v>
      </c>
      <c r="N36" s="34" t="s">
        <v>69</v>
      </c>
      <c r="O36" s="35">
        <v>46063.0</v>
      </c>
      <c r="P36" s="262"/>
      <c r="Q36" s="262"/>
      <c r="R36" s="262"/>
      <c r="S36" s="262"/>
      <c r="T36" s="37"/>
      <c r="U36" s="37"/>
      <c r="V36" s="37"/>
    </row>
    <row r="37" ht="15.75" hidden="1" customHeight="1">
      <c r="A37" s="28">
        <f t="shared" si="1"/>
        <v>35</v>
      </c>
      <c r="B37" s="21"/>
      <c r="C37" s="259"/>
      <c r="D37" s="279" t="s">
        <v>834</v>
      </c>
      <c r="E37" s="21"/>
      <c r="F37" s="259"/>
      <c r="G37" s="279" t="s">
        <v>835</v>
      </c>
      <c r="H37" s="278" t="str">
        <f>'参照_特典詳細'!$F$22</f>
        <v>置物</v>
      </c>
      <c r="I37" s="28"/>
      <c r="J37" s="28"/>
      <c r="K37" s="28"/>
      <c r="L37" s="28"/>
      <c r="M37" s="28"/>
      <c r="N37" s="28"/>
      <c r="O37" s="45"/>
      <c r="P37" s="262"/>
      <c r="Q37" s="262"/>
      <c r="R37" s="262"/>
      <c r="S37" s="262"/>
      <c r="T37" s="37"/>
      <c r="U37" s="37"/>
      <c r="V37" s="37"/>
    </row>
    <row r="38" ht="15.75" customHeight="1">
      <c r="A38" s="28">
        <f t="shared" si="1"/>
        <v>36</v>
      </c>
      <c r="B38" s="29" t="str">
        <f>'参照_特典詳細'!C23</f>
        <v>あなたを求める龍の義元</v>
      </c>
      <c r="C38" s="272" t="s">
        <v>72</v>
      </c>
      <c r="D38" s="187" t="s">
        <v>824</v>
      </c>
      <c r="E38" s="29" t="str">
        <f>'参照_特典詳細'!C23</f>
        <v>あなたを求める龍の義元</v>
      </c>
      <c r="F38" s="272" t="s">
        <v>74</v>
      </c>
      <c r="G38" s="187" t="s">
        <v>825</v>
      </c>
      <c r="H38" s="31"/>
      <c r="I38" s="28" t="s">
        <v>422</v>
      </c>
      <c r="J38" s="28" t="s">
        <v>842</v>
      </c>
      <c r="K38" s="273" t="s">
        <v>29</v>
      </c>
      <c r="L38" s="34" t="s">
        <v>67</v>
      </c>
      <c r="M38" s="34" t="s">
        <v>68</v>
      </c>
      <c r="N38" s="34" t="s">
        <v>69</v>
      </c>
      <c r="O38" s="35">
        <v>46064.0</v>
      </c>
      <c r="P38" s="34" t="s">
        <v>67</v>
      </c>
      <c r="Q38" s="28" t="s">
        <v>68</v>
      </c>
      <c r="R38" s="28" t="s">
        <v>69</v>
      </c>
      <c r="S38" s="45" t="s">
        <v>76</v>
      </c>
      <c r="T38" s="37"/>
      <c r="U38" s="37"/>
      <c r="V38" s="37"/>
    </row>
    <row r="39" ht="15.75" customHeight="1">
      <c r="A39" s="28">
        <f t="shared" si="1"/>
        <v>37</v>
      </c>
      <c r="B39" s="20"/>
      <c r="C39" s="259"/>
      <c r="D39" s="187" t="s">
        <v>826</v>
      </c>
      <c r="E39" s="20"/>
      <c r="F39" s="259"/>
      <c r="G39" s="187" t="s">
        <v>827</v>
      </c>
      <c r="H39" s="31"/>
      <c r="I39" s="28"/>
      <c r="J39" s="28"/>
      <c r="K39" s="20"/>
      <c r="L39" s="34" t="s">
        <v>67</v>
      </c>
      <c r="M39" s="34" t="s">
        <v>68</v>
      </c>
      <c r="N39" s="34" t="s">
        <v>69</v>
      </c>
      <c r="O39" s="35">
        <v>46064.0</v>
      </c>
      <c r="P39" s="34" t="s">
        <v>67</v>
      </c>
      <c r="Q39" s="28" t="s">
        <v>68</v>
      </c>
      <c r="R39" s="28" t="s">
        <v>69</v>
      </c>
      <c r="S39" s="45" t="s">
        <v>76</v>
      </c>
      <c r="T39" s="37"/>
      <c r="U39" s="37"/>
      <c r="V39" s="37"/>
    </row>
    <row r="40" ht="15.75" customHeight="1">
      <c r="A40" s="28">
        <f t="shared" si="1"/>
        <v>38</v>
      </c>
      <c r="B40" s="20"/>
      <c r="C40" s="274" t="s">
        <v>828</v>
      </c>
      <c r="D40" s="187" t="s">
        <v>829</v>
      </c>
      <c r="E40" s="20"/>
      <c r="F40" s="274" t="s">
        <v>830</v>
      </c>
      <c r="G40" s="187" t="s">
        <v>831</v>
      </c>
      <c r="H40" s="31" t="str">
        <f>'参照_特典詳細'!$D$23</f>
        <v>Mystic Matrimony Yoshimoto</v>
      </c>
      <c r="I40" s="34"/>
      <c r="J40" s="28"/>
      <c r="K40" s="20"/>
      <c r="L40" s="34" t="s">
        <v>67</v>
      </c>
      <c r="M40" s="34" t="s">
        <v>68</v>
      </c>
      <c r="N40" s="34" t="s">
        <v>69</v>
      </c>
      <c r="O40" s="35">
        <v>46063.0</v>
      </c>
      <c r="P40" s="262"/>
      <c r="Q40" s="262"/>
      <c r="R40" s="262"/>
      <c r="S40" s="262"/>
      <c r="T40" s="37"/>
      <c r="U40" s="37"/>
      <c r="V40" s="37"/>
    </row>
    <row r="41" ht="15.75" customHeight="1">
      <c r="A41" s="28">
        <f t="shared" si="1"/>
        <v>39</v>
      </c>
      <c r="B41" s="20"/>
      <c r="C41" s="275"/>
      <c r="D41" s="187" t="s">
        <v>832</v>
      </c>
      <c r="E41" s="20"/>
      <c r="F41" s="275"/>
      <c r="G41" s="187" t="s">
        <v>833</v>
      </c>
      <c r="H41" s="31">
        <f>'参照_特典詳細'!$E$23</f>
        <v>200</v>
      </c>
      <c r="I41" s="34"/>
      <c r="J41" s="28"/>
      <c r="K41" s="21"/>
      <c r="L41" s="34" t="s">
        <v>67</v>
      </c>
      <c r="M41" s="34" t="s">
        <v>68</v>
      </c>
      <c r="N41" s="34" t="s">
        <v>69</v>
      </c>
      <c r="O41" s="35">
        <v>46063.0</v>
      </c>
      <c r="P41" s="262"/>
      <c r="Q41" s="262"/>
      <c r="R41" s="262"/>
      <c r="S41" s="262"/>
      <c r="T41" s="37"/>
      <c r="U41" s="37"/>
      <c r="V41" s="37"/>
    </row>
    <row r="42" ht="15.75" hidden="1" customHeight="1">
      <c r="A42" s="28">
        <f t="shared" si="1"/>
        <v>40</v>
      </c>
      <c r="B42" s="21"/>
      <c r="C42" s="259"/>
      <c r="D42" s="279" t="s">
        <v>834</v>
      </c>
      <c r="E42" s="21"/>
      <c r="F42" s="259"/>
      <c r="G42" s="279" t="s">
        <v>835</v>
      </c>
      <c r="H42" s="278" t="str">
        <f>'参照_特典詳細'!$F$23</f>
        <v>ミニキャラ横_右上</v>
      </c>
      <c r="I42" s="28"/>
      <c r="J42" s="28"/>
      <c r="K42" s="28"/>
      <c r="L42" s="28"/>
      <c r="M42" s="28"/>
      <c r="N42" s="28"/>
      <c r="O42" s="45"/>
      <c r="P42" s="262"/>
      <c r="Q42" s="262"/>
      <c r="R42" s="262"/>
      <c r="S42" s="262"/>
      <c r="T42" s="37"/>
      <c r="U42" s="37"/>
      <c r="V42" s="38"/>
    </row>
    <row r="43" ht="15.75" customHeight="1">
      <c r="A43" s="28">
        <f t="shared" si="1"/>
        <v>41</v>
      </c>
      <c r="B43" s="59" t="str">
        <f>'参照_特典詳細'!C24</f>
        <v>あなたを求める吸血鬼の元就</v>
      </c>
      <c r="C43" s="272" t="s">
        <v>72</v>
      </c>
      <c r="D43" s="190" t="s">
        <v>824</v>
      </c>
      <c r="E43" s="59" t="str">
        <f>'参照_特典詳細'!C24</f>
        <v>あなたを求める吸血鬼の元就</v>
      </c>
      <c r="F43" s="272" t="s">
        <v>74</v>
      </c>
      <c r="G43" s="190" t="s">
        <v>825</v>
      </c>
      <c r="H43" s="37"/>
      <c r="I43" s="28" t="s">
        <v>428</v>
      </c>
      <c r="J43" s="28" t="s">
        <v>843</v>
      </c>
      <c r="K43" s="273" t="s">
        <v>29</v>
      </c>
      <c r="L43" s="34" t="s">
        <v>67</v>
      </c>
      <c r="M43" s="34" t="s">
        <v>68</v>
      </c>
      <c r="N43" s="34" t="s">
        <v>69</v>
      </c>
      <c r="O43" s="35">
        <v>46064.0</v>
      </c>
      <c r="P43" s="34" t="s">
        <v>67</v>
      </c>
      <c r="Q43" s="28" t="s">
        <v>68</v>
      </c>
      <c r="R43" s="28" t="s">
        <v>69</v>
      </c>
      <c r="S43" s="45" t="s">
        <v>76</v>
      </c>
      <c r="T43" s="37"/>
      <c r="U43" s="37"/>
      <c r="V43" s="37"/>
    </row>
    <row r="44" ht="15.75" customHeight="1">
      <c r="A44" s="28">
        <f t="shared" si="1"/>
        <v>42</v>
      </c>
      <c r="B44" s="20"/>
      <c r="C44" s="259"/>
      <c r="D44" s="190" t="s">
        <v>826</v>
      </c>
      <c r="E44" s="20"/>
      <c r="F44" s="259"/>
      <c r="G44" s="190" t="s">
        <v>827</v>
      </c>
      <c r="H44" s="37"/>
      <c r="I44" s="28"/>
      <c r="J44" s="28"/>
      <c r="K44" s="20"/>
      <c r="L44" s="34" t="s">
        <v>67</v>
      </c>
      <c r="M44" s="34" t="s">
        <v>68</v>
      </c>
      <c r="N44" s="34" t="s">
        <v>69</v>
      </c>
      <c r="O44" s="35">
        <v>46064.0</v>
      </c>
      <c r="P44" s="34" t="s">
        <v>67</v>
      </c>
      <c r="Q44" s="28" t="s">
        <v>68</v>
      </c>
      <c r="R44" s="28" t="s">
        <v>69</v>
      </c>
      <c r="S44" s="45" t="s">
        <v>76</v>
      </c>
      <c r="T44" s="37"/>
      <c r="U44" s="37"/>
      <c r="V44" s="37"/>
    </row>
    <row r="45" ht="15.75" customHeight="1">
      <c r="A45" s="28">
        <f t="shared" si="1"/>
        <v>43</v>
      </c>
      <c r="B45" s="20"/>
      <c r="C45" s="274" t="s">
        <v>828</v>
      </c>
      <c r="D45" s="190" t="s">
        <v>829</v>
      </c>
      <c r="E45" s="20"/>
      <c r="F45" s="274" t="s">
        <v>830</v>
      </c>
      <c r="G45" s="190" t="s">
        <v>831</v>
      </c>
      <c r="H45" s="37" t="str">
        <f>'参照_特典詳細'!$D$24</f>
        <v>Mystic Matrimony Motonari</v>
      </c>
      <c r="I45" s="34"/>
      <c r="J45" s="28"/>
      <c r="K45" s="20"/>
      <c r="L45" s="34" t="s">
        <v>67</v>
      </c>
      <c r="M45" s="34" t="s">
        <v>68</v>
      </c>
      <c r="N45" s="34" t="s">
        <v>69</v>
      </c>
      <c r="O45" s="35">
        <v>46063.0</v>
      </c>
      <c r="P45" s="262"/>
      <c r="Q45" s="262"/>
      <c r="R45" s="262"/>
      <c r="S45" s="262"/>
      <c r="T45" s="37"/>
      <c r="U45" s="37"/>
      <c r="V45" s="37"/>
    </row>
    <row r="46" ht="15.75" customHeight="1">
      <c r="A46" s="28">
        <f t="shared" si="1"/>
        <v>44</v>
      </c>
      <c r="B46" s="20"/>
      <c r="C46" s="275"/>
      <c r="D46" s="190" t="s">
        <v>832</v>
      </c>
      <c r="E46" s="20"/>
      <c r="F46" s="275"/>
      <c r="G46" s="190" t="s">
        <v>833</v>
      </c>
      <c r="H46" s="37">
        <f>'参照_特典詳細'!$E$24</f>
        <v>200</v>
      </c>
      <c r="I46" s="34"/>
      <c r="J46" s="28"/>
      <c r="K46" s="21"/>
      <c r="L46" s="34" t="s">
        <v>67</v>
      </c>
      <c r="M46" s="34" t="s">
        <v>68</v>
      </c>
      <c r="N46" s="34" t="s">
        <v>69</v>
      </c>
      <c r="O46" s="35">
        <v>46063.0</v>
      </c>
      <c r="P46" s="262"/>
      <c r="Q46" s="262"/>
      <c r="R46" s="262"/>
      <c r="S46" s="262"/>
      <c r="T46" s="37"/>
      <c r="U46" s="37"/>
      <c r="V46" s="37"/>
    </row>
    <row r="47" ht="15.75" hidden="1" customHeight="1">
      <c r="A47" s="28">
        <f t="shared" si="1"/>
        <v>45</v>
      </c>
      <c r="B47" s="21"/>
      <c r="C47" s="259"/>
      <c r="D47" s="279" t="s">
        <v>834</v>
      </c>
      <c r="E47" s="21"/>
      <c r="F47" s="259"/>
      <c r="G47" s="279" t="s">
        <v>835</v>
      </c>
      <c r="H47" s="278" t="str">
        <f>'参照_特典詳細'!$F$24</f>
        <v>ミニキャラ天井_右1</v>
      </c>
      <c r="I47" s="28"/>
      <c r="J47" s="28"/>
      <c r="K47" s="28"/>
      <c r="L47" s="28"/>
      <c r="M47" s="28"/>
      <c r="N47" s="28"/>
      <c r="O47" s="45"/>
      <c r="P47" s="262"/>
      <c r="Q47" s="262"/>
      <c r="R47" s="262"/>
      <c r="S47" s="262"/>
      <c r="T47" s="37"/>
      <c r="U47" s="37"/>
      <c r="V47" s="37"/>
    </row>
    <row r="48" ht="15.75" customHeight="1">
      <c r="A48" s="28">
        <f t="shared" si="1"/>
        <v>46</v>
      </c>
      <c r="B48" s="29" t="str">
        <f>'参照_特典詳細'!C25</f>
        <v>あなたを求める吸血鬼の帰蝶</v>
      </c>
      <c r="C48" s="272" t="s">
        <v>72</v>
      </c>
      <c r="D48" s="187" t="s">
        <v>824</v>
      </c>
      <c r="E48" s="29" t="str">
        <f>'参照_特典詳細'!C25</f>
        <v>あなたを求める吸血鬼の帰蝶</v>
      </c>
      <c r="F48" s="272" t="s">
        <v>74</v>
      </c>
      <c r="G48" s="187" t="s">
        <v>825</v>
      </c>
      <c r="H48" s="31"/>
      <c r="I48" s="28" t="s">
        <v>436</v>
      </c>
      <c r="J48" s="28" t="s">
        <v>844</v>
      </c>
      <c r="K48" s="273" t="s">
        <v>29</v>
      </c>
      <c r="L48" s="34" t="s">
        <v>67</v>
      </c>
      <c r="M48" s="34" t="s">
        <v>68</v>
      </c>
      <c r="N48" s="34" t="s">
        <v>69</v>
      </c>
      <c r="O48" s="35">
        <v>46064.0</v>
      </c>
      <c r="P48" s="34" t="s">
        <v>67</v>
      </c>
      <c r="Q48" s="28" t="s">
        <v>68</v>
      </c>
      <c r="R48" s="28" t="s">
        <v>69</v>
      </c>
      <c r="S48" s="45" t="s">
        <v>76</v>
      </c>
      <c r="T48" s="37"/>
      <c r="U48" s="37"/>
      <c r="V48" s="37"/>
    </row>
    <row r="49" ht="15.75" customHeight="1">
      <c r="A49" s="28">
        <f t="shared" si="1"/>
        <v>47</v>
      </c>
      <c r="B49" s="20"/>
      <c r="C49" s="259"/>
      <c r="D49" s="187" t="s">
        <v>826</v>
      </c>
      <c r="E49" s="20"/>
      <c r="F49" s="259"/>
      <c r="G49" s="187" t="s">
        <v>827</v>
      </c>
      <c r="H49" s="31"/>
      <c r="I49" s="28"/>
      <c r="J49" s="28"/>
      <c r="K49" s="20"/>
      <c r="L49" s="34" t="s">
        <v>67</v>
      </c>
      <c r="M49" s="34" t="s">
        <v>68</v>
      </c>
      <c r="N49" s="34" t="s">
        <v>69</v>
      </c>
      <c r="O49" s="35">
        <v>46064.0</v>
      </c>
      <c r="P49" s="34" t="s">
        <v>67</v>
      </c>
      <c r="Q49" s="28" t="s">
        <v>68</v>
      </c>
      <c r="R49" s="28" t="s">
        <v>69</v>
      </c>
      <c r="S49" s="45" t="s">
        <v>76</v>
      </c>
      <c r="T49" s="37"/>
      <c r="U49" s="37"/>
      <c r="V49" s="37"/>
    </row>
    <row r="50" ht="15.75" customHeight="1">
      <c r="A50" s="28">
        <f t="shared" si="1"/>
        <v>48</v>
      </c>
      <c r="B50" s="20"/>
      <c r="C50" s="274" t="s">
        <v>828</v>
      </c>
      <c r="D50" s="187" t="s">
        <v>829</v>
      </c>
      <c r="E50" s="20"/>
      <c r="F50" s="274" t="s">
        <v>830</v>
      </c>
      <c r="G50" s="187" t="s">
        <v>831</v>
      </c>
      <c r="H50" s="31" t="str">
        <f>'参照_特典詳細'!$D$25</f>
        <v>Mystic Matrimony Kicho</v>
      </c>
      <c r="I50" s="34"/>
      <c r="J50" s="28"/>
      <c r="K50" s="20"/>
      <c r="L50" s="34" t="s">
        <v>67</v>
      </c>
      <c r="M50" s="34" t="s">
        <v>68</v>
      </c>
      <c r="N50" s="34" t="s">
        <v>69</v>
      </c>
      <c r="O50" s="35">
        <v>46063.0</v>
      </c>
      <c r="P50" s="262"/>
      <c r="Q50" s="262"/>
      <c r="R50" s="262"/>
      <c r="S50" s="262"/>
      <c r="T50" s="37"/>
      <c r="U50" s="37"/>
      <c r="V50" s="37"/>
    </row>
    <row r="51" ht="15.75" customHeight="1">
      <c r="A51" s="28">
        <f t="shared" si="1"/>
        <v>49</v>
      </c>
      <c r="B51" s="20"/>
      <c r="C51" s="275"/>
      <c r="D51" s="187" t="s">
        <v>832</v>
      </c>
      <c r="E51" s="20"/>
      <c r="F51" s="275"/>
      <c r="G51" s="187" t="s">
        <v>833</v>
      </c>
      <c r="H51" s="31">
        <f>'参照_特典詳細'!$E$25</f>
        <v>200</v>
      </c>
      <c r="I51" s="34"/>
      <c r="J51" s="28"/>
      <c r="K51" s="21"/>
      <c r="L51" s="34" t="s">
        <v>67</v>
      </c>
      <c r="M51" s="34" t="s">
        <v>68</v>
      </c>
      <c r="N51" s="34" t="s">
        <v>69</v>
      </c>
      <c r="O51" s="35">
        <v>46063.0</v>
      </c>
      <c r="P51" s="262"/>
      <c r="Q51" s="262"/>
      <c r="R51" s="262"/>
      <c r="S51" s="262"/>
      <c r="T51" s="37"/>
      <c r="U51" s="37"/>
      <c r="V51" s="37"/>
    </row>
    <row r="52" ht="15.75" hidden="1" customHeight="1">
      <c r="A52" s="28">
        <f t="shared" si="1"/>
        <v>50</v>
      </c>
      <c r="B52" s="21"/>
      <c r="C52" s="259"/>
      <c r="D52" s="279" t="s">
        <v>834</v>
      </c>
      <c r="E52" s="21"/>
      <c r="F52" s="259"/>
      <c r="G52" s="279" t="s">
        <v>835</v>
      </c>
      <c r="H52" s="278" t="str">
        <f>'参照_特典詳細'!$F$25</f>
        <v>ミニキャラ横_左上</v>
      </c>
      <c r="I52" s="28"/>
      <c r="J52" s="28"/>
      <c r="K52" s="28"/>
      <c r="L52" s="28"/>
      <c r="M52" s="28"/>
      <c r="N52" s="28"/>
      <c r="O52" s="45"/>
      <c r="P52" s="262"/>
      <c r="Q52" s="262"/>
      <c r="R52" s="262"/>
      <c r="S52" s="262"/>
      <c r="T52" s="37"/>
      <c r="U52" s="37"/>
      <c r="V52" s="37"/>
    </row>
    <row r="53" ht="15.75" customHeight="1">
      <c r="A53" s="28">
        <f t="shared" si="1"/>
        <v>51</v>
      </c>
      <c r="B53" s="59" t="str">
        <f>'参照_特典詳細'!C26</f>
        <v>あなたを求める龍の兼続</v>
      </c>
      <c r="C53" s="272" t="s">
        <v>72</v>
      </c>
      <c r="D53" s="190" t="s">
        <v>824</v>
      </c>
      <c r="E53" s="59" t="str">
        <f>'参照_特典詳細'!C26</f>
        <v>あなたを求める龍の兼続</v>
      </c>
      <c r="F53" s="272" t="s">
        <v>74</v>
      </c>
      <c r="G53" s="190" t="s">
        <v>825</v>
      </c>
      <c r="H53" s="37"/>
      <c r="I53" s="28" t="s">
        <v>442</v>
      </c>
      <c r="J53" s="28" t="s">
        <v>845</v>
      </c>
      <c r="K53" s="273" t="s">
        <v>29</v>
      </c>
      <c r="L53" s="34" t="s">
        <v>67</v>
      </c>
      <c r="M53" s="34" t="s">
        <v>68</v>
      </c>
      <c r="N53" s="34" t="s">
        <v>69</v>
      </c>
      <c r="O53" s="35">
        <v>46064.0</v>
      </c>
      <c r="P53" s="34" t="s">
        <v>67</v>
      </c>
      <c r="Q53" s="28" t="s">
        <v>68</v>
      </c>
      <c r="R53" s="28" t="s">
        <v>69</v>
      </c>
      <c r="S53" s="45" t="s">
        <v>76</v>
      </c>
      <c r="T53" s="37"/>
      <c r="U53" s="37"/>
      <c r="V53" s="37"/>
    </row>
    <row r="54" ht="15.75" customHeight="1">
      <c r="A54" s="28">
        <f t="shared" si="1"/>
        <v>52</v>
      </c>
      <c r="B54" s="20"/>
      <c r="C54" s="259"/>
      <c r="D54" s="190" t="s">
        <v>826</v>
      </c>
      <c r="E54" s="20"/>
      <c r="F54" s="259"/>
      <c r="G54" s="190" t="s">
        <v>827</v>
      </c>
      <c r="H54" s="37"/>
      <c r="I54" s="28"/>
      <c r="J54" s="28"/>
      <c r="K54" s="20"/>
      <c r="L54" s="34" t="s">
        <v>67</v>
      </c>
      <c r="M54" s="34" t="s">
        <v>68</v>
      </c>
      <c r="N54" s="34" t="s">
        <v>69</v>
      </c>
      <c r="O54" s="35">
        <v>46064.0</v>
      </c>
      <c r="P54" s="34" t="s">
        <v>67</v>
      </c>
      <c r="Q54" s="28" t="s">
        <v>68</v>
      </c>
      <c r="R54" s="28" t="s">
        <v>69</v>
      </c>
      <c r="S54" s="45" t="s">
        <v>76</v>
      </c>
      <c r="T54" s="37"/>
      <c r="U54" s="37"/>
      <c r="V54" s="37"/>
    </row>
    <row r="55" ht="15.75" customHeight="1">
      <c r="A55" s="28">
        <f t="shared" si="1"/>
        <v>53</v>
      </c>
      <c r="B55" s="20"/>
      <c r="C55" s="274" t="s">
        <v>828</v>
      </c>
      <c r="D55" s="190" t="s">
        <v>829</v>
      </c>
      <c r="E55" s="20"/>
      <c r="F55" s="274" t="s">
        <v>830</v>
      </c>
      <c r="G55" s="190" t="s">
        <v>831</v>
      </c>
      <c r="H55" s="37" t="str">
        <f>'参照_特典詳細'!$D$26</f>
        <v>Mystic Matrimony Kanetsugu</v>
      </c>
      <c r="I55" s="34"/>
      <c r="J55" s="28"/>
      <c r="K55" s="20"/>
      <c r="L55" s="34" t="s">
        <v>67</v>
      </c>
      <c r="M55" s="34" t="s">
        <v>68</v>
      </c>
      <c r="N55" s="34" t="s">
        <v>69</v>
      </c>
      <c r="O55" s="35">
        <v>46063.0</v>
      </c>
      <c r="P55" s="262"/>
      <c r="Q55" s="262"/>
      <c r="R55" s="262"/>
      <c r="S55" s="262"/>
      <c r="T55" s="37"/>
      <c r="U55" s="37"/>
      <c r="V55" s="37"/>
    </row>
    <row r="56" ht="15.75" customHeight="1">
      <c r="A56" s="28">
        <f t="shared" si="1"/>
        <v>54</v>
      </c>
      <c r="B56" s="20"/>
      <c r="C56" s="275"/>
      <c r="D56" s="190" t="s">
        <v>832</v>
      </c>
      <c r="E56" s="20"/>
      <c r="F56" s="275"/>
      <c r="G56" s="190" t="s">
        <v>833</v>
      </c>
      <c r="H56" s="37">
        <f>'参照_特典詳細'!$E$26</f>
        <v>200</v>
      </c>
      <c r="I56" s="34"/>
      <c r="J56" s="28"/>
      <c r="K56" s="21"/>
      <c r="L56" s="34" t="s">
        <v>67</v>
      </c>
      <c r="M56" s="34" t="s">
        <v>68</v>
      </c>
      <c r="N56" s="34" t="s">
        <v>69</v>
      </c>
      <c r="O56" s="35">
        <v>46063.0</v>
      </c>
      <c r="P56" s="262"/>
      <c r="Q56" s="262"/>
      <c r="R56" s="262"/>
      <c r="S56" s="262"/>
      <c r="T56" s="37"/>
      <c r="U56" s="37"/>
      <c r="V56" s="37"/>
    </row>
    <row r="57" ht="15.75" hidden="1" customHeight="1">
      <c r="A57" s="28">
        <f t="shared" si="1"/>
        <v>55</v>
      </c>
      <c r="B57" s="21"/>
      <c r="C57" s="259"/>
      <c r="D57" s="279" t="s">
        <v>834</v>
      </c>
      <c r="E57" s="21"/>
      <c r="F57" s="259"/>
      <c r="G57" s="279" t="s">
        <v>835</v>
      </c>
      <c r="H57" s="278" t="str">
        <f>'参照_特典詳細'!$F$26</f>
        <v>ミニキャラ天井_左3</v>
      </c>
      <c r="I57" s="28"/>
      <c r="J57" s="28"/>
      <c r="K57" s="28"/>
      <c r="L57" s="28"/>
      <c r="M57" s="28"/>
      <c r="N57" s="28"/>
      <c r="O57" s="45"/>
      <c r="P57" s="262"/>
      <c r="Q57" s="262"/>
      <c r="R57" s="262"/>
      <c r="S57" s="262"/>
      <c r="T57" s="37"/>
      <c r="U57" s="37"/>
      <c r="V57" s="37"/>
    </row>
    <row r="58" ht="15.75" customHeight="1">
      <c r="A58" s="28">
        <f t="shared" si="1"/>
        <v>56</v>
      </c>
      <c r="B58" s="29" t="str">
        <f>'参照_特典詳細'!C27</f>
        <v>あなたを求める鬼の信長</v>
      </c>
      <c r="C58" s="272" t="s">
        <v>72</v>
      </c>
      <c r="D58" s="187" t="s">
        <v>824</v>
      </c>
      <c r="E58" s="29" t="str">
        <f>'参照_特典詳細'!C27</f>
        <v>あなたを求める鬼の信長</v>
      </c>
      <c r="F58" s="272" t="s">
        <v>74</v>
      </c>
      <c r="G58" s="187" t="s">
        <v>825</v>
      </c>
      <c r="H58" s="31"/>
      <c r="I58" s="28" t="s">
        <v>448</v>
      </c>
      <c r="J58" s="28" t="s">
        <v>846</v>
      </c>
      <c r="K58" s="273" t="s">
        <v>29</v>
      </c>
      <c r="L58" s="34" t="s">
        <v>67</v>
      </c>
      <c r="M58" s="34" t="s">
        <v>68</v>
      </c>
      <c r="N58" s="34" t="s">
        <v>69</v>
      </c>
      <c r="O58" s="35">
        <v>46064.0</v>
      </c>
      <c r="P58" s="34" t="s">
        <v>67</v>
      </c>
      <c r="Q58" s="28" t="s">
        <v>68</v>
      </c>
      <c r="R58" s="28" t="s">
        <v>69</v>
      </c>
      <c r="S58" s="45" t="s">
        <v>76</v>
      </c>
      <c r="T58" s="37"/>
      <c r="U58" s="37"/>
      <c r="V58" s="37"/>
    </row>
    <row r="59" ht="15.75" customHeight="1">
      <c r="A59" s="28">
        <f t="shared" si="1"/>
        <v>57</v>
      </c>
      <c r="B59" s="20"/>
      <c r="C59" s="259"/>
      <c r="D59" s="187" t="s">
        <v>826</v>
      </c>
      <c r="E59" s="20"/>
      <c r="F59" s="259"/>
      <c r="G59" s="187" t="s">
        <v>827</v>
      </c>
      <c r="H59" s="31"/>
      <c r="I59" s="28"/>
      <c r="J59" s="28"/>
      <c r="K59" s="20"/>
      <c r="L59" s="34" t="s">
        <v>67</v>
      </c>
      <c r="M59" s="34" t="s">
        <v>68</v>
      </c>
      <c r="N59" s="34" t="s">
        <v>69</v>
      </c>
      <c r="O59" s="35">
        <v>46064.0</v>
      </c>
      <c r="P59" s="34" t="s">
        <v>67</v>
      </c>
      <c r="Q59" s="28" t="s">
        <v>68</v>
      </c>
      <c r="R59" s="28" t="s">
        <v>69</v>
      </c>
      <c r="S59" s="45" t="s">
        <v>76</v>
      </c>
      <c r="T59" s="37"/>
      <c r="U59" s="37"/>
      <c r="V59" s="37"/>
    </row>
    <row r="60" ht="15.75" customHeight="1">
      <c r="A60" s="28">
        <f t="shared" si="1"/>
        <v>58</v>
      </c>
      <c r="B60" s="20"/>
      <c r="C60" s="274" t="s">
        <v>828</v>
      </c>
      <c r="D60" s="187" t="s">
        <v>829</v>
      </c>
      <c r="E60" s="20"/>
      <c r="F60" s="274" t="s">
        <v>830</v>
      </c>
      <c r="G60" s="187" t="s">
        <v>831</v>
      </c>
      <c r="H60" s="31" t="str">
        <f>'参照_特典詳細'!$D$27</f>
        <v>Mystic Matrimony Nobunaga</v>
      </c>
      <c r="I60" s="34"/>
      <c r="J60" s="28"/>
      <c r="K60" s="20"/>
      <c r="L60" s="34" t="s">
        <v>67</v>
      </c>
      <c r="M60" s="34" t="s">
        <v>68</v>
      </c>
      <c r="N60" s="34" t="s">
        <v>69</v>
      </c>
      <c r="O60" s="35">
        <v>46063.0</v>
      </c>
      <c r="P60" s="262"/>
      <c r="Q60" s="262"/>
      <c r="R60" s="262"/>
      <c r="S60" s="262"/>
      <c r="T60" s="37"/>
      <c r="U60" s="37"/>
      <c r="V60" s="37"/>
    </row>
    <row r="61" ht="15.75" customHeight="1">
      <c r="A61" s="28">
        <f t="shared" si="1"/>
        <v>59</v>
      </c>
      <c r="B61" s="20"/>
      <c r="C61" s="275"/>
      <c r="D61" s="187" t="s">
        <v>832</v>
      </c>
      <c r="E61" s="20"/>
      <c r="F61" s="275"/>
      <c r="G61" s="187" t="s">
        <v>833</v>
      </c>
      <c r="H61" s="31">
        <f>'参照_特典詳細'!$E$27</f>
        <v>200</v>
      </c>
      <c r="I61" s="34"/>
      <c r="J61" s="28"/>
      <c r="K61" s="21"/>
      <c r="L61" s="34" t="s">
        <v>67</v>
      </c>
      <c r="M61" s="34" t="s">
        <v>68</v>
      </c>
      <c r="N61" s="34" t="s">
        <v>69</v>
      </c>
      <c r="O61" s="35">
        <v>46063.0</v>
      </c>
      <c r="P61" s="262"/>
      <c r="Q61" s="262"/>
      <c r="R61" s="262"/>
      <c r="S61" s="262"/>
      <c r="T61" s="37"/>
      <c r="U61" s="37"/>
      <c r="V61" s="37"/>
    </row>
    <row r="62" ht="15.75" hidden="1" customHeight="1">
      <c r="A62" s="28">
        <f t="shared" si="1"/>
        <v>60</v>
      </c>
      <c r="B62" s="21"/>
      <c r="C62" s="259"/>
      <c r="D62" s="279" t="s">
        <v>834</v>
      </c>
      <c r="E62" s="21"/>
      <c r="F62" s="259"/>
      <c r="G62" s="279" t="s">
        <v>835</v>
      </c>
      <c r="H62" s="278" t="str">
        <f>'参照_特典詳細'!$F$27</f>
        <v>ミニキャラ床_左3</v>
      </c>
      <c r="I62" s="28"/>
      <c r="J62" s="28"/>
      <c r="K62" s="28"/>
      <c r="L62" s="28"/>
      <c r="M62" s="28"/>
      <c r="N62" s="28"/>
      <c r="O62" s="45"/>
      <c r="P62" s="262"/>
      <c r="Q62" s="262"/>
      <c r="R62" s="262"/>
      <c r="S62" s="262"/>
      <c r="T62" s="37"/>
      <c r="U62" s="37"/>
      <c r="V62" s="37"/>
    </row>
    <row r="63" ht="15.75" customHeight="1">
      <c r="A63" s="28">
        <f t="shared" si="1"/>
        <v>61</v>
      </c>
      <c r="B63" s="59" t="str">
        <f>'参照_特典詳細'!C28</f>
        <v>あなたを求める鬼の政宗</v>
      </c>
      <c r="C63" s="272" t="s">
        <v>72</v>
      </c>
      <c r="D63" s="190" t="s">
        <v>824</v>
      </c>
      <c r="E63" s="59" t="str">
        <f>'参照_特典詳細'!C28</f>
        <v>あなたを求める鬼の政宗</v>
      </c>
      <c r="F63" s="272" t="s">
        <v>74</v>
      </c>
      <c r="G63" s="190" t="s">
        <v>825</v>
      </c>
      <c r="H63" s="37"/>
      <c r="I63" s="28" t="s">
        <v>453</v>
      </c>
      <c r="J63" s="28" t="s">
        <v>847</v>
      </c>
      <c r="K63" s="273" t="s">
        <v>29</v>
      </c>
      <c r="L63" s="34" t="s">
        <v>67</v>
      </c>
      <c r="M63" s="34" t="s">
        <v>68</v>
      </c>
      <c r="N63" s="34" t="s">
        <v>69</v>
      </c>
      <c r="O63" s="35">
        <v>46064.0</v>
      </c>
      <c r="P63" s="34" t="s">
        <v>67</v>
      </c>
      <c r="Q63" s="28" t="s">
        <v>68</v>
      </c>
      <c r="R63" s="28" t="s">
        <v>69</v>
      </c>
      <c r="S63" s="45" t="s">
        <v>76</v>
      </c>
      <c r="T63" s="37"/>
      <c r="U63" s="37"/>
      <c r="V63" s="37"/>
    </row>
    <row r="64" ht="15.75" customHeight="1">
      <c r="A64" s="28">
        <f t="shared" si="1"/>
        <v>62</v>
      </c>
      <c r="B64" s="20"/>
      <c r="C64" s="259"/>
      <c r="D64" s="190" t="s">
        <v>826</v>
      </c>
      <c r="E64" s="20"/>
      <c r="F64" s="259"/>
      <c r="G64" s="190" t="s">
        <v>827</v>
      </c>
      <c r="H64" s="37"/>
      <c r="I64" s="28"/>
      <c r="J64" s="28"/>
      <c r="K64" s="20"/>
      <c r="L64" s="34" t="s">
        <v>67</v>
      </c>
      <c r="M64" s="34" t="s">
        <v>68</v>
      </c>
      <c r="N64" s="34" t="s">
        <v>69</v>
      </c>
      <c r="O64" s="35">
        <v>46064.0</v>
      </c>
      <c r="P64" s="34" t="s">
        <v>67</v>
      </c>
      <c r="Q64" s="28" t="s">
        <v>68</v>
      </c>
      <c r="R64" s="28" t="s">
        <v>69</v>
      </c>
      <c r="S64" s="45" t="s">
        <v>76</v>
      </c>
      <c r="T64" s="37"/>
      <c r="U64" s="37"/>
      <c r="V64" s="37"/>
    </row>
    <row r="65" ht="15.75" customHeight="1">
      <c r="A65" s="28">
        <f t="shared" si="1"/>
        <v>63</v>
      </c>
      <c r="B65" s="20"/>
      <c r="C65" s="274" t="s">
        <v>828</v>
      </c>
      <c r="D65" s="190" t="s">
        <v>829</v>
      </c>
      <c r="E65" s="20"/>
      <c r="F65" s="274" t="s">
        <v>830</v>
      </c>
      <c r="G65" s="190" t="s">
        <v>831</v>
      </c>
      <c r="H65" s="37" t="str">
        <f>'参照_特典詳細'!$D$28</f>
        <v>Mystic Matrimony Masamune</v>
      </c>
      <c r="I65" s="34"/>
      <c r="J65" s="28"/>
      <c r="K65" s="20"/>
      <c r="L65" s="34" t="s">
        <v>67</v>
      </c>
      <c r="M65" s="34" t="s">
        <v>68</v>
      </c>
      <c r="N65" s="34" t="s">
        <v>69</v>
      </c>
      <c r="O65" s="35">
        <v>46063.0</v>
      </c>
      <c r="P65" s="262"/>
      <c r="Q65" s="262"/>
      <c r="R65" s="262"/>
      <c r="S65" s="262"/>
      <c r="T65" s="37"/>
      <c r="U65" s="37"/>
      <c r="V65" s="37"/>
    </row>
    <row r="66" ht="15.75" customHeight="1">
      <c r="A66" s="28">
        <f t="shared" si="1"/>
        <v>64</v>
      </c>
      <c r="B66" s="20"/>
      <c r="C66" s="275"/>
      <c r="D66" s="190" t="s">
        <v>832</v>
      </c>
      <c r="E66" s="20"/>
      <c r="F66" s="275"/>
      <c r="G66" s="190" t="s">
        <v>833</v>
      </c>
      <c r="H66" s="37">
        <f>'参照_特典詳細'!$E$28</f>
        <v>200</v>
      </c>
      <c r="I66" s="34"/>
      <c r="J66" s="28"/>
      <c r="K66" s="21"/>
      <c r="L66" s="34" t="s">
        <v>67</v>
      </c>
      <c r="M66" s="34" t="s">
        <v>68</v>
      </c>
      <c r="N66" s="34" t="s">
        <v>69</v>
      </c>
      <c r="O66" s="35">
        <v>46063.0</v>
      </c>
      <c r="P66" s="262"/>
      <c r="Q66" s="262"/>
      <c r="R66" s="262"/>
      <c r="S66" s="262"/>
      <c r="T66" s="37"/>
      <c r="U66" s="37"/>
      <c r="V66" s="37"/>
    </row>
    <row r="67" ht="15.75" hidden="1" customHeight="1">
      <c r="A67" s="28">
        <f t="shared" si="1"/>
        <v>65</v>
      </c>
      <c r="B67" s="21"/>
      <c r="C67" s="259"/>
      <c r="D67" s="279" t="s">
        <v>834</v>
      </c>
      <c r="E67" s="21"/>
      <c r="F67" s="259"/>
      <c r="G67" s="279" t="s">
        <v>835</v>
      </c>
      <c r="H67" s="278" t="str">
        <f>'参照_特典詳細'!$F$28</f>
        <v>ミニキャラ顔横_左</v>
      </c>
      <c r="I67" s="28"/>
      <c r="J67" s="28"/>
      <c r="K67" s="28"/>
      <c r="L67" s="28"/>
      <c r="M67" s="28"/>
      <c r="N67" s="28"/>
      <c r="O67" s="45"/>
      <c r="P67" s="262"/>
      <c r="Q67" s="262"/>
      <c r="R67" s="262"/>
      <c r="S67" s="262"/>
      <c r="T67" s="37"/>
      <c r="U67" s="37"/>
      <c r="V67" s="37"/>
    </row>
    <row r="68" ht="15.75" customHeight="1">
      <c r="A68" s="28">
        <f t="shared" si="1"/>
        <v>66</v>
      </c>
      <c r="B68" s="29" t="str">
        <f>'参照_特典詳細'!C30</f>
        <v>九狐になって～義元～</v>
      </c>
      <c r="C68" s="272" t="s">
        <v>72</v>
      </c>
      <c r="D68" s="187" t="s">
        <v>824</v>
      </c>
      <c r="E68" s="29" t="str">
        <f>'参照_特典詳細'!C30</f>
        <v>九狐になって～義元～</v>
      </c>
      <c r="F68" s="272" t="s">
        <v>74</v>
      </c>
      <c r="G68" s="187" t="s">
        <v>825</v>
      </c>
      <c r="H68" s="31"/>
      <c r="I68" s="28" t="s">
        <v>484</v>
      </c>
      <c r="J68" s="28" t="s">
        <v>848</v>
      </c>
      <c r="K68" s="273" t="s">
        <v>29</v>
      </c>
      <c r="L68" s="34" t="s">
        <v>67</v>
      </c>
      <c r="M68" s="34" t="s">
        <v>68</v>
      </c>
      <c r="N68" s="34" t="s">
        <v>69</v>
      </c>
      <c r="O68" s="35">
        <v>46064.0</v>
      </c>
      <c r="P68" s="34" t="s">
        <v>67</v>
      </c>
      <c r="Q68" s="28" t="s">
        <v>68</v>
      </c>
      <c r="R68" s="28" t="s">
        <v>69</v>
      </c>
      <c r="S68" s="45" t="s">
        <v>76</v>
      </c>
      <c r="T68" s="37"/>
      <c r="U68" s="37"/>
      <c r="V68" s="37"/>
    </row>
    <row r="69" ht="15.75" customHeight="1">
      <c r="A69" s="28">
        <f t="shared" si="1"/>
        <v>67</v>
      </c>
      <c r="B69" s="20"/>
      <c r="C69" s="259"/>
      <c r="D69" s="187" t="s">
        <v>826</v>
      </c>
      <c r="E69" s="20"/>
      <c r="F69" s="259"/>
      <c r="G69" s="187" t="s">
        <v>827</v>
      </c>
      <c r="H69" s="31"/>
      <c r="I69" s="28"/>
      <c r="J69" s="28"/>
      <c r="K69" s="20"/>
      <c r="L69" s="34" t="s">
        <v>67</v>
      </c>
      <c r="M69" s="34" t="s">
        <v>68</v>
      </c>
      <c r="N69" s="34" t="s">
        <v>69</v>
      </c>
      <c r="O69" s="35">
        <v>46064.0</v>
      </c>
      <c r="P69" s="34" t="s">
        <v>67</v>
      </c>
      <c r="Q69" s="28" t="s">
        <v>68</v>
      </c>
      <c r="R69" s="28" t="s">
        <v>69</v>
      </c>
      <c r="S69" s="45" t="s">
        <v>76</v>
      </c>
      <c r="T69" s="37"/>
      <c r="U69" s="37"/>
      <c r="V69" s="37"/>
    </row>
    <row r="70" ht="15.75" customHeight="1">
      <c r="A70" s="28">
        <f t="shared" si="1"/>
        <v>68</v>
      </c>
      <c r="B70" s="20"/>
      <c r="C70" s="274" t="s">
        <v>828</v>
      </c>
      <c r="D70" s="187" t="s">
        <v>829</v>
      </c>
      <c r="E70" s="20"/>
      <c r="F70" s="274" t="s">
        <v>830</v>
      </c>
      <c r="G70" s="187" t="s">
        <v>831</v>
      </c>
      <c r="H70" s="31" t="str">
        <f>'参照_特典詳細'!$D$30</f>
        <v>Nine-Tailed Fox Yoshimoto</v>
      </c>
      <c r="I70" s="34"/>
      <c r="J70" s="28"/>
      <c r="K70" s="20"/>
      <c r="L70" s="34" t="s">
        <v>67</v>
      </c>
      <c r="M70" s="34" t="s">
        <v>68</v>
      </c>
      <c r="N70" s="34" t="s">
        <v>69</v>
      </c>
      <c r="O70" s="35">
        <v>46063.0</v>
      </c>
      <c r="P70" s="262"/>
      <c r="Q70" s="262"/>
      <c r="R70" s="262"/>
      <c r="S70" s="262"/>
      <c r="T70" s="37"/>
      <c r="U70" s="37"/>
      <c r="V70" s="37"/>
    </row>
    <row r="71" ht="15.75" customHeight="1">
      <c r="A71" s="28">
        <f t="shared" si="1"/>
        <v>69</v>
      </c>
      <c r="B71" s="20"/>
      <c r="C71" s="275"/>
      <c r="D71" s="187" t="s">
        <v>832</v>
      </c>
      <c r="E71" s="20"/>
      <c r="F71" s="275"/>
      <c r="G71" s="187" t="s">
        <v>833</v>
      </c>
      <c r="H71" s="31">
        <f>'参照_特典詳細'!$E$30</f>
        <v>100</v>
      </c>
      <c r="I71" s="34"/>
      <c r="J71" s="28"/>
      <c r="K71" s="21"/>
      <c r="L71" s="34" t="s">
        <v>67</v>
      </c>
      <c r="M71" s="34" t="s">
        <v>68</v>
      </c>
      <c r="N71" s="34" t="s">
        <v>69</v>
      </c>
      <c r="O71" s="35">
        <v>46063.0</v>
      </c>
      <c r="P71" s="262"/>
      <c r="Q71" s="262"/>
      <c r="R71" s="262"/>
      <c r="S71" s="262"/>
      <c r="T71" s="37"/>
      <c r="U71" s="37"/>
      <c r="V71" s="37"/>
    </row>
    <row r="72" ht="15.75" hidden="1" customHeight="1">
      <c r="A72" s="28">
        <f t="shared" si="1"/>
        <v>70</v>
      </c>
      <c r="B72" s="21"/>
      <c r="C72" s="259"/>
      <c r="D72" s="279" t="s">
        <v>834</v>
      </c>
      <c r="E72" s="21"/>
      <c r="F72" s="259"/>
      <c r="G72" s="279" t="s">
        <v>835</v>
      </c>
      <c r="H72" s="278" t="str">
        <f>'参照_特典詳細'!$F$30</f>
        <v>ミニキャラ床_左8</v>
      </c>
      <c r="I72" s="28"/>
      <c r="J72" s="28"/>
      <c r="K72" s="28"/>
      <c r="L72" s="28"/>
      <c r="M72" s="28"/>
      <c r="N72" s="28"/>
      <c r="O72" s="45"/>
      <c r="P72" s="262"/>
      <c r="Q72" s="262"/>
      <c r="R72" s="262"/>
      <c r="S72" s="262"/>
      <c r="T72" s="37"/>
      <c r="U72" s="37"/>
      <c r="V72" s="38"/>
    </row>
    <row r="73" ht="15.75" customHeight="1">
      <c r="A73" s="28">
        <f t="shared" si="1"/>
        <v>71</v>
      </c>
      <c r="B73" s="59" t="str">
        <f>'参照_特典詳細'!C31</f>
        <v>九狐になって～元就～</v>
      </c>
      <c r="C73" s="272" t="s">
        <v>72</v>
      </c>
      <c r="D73" s="190" t="s">
        <v>824</v>
      </c>
      <c r="E73" s="59" t="str">
        <f>'参照_特典詳細'!C31</f>
        <v>九狐になって～元就～</v>
      </c>
      <c r="F73" s="272" t="s">
        <v>74</v>
      </c>
      <c r="G73" s="190" t="s">
        <v>825</v>
      </c>
      <c r="H73" s="37"/>
      <c r="I73" s="28" t="s">
        <v>488</v>
      </c>
      <c r="J73" s="28" t="s">
        <v>849</v>
      </c>
      <c r="K73" s="273" t="s">
        <v>29</v>
      </c>
      <c r="L73" s="34" t="s">
        <v>67</v>
      </c>
      <c r="M73" s="34" t="s">
        <v>68</v>
      </c>
      <c r="N73" s="34" t="s">
        <v>69</v>
      </c>
      <c r="O73" s="35">
        <v>46064.0</v>
      </c>
      <c r="P73" s="34" t="s">
        <v>67</v>
      </c>
      <c r="Q73" s="28" t="s">
        <v>68</v>
      </c>
      <c r="R73" s="28" t="s">
        <v>69</v>
      </c>
      <c r="S73" s="45" t="s">
        <v>76</v>
      </c>
      <c r="T73" s="37"/>
      <c r="U73" s="37"/>
      <c r="V73" s="37"/>
    </row>
    <row r="74" ht="15.75" customHeight="1">
      <c r="A74" s="28">
        <f t="shared" si="1"/>
        <v>72</v>
      </c>
      <c r="B74" s="20"/>
      <c r="C74" s="259"/>
      <c r="D74" s="190" t="s">
        <v>826</v>
      </c>
      <c r="E74" s="20"/>
      <c r="F74" s="259"/>
      <c r="G74" s="190" t="s">
        <v>827</v>
      </c>
      <c r="H74" s="37"/>
      <c r="I74" s="28"/>
      <c r="J74" s="28"/>
      <c r="K74" s="20"/>
      <c r="L74" s="34" t="s">
        <v>67</v>
      </c>
      <c r="M74" s="34" t="s">
        <v>68</v>
      </c>
      <c r="N74" s="34" t="s">
        <v>69</v>
      </c>
      <c r="O74" s="35">
        <v>46064.0</v>
      </c>
      <c r="P74" s="34" t="s">
        <v>67</v>
      </c>
      <c r="Q74" s="28" t="s">
        <v>68</v>
      </c>
      <c r="R74" s="28" t="s">
        <v>69</v>
      </c>
      <c r="S74" s="45" t="s">
        <v>76</v>
      </c>
      <c r="T74" s="37"/>
      <c r="U74" s="37"/>
      <c r="V74" s="37"/>
    </row>
    <row r="75" ht="15.75" customHeight="1">
      <c r="A75" s="28">
        <f t="shared" si="1"/>
        <v>73</v>
      </c>
      <c r="B75" s="20"/>
      <c r="C75" s="274" t="s">
        <v>828</v>
      </c>
      <c r="D75" s="190" t="s">
        <v>829</v>
      </c>
      <c r="E75" s="20"/>
      <c r="F75" s="274" t="s">
        <v>830</v>
      </c>
      <c r="G75" s="190" t="s">
        <v>831</v>
      </c>
      <c r="H75" s="37" t="str">
        <f>'参照_特典詳細'!$D$31</f>
        <v>Nine-Tailed Fox Motonari</v>
      </c>
      <c r="I75" s="34"/>
      <c r="J75" s="28"/>
      <c r="K75" s="20"/>
      <c r="L75" s="34" t="s">
        <v>67</v>
      </c>
      <c r="M75" s="34" t="s">
        <v>68</v>
      </c>
      <c r="N75" s="34" t="s">
        <v>69</v>
      </c>
      <c r="O75" s="35">
        <v>46063.0</v>
      </c>
      <c r="P75" s="262"/>
      <c r="Q75" s="262"/>
      <c r="R75" s="262"/>
      <c r="S75" s="262"/>
      <c r="T75" s="37"/>
      <c r="U75" s="37"/>
      <c r="V75" s="37"/>
    </row>
    <row r="76" ht="15.75" customHeight="1">
      <c r="A76" s="28">
        <f t="shared" si="1"/>
        <v>74</v>
      </c>
      <c r="B76" s="20"/>
      <c r="C76" s="275"/>
      <c r="D76" s="190" t="s">
        <v>832</v>
      </c>
      <c r="E76" s="20"/>
      <c r="F76" s="275"/>
      <c r="G76" s="190" t="s">
        <v>833</v>
      </c>
      <c r="H76" s="37">
        <f>'参照_特典詳細'!$E$31</f>
        <v>100</v>
      </c>
      <c r="I76" s="34"/>
      <c r="J76" s="28"/>
      <c r="K76" s="21"/>
      <c r="L76" s="34" t="s">
        <v>67</v>
      </c>
      <c r="M76" s="34" t="s">
        <v>68</v>
      </c>
      <c r="N76" s="34" t="s">
        <v>69</v>
      </c>
      <c r="O76" s="35">
        <v>46063.0</v>
      </c>
      <c r="P76" s="262"/>
      <c r="Q76" s="262"/>
      <c r="R76" s="262"/>
      <c r="S76" s="262"/>
      <c r="T76" s="37"/>
      <c r="U76" s="37"/>
      <c r="V76" s="37"/>
    </row>
    <row r="77" ht="15.75" hidden="1" customHeight="1">
      <c r="A77" s="28">
        <f t="shared" si="1"/>
        <v>75</v>
      </c>
      <c r="B77" s="21"/>
      <c r="C77" s="259"/>
      <c r="D77" s="279" t="s">
        <v>834</v>
      </c>
      <c r="E77" s="21"/>
      <c r="F77" s="259"/>
      <c r="G77" s="279" t="s">
        <v>835</v>
      </c>
      <c r="H77" s="278" t="str">
        <f>'参照_特典詳細'!$F$31</f>
        <v>ミニキャラ天井_左4</v>
      </c>
      <c r="I77" s="28"/>
      <c r="J77" s="28"/>
      <c r="K77" s="28"/>
      <c r="L77" s="28"/>
      <c r="M77" s="28"/>
      <c r="N77" s="28"/>
      <c r="O77" s="45"/>
      <c r="P77" s="262"/>
      <c r="Q77" s="262"/>
      <c r="R77" s="262"/>
      <c r="S77" s="262"/>
      <c r="T77" s="37"/>
      <c r="U77" s="37"/>
      <c r="V77" s="37"/>
    </row>
    <row r="78" ht="15.75" customHeight="1">
      <c r="A78" s="28">
        <f t="shared" si="1"/>
        <v>76</v>
      </c>
      <c r="B78" s="29" t="str">
        <f>'参照_特典詳細'!C32</f>
        <v>九狐になって～兼続～</v>
      </c>
      <c r="C78" s="272" t="s">
        <v>72</v>
      </c>
      <c r="D78" s="187" t="s">
        <v>824</v>
      </c>
      <c r="E78" s="29" t="str">
        <f>'参照_特典詳細'!C32</f>
        <v>九狐になって～兼続～</v>
      </c>
      <c r="F78" s="272" t="s">
        <v>74</v>
      </c>
      <c r="G78" s="187" t="s">
        <v>825</v>
      </c>
      <c r="H78" s="31"/>
      <c r="I78" s="28" t="s">
        <v>491</v>
      </c>
      <c r="J78" s="28" t="s">
        <v>850</v>
      </c>
      <c r="K78" s="273" t="s">
        <v>29</v>
      </c>
      <c r="L78" s="34" t="s">
        <v>67</v>
      </c>
      <c r="M78" s="34" t="s">
        <v>68</v>
      </c>
      <c r="N78" s="34" t="s">
        <v>69</v>
      </c>
      <c r="O78" s="35">
        <v>46064.0</v>
      </c>
      <c r="P78" s="34" t="s">
        <v>67</v>
      </c>
      <c r="Q78" s="28" t="s">
        <v>68</v>
      </c>
      <c r="R78" s="28" t="s">
        <v>69</v>
      </c>
      <c r="S78" s="45" t="s">
        <v>76</v>
      </c>
      <c r="T78" s="37"/>
      <c r="U78" s="37"/>
      <c r="V78" s="37"/>
    </row>
    <row r="79" ht="15.75" customHeight="1">
      <c r="A79" s="28">
        <f t="shared" si="1"/>
        <v>77</v>
      </c>
      <c r="B79" s="20"/>
      <c r="C79" s="259"/>
      <c r="D79" s="187" t="s">
        <v>826</v>
      </c>
      <c r="E79" s="20"/>
      <c r="F79" s="259"/>
      <c r="G79" s="187" t="s">
        <v>827</v>
      </c>
      <c r="H79" s="31"/>
      <c r="I79" s="28"/>
      <c r="J79" s="28"/>
      <c r="K79" s="20"/>
      <c r="L79" s="34" t="s">
        <v>67</v>
      </c>
      <c r="M79" s="34" t="s">
        <v>68</v>
      </c>
      <c r="N79" s="34" t="s">
        <v>69</v>
      </c>
      <c r="O79" s="35">
        <v>46064.0</v>
      </c>
      <c r="P79" s="34" t="s">
        <v>67</v>
      </c>
      <c r="Q79" s="28" t="s">
        <v>68</v>
      </c>
      <c r="R79" s="28" t="s">
        <v>69</v>
      </c>
      <c r="S79" s="45" t="s">
        <v>76</v>
      </c>
      <c r="T79" s="37"/>
      <c r="U79" s="37"/>
      <c r="V79" s="37"/>
    </row>
    <row r="80" ht="15.75" customHeight="1">
      <c r="A80" s="28">
        <f t="shared" si="1"/>
        <v>78</v>
      </c>
      <c r="B80" s="20"/>
      <c r="C80" s="274" t="s">
        <v>828</v>
      </c>
      <c r="D80" s="187" t="s">
        <v>829</v>
      </c>
      <c r="E80" s="20"/>
      <c r="F80" s="274" t="s">
        <v>830</v>
      </c>
      <c r="G80" s="187" t="s">
        <v>831</v>
      </c>
      <c r="H80" s="31" t="str">
        <f>'参照_特典詳細'!$D$32</f>
        <v>Nine-Tailed Fox Kanetsugu</v>
      </c>
      <c r="I80" s="34"/>
      <c r="J80" s="28"/>
      <c r="K80" s="20"/>
      <c r="L80" s="34" t="s">
        <v>67</v>
      </c>
      <c r="M80" s="34" t="s">
        <v>68</v>
      </c>
      <c r="N80" s="34" t="s">
        <v>69</v>
      </c>
      <c r="O80" s="35">
        <v>46063.0</v>
      </c>
      <c r="P80" s="262"/>
      <c r="Q80" s="262"/>
      <c r="R80" s="262"/>
      <c r="S80" s="262"/>
      <c r="T80" s="37"/>
      <c r="U80" s="37"/>
      <c r="V80" s="37"/>
    </row>
    <row r="81" ht="15.75" customHeight="1">
      <c r="A81" s="28">
        <f t="shared" si="1"/>
        <v>79</v>
      </c>
      <c r="B81" s="20"/>
      <c r="C81" s="275"/>
      <c r="D81" s="187" t="s">
        <v>832</v>
      </c>
      <c r="E81" s="20"/>
      <c r="F81" s="275"/>
      <c r="G81" s="187" t="s">
        <v>833</v>
      </c>
      <c r="H81" s="31">
        <f>'参照_特典詳細'!$E$32</f>
        <v>100</v>
      </c>
      <c r="I81" s="34"/>
      <c r="J81" s="28"/>
      <c r="K81" s="21"/>
      <c r="L81" s="34" t="s">
        <v>67</v>
      </c>
      <c r="M81" s="34" t="s">
        <v>68</v>
      </c>
      <c r="N81" s="34" t="s">
        <v>69</v>
      </c>
      <c r="O81" s="35">
        <v>46063.0</v>
      </c>
      <c r="P81" s="262"/>
      <c r="Q81" s="262"/>
      <c r="R81" s="262"/>
      <c r="S81" s="262"/>
      <c r="T81" s="37"/>
      <c r="U81" s="37"/>
      <c r="V81" s="37"/>
    </row>
    <row r="82" ht="15.75" hidden="1" customHeight="1">
      <c r="A82" s="28">
        <f t="shared" si="1"/>
        <v>80</v>
      </c>
      <c r="B82" s="21"/>
      <c r="C82" s="259"/>
      <c r="D82" s="279" t="s">
        <v>834</v>
      </c>
      <c r="E82" s="21"/>
      <c r="F82" s="259"/>
      <c r="G82" s="279" t="s">
        <v>835</v>
      </c>
      <c r="H82" s="278" t="str">
        <f>'参照_特典詳細'!$F$32</f>
        <v>ミニキャラ床_右1</v>
      </c>
      <c r="I82" s="28"/>
      <c r="J82" s="28"/>
      <c r="K82" s="28"/>
      <c r="L82" s="28"/>
      <c r="M82" s="28"/>
      <c r="N82" s="28"/>
      <c r="O82" s="45"/>
      <c r="P82" s="262"/>
      <c r="Q82" s="262"/>
      <c r="R82" s="262"/>
      <c r="S82" s="262"/>
      <c r="T82" s="37"/>
      <c r="U82" s="37"/>
      <c r="V82" s="37"/>
    </row>
    <row r="83" ht="15.75" customHeight="1">
      <c r="A83" s="28">
        <f t="shared" si="1"/>
        <v>81</v>
      </c>
      <c r="B83" s="59" t="str">
        <f>'参照_特典詳細'!C33</f>
        <v>九狐になって～帰蝶～</v>
      </c>
      <c r="C83" s="272" t="s">
        <v>72</v>
      </c>
      <c r="D83" s="190" t="s">
        <v>824</v>
      </c>
      <c r="E83" s="59" t="str">
        <f>'参照_特典詳細'!C33</f>
        <v>九狐になって～帰蝶～</v>
      </c>
      <c r="F83" s="272" t="s">
        <v>74</v>
      </c>
      <c r="G83" s="190" t="s">
        <v>825</v>
      </c>
      <c r="H83" s="37"/>
      <c r="I83" s="28" t="s">
        <v>494</v>
      </c>
      <c r="J83" s="28" t="s">
        <v>851</v>
      </c>
      <c r="K83" s="273" t="s">
        <v>29</v>
      </c>
      <c r="L83" s="34" t="s">
        <v>67</v>
      </c>
      <c r="M83" s="34" t="s">
        <v>68</v>
      </c>
      <c r="N83" s="34" t="s">
        <v>69</v>
      </c>
      <c r="O83" s="35">
        <v>46064.0</v>
      </c>
      <c r="P83" s="34" t="s">
        <v>67</v>
      </c>
      <c r="Q83" s="28" t="s">
        <v>68</v>
      </c>
      <c r="R83" s="28" t="s">
        <v>69</v>
      </c>
      <c r="S83" s="45" t="s">
        <v>76</v>
      </c>
      <c r="T83" s="37"/>
      <c r="U83" s="37"/>
      <c r="V83" s="37"/>
    </row>
    <row r="84" ht="15.75" customHeight="1">
      <c r="A84" s="28">
        <f t="shared" si="1"/>
        <v>82</v>
      </c>
      <c r="B84" s="20"/>
      <c r="C84" s="259"/>
      <c r="D84" s="190" t="s">
        <v>826</v>
      </c>
      <c r="E84" s="20"/>
      <c r="F84" s="259"/>
      <c r="G84" s="190" t="s">
        <v>827</v>
      </c>
      <c r="H84" s="37"/>
      <c r="I84" s="28"/>
      <c r="J84" s="28"/>
      <c r="K84" s="20"/>
      <c r="L84" s="34" t="s">
        <v>67</v>
      </c>
      <c r="M84" s="34" t="s">
        <v>68</v>
      </c>
      <c r="N84" s="34" t="s">
        <v>69</v>
      </c>
      <c r="O84" s="35">
        <v>46064.0</v>
      </c>
      <c r="P84" s="34" t="s">
        <v>67</v>
      </c>
      <c r="Q84" s="28" t="s">
        <v>68</v>
      </c>
      <c r="R84" s="28" t="s">
        <v>69</v>
      </c>
      <c r="S84" s="45" t="s">
        <v>76</v>
      </c>
      <c r="T84" s="37"/>
      <c r="U84" s="37"/>
      <c r="V84" s="37"/>
    </row>
    <row r="85" ht="15.75" customHeight="1">
      <c r="A85" s="28">
        <f t="shared" si="1"/>
        <v>83</v>
      </c>
      <c r="B85" s="20"/>
      <c r="C85" s="274" t="s">
        <v>828</v>
      </c>
      <c r="D85" s="190" t="s">
        <v>829</v>
      </c>
      <c r="E85" s="20"/>
      <c r="F85" s="274" t="s">
        <v>830</v>
      </c>
      <c r="G85" s="190" t="s">
        <v>831</v>
      </c>
      <c r="H85" s="37" t="str">
        <f>'参照_特典詳細'!$D$33</f>
        <v>Nine-Tailed Fox Kicho</v>
      </c>
      <c r="I85" s="34"/>
      <c r="J85" s="28"/>
      <c r="K85" s="20"/>
      <c r="L85" s="34" t="s">
        <v>67</v>
      </c>
      <c r="M85" s="34" t="s">
        <v>68</v>
      </c>
      <c r="N85" s="34" t="s">
        <v>69</v>
      </c>
      <c r="O85" s="35">
        <v>46063.0</v>
      </c>
      <c r="P85" s="262"/>
      <c r="Q85" s="262"/>
      <c r="R85" s="262"/>
      <c r="S85" s="262"/>
      <c r="T85" s="37"/>
      <c r="U85" s="37"/>
      <c r="V85" s="37"/>
    </row>
    <row r="86" ht="15.75" customHeight="1">
      <c r="A86" s="28">
        <f t="shared" si="1"/>
        <v>84</v>
      </c>
      <c r="B86" s="20"/>
      <c r="C86" s="275"/>
      <c r="D86" s="190" t="s">
        <v>832</v>
      </c>
      <c r="E86" s="20"/>
      <c r="F86" s="275"/>
      <c r="G86" s="190" t="s">
        <v>833</v>
      </c>
      <c r="H86" s="37">
        <f>'参照_特典詳細'!$E$33</f>
        <v>100</v>
      </c>
      <c r="I86" s="34"/>
      <c r="J86" s="28"/>
      <c r="K86" s="21"/>
      <c r="L86" s="34" t="s">
        <v>67</v>
      </c>
      <c r="M86" s="34" t="s">
        <v>68</v>
      </c>
      <c r="N86" s="34" t="s">
        <v>69</v>
      </c>
      <c r="O86" s="35">
        <v>46063.0</v>
      </c>
      <c r="P86" s="262"/>
      <c r="Q86" s="262"/>
      <c r="R86" s="262"/>
      <c r="S86" s="262"/>
      <c r="T86" s="37"/>
      <c r="U86" s="37"/>
      <c r="V86" s="37"/>
    </row>
    <row r="87" ht="15.75" hidden="1" customHeight="1">
      <c r="A87" s="28">
        <f t="shared" si="1"/>
        <v>85</v>
      </c>
      <c r="B87" s="21"/>
      <c r="C87" s="259"/>
      <c r="D87" s="279" t="s">
        <v>834</v>
      </c>
      <c r="E87" s="21"/>
      <c r="F87" s="259"/>
      <c r="G87" s="279" t="s">
        <v>835</v>
      </c>
      <c r="H87" s="278" t="str">
        <f>'参照_特典詳細'!$F$33</f>
        <v>ミニキャラ天井_右6</v>
      </c>
      <c r="I87" s="28"/>
      <c r="J87" s="28"/>
      <c r="K87" s="28"/>
      <c r="L87" s="28"/>
      <c r="M87" s="28"/>
      <c r="N87" s="28"/>
      <c r="O87" s="45"/>
      <c r="P87" s="262"/>
      <c r="Q87" s="262"/>
      <c r="R87" s="262"/>
      <c r="S87" s="262"/>
      <c r="T87" s="37"/>
      <c r="U87" s="37"/>
      <c r="V87" s="37"/>
    </row>
    <row r="88" ht="15.75" customHeight="1">
      <c r="A88" s="28">
        <f t="shared" si="1"/>
        <v>86</v>
      </c>
      <c r="B88" s="29" t="str">
        <f>'参照_特典詳細'!C36</f>
        <v>妖に魅入られる髪飾り</v>
      </c>
      <c r="C88" s="272" t="s">
        <v>72</v>
      </c>
      <c r="D88" s="187" t="s">
        <v>824</v>
      </c>
      <c r="E88" s="29" t="str">
        <f>'参照_特典詳細'!C36</f>
        <v>妖に魅入られる髪飾り</v>
      </c>
      <c r="F88" s="272" t="s">
        <v>74</v>
      </c>
      <c r="G88" s="187" t="s">
        <v>825</v>
      </c>
      <c r="H88" s="31"/>
      <c r="I88" s="28" t="s">
        <v>852</v>
      </c>
      <c r="J88" s="28" t="s">
        <v>853</v>
      </c>
      <c r="K88" s="273" t="s">
        <v>29</v>
      </c>
      <c r="L88" s="34" t="s">
        <v>67</v>
      </c>
      <c r="M88" s="34" t="s">
        <v>68</v>
      </c>
      <c r="N88" s="34" t="s">
        <v>69</v>
      </c>
      <c r="O88" s="35">
        <v>46064.0</v>
      </c>
      <c r="P88" s="34" t="s">
        <v>67</v>
      </c>
      <c r="Q88" s="28" t="s">
        <v>68</v>
      </c>
      <c r="R88" s="28" t="s">
        <v>69</v>
      </c>
      <c r="S88" s="45" t="s">
        <v>76</v>
      </c>
      <c r="T88" s="37"/>
      <c r="U88" s="37"/>
      <c r="V88" s="37"/>
    </row>
    <row r="89" ht="15.75" customHeight="1">
      <c r="A89" s="28">
        <f t="shared" si="1"/>
        <v>87</v>
      </c>
      <c r="B89" s="20"/>
      <c r="C89" s="259"/>
      <c r="D89" s="187" t="s">
        <v>826</v>
      </c>
      <c r="E89" s="20"/>
      <c r="F89" s="259"/>
      <c r="G89" s="187" t="s">
        <v>827</v>
      </c>
      <c r="H89" s="31"/>
      <c r="I89" s="28"/>
      <c r="J89" s="28"/>
      <c r="K89" s="20"/>
      <c r="L89" s="34" t="s">
        <v>67</v>
      </c>
      <c r="M89" s="34" t="s">
        <v>68</v>
      </c>
      <c r="N89" s="34" t="s">
        <v>69</v>
      </c>
      <c r="O89" s="35">
        <v>46064.0</v>
      </c>
      <c r="P89" s="34" t="s">
        <v>67</v>
      </c>
      <c r="Q89" s="28" t="s">
        <v>68</v>
      </c>
      <c r="R89" s="28" t="s">
        <v>69</v>
      </c>
      <c r="S89" s="45" t="s">
        <v>76</v>
      </c>
      <c r="T89" s="37"/>
      <c r="U89" s="37"/>
      <c r="V89" s="37"/>
    </row>
    <row r="90" ht="15.75" customHeight="1">
      <c r="A90" s="28">
        <f t="shared" si="1"/>
        <v>88</v>
      </c>
      <c r="B90" s="20"/>
      <c r="C90" s="274" t="s">
        <v>828</v>
      </c>
      <c r="D90" s="187" t="s">
        <v>829</v>
      </c>
      <c r="E90" s="20"/>
      <c r="F90" s="274" t="s">
        <v>830</v>
      </c>
      <c r="G90" s="187" t="s">
        <v>831</v>
      </c>
      <c r="H90" s="31" t="str">
        <f>'参照_特典詳細'!$D$36</f>
        <v>Blue Anemone Hair Clip</v>
      </c>
      <c r="I90" s="34"/>
      <c r="J90" s="28"/>
      <c r="K90" s="20"/>
      <c r="L90" s="34" t="s">
        <v>67</v>
      </c>
      <c r="M90" s="34" t="s">
        <v>68</v>
      </c>
      <c r="N90" s="34" t="s">
        <v>69</v>
      </c>
      <c r="O90" s="35">
        <v>46063.0</v>
      </c>
      <c r="P90" s="262"/>
      <c r="Q90" s="262"/>
      <c r="R90" s="262"/>
      <c r="S90" s="262"/>
      <c r="T90" s="37"/>
      <c r="U90" s="37"/>
      <c r="V90" s="37"/>
    </row>
    <row r="91" ht="15.75" customHeight="1">
      <c r="A91" s="28">
        <f t="shared" si="1"/>
        <v>89</v>
      </c>
      <c r="B91" s="20"/>
      <c r="C91" s="275"/>
      <c r="D91" s="187" t="s">
        <v>832</v>
      </c>
      <c r="E91" s="20"/>
      <c r="F91" s="275"/>
      <c r="G91" s="187" t="s">
        <v>833</v>
      </c>
      <c r="H91" s="31">
        <f>'参照_特典詳細'!$E$36</f>
        <v>80</v>
      </c>
      <c r="I91" s="34"/>
      <c r="J91" s="28"/>
      <c r="K91" s="21"/>
      <c r="L91" s="34" t="s">
        <v>67</v>
      </c>
      <c r="M91" s="34" t="s">
        <v>68</v>
      </c>
      <c r="N91" s="34" t="s">
        <v>69</v>
      </c>
      <c r="O91" s="35">
        <v>46063.0</v>
      </c>
      <c r="P91" s="262"/>
      <c r="Q91" s="262"/>
      <c r="R91" s="262"/>
      <c r="S91" s="262"/>
      <c r="T91" s="37"/>
      <c r="U91" s="37"/>
      <c r="V91" s="37"/>
    </row>
    <row r="92" ht="15.75" hidden="1" customHeight="1">
      <c r="A92" s="28">
        <f t="shared" si="1"/>
        <v>90</v>
      </c>
      <c r="B92" s="21"/>
      <c r="C92" s="259"/>
      <c r="D92" s="279" t="s">
        <v>834</v>
      </c>
      <c r="E92" s="21"/>
      <c r="F92" s="259"/>
      <c r="G92" s="279" t="s">
        <v>835</v>
      </c>
      <c r="H92" s="278" t="str">
        <f>'参照_特典詳細'!$F$36</f>
        <v>髪飾り_左</v>
      </c>
      <c r="I92" s="28"/>
      <c r="J92" s="28"/>
      <c r="K92" s="28"/>
      <c r="L92" s="28"/>
      <c r="M92" s="28"/>
      <c r="N92" s="28"/>
      <c r="O92" s="45"/>
      <c r="P92" s="262"/>
      <c r="Q92" s="262"/>
      <c r="R92" s="262"/>
      <c r="S92" s="262"/>
      <c r="T92" s="37"/>
      <c r="U92" s="37"/>
      <c r="V92" s="37"/>
    </row>
    <row r="93" ht="15.75" customHeight="1">
      <c r="A93" s="28">
        <f t="shared" si="1"/>
        <v>91</v>
      </c>
      <c r="B93" s="59" t="str">
        <f>'参照_特典詳細'!C37</f>
        <v>銀色に靡く艶髪</v>
      </c>
      <c r="C93" s="272" t="s">
        <v>72</v>
      </c>
      <c r="D93" s="190" t="s">
        <v>824</v>
      </c>
      <c r="E93" s="59" t="str">
        <f>'参照_特典詳細'!C37</f>
        <v>銀色に靡く艶髪</v>
      </c>
      <c r="F93" s="272" t="s">
        <v>74</v>
      </c>
      <c r="G93" s="190" t="s">
        <v>825</v>
      </c>
      <c r="H93" s="37"/>
      <c r="I93" s="28" t="s">
        <v>395</v>
      </c>
      <c r="J93" s="28" t="s">
        <v>854</v>
      </c>
      <c r="K93" s="273" t="s">
        <v>29</v>
      </c>
      <c r="L93" s="34" t="s">
        <v>67</v>
      </c>
      <c r="M93" s="34" t="s">
        <v>68</v>
      </c>
      <c r="N93" s="34" t="s">
        <v>69</v>
      </c>
      <c r="O93" s="35">
        <v>46064.0</v>
      </c>
      <c r="P93" s="34" t="s">
        <v>67</v>
      </c>
      <c r="Q93" s="28" t="s">
        <v>68</v>
      </c>
      <c r="R93" s="28" t="s">
        <v>69</v>
      </c>
      <c r="S93" s="45" t="s">
        <v>76</v>
      </c>
      <c r="T93" s="37"/>
      <c r="U93" s="37"/>
      <c r="V93" s="37"/>
    </row>
    <row r="94" ht="15.75" customHeight="1">
      <c r="A94" s="28">
        <f t="shared" si="1"/>
        <v>92</v>
      </c>
      <c r="B94" s="20"/>
      <c r="C94" s="259"/>
      <c r="D94" s="190" t="s">
        <v>826</v>
      </c>
      <c r="E94" s="20"/>
      <c r="F94" s="259"/>
      <c r="G94" s="190" t="s">
        <v>827</v>
      </c>
      <c r="H94" s="37"/>
      <c r="I94" s="28"/>
      <c r="J94" s="28"/>
      <c r="K94" s="20"/>
      <c r="L94" s="34" t="s">
        <v>67</v>
      </c>
      <c r="M94" s="34" t="s">
        <v>68</v>
      </c>
      <c r="N94" s="34" t="s">
        <v>69</v>
      </c>
      <c r="O94" s="35">
        <v>46064.0</v>
      </c>
      <c r="P94" s="34" t="s">
        <v>67</v>
      </c>
      <c r="Q94" s="28" t="s">
        <v>68</v>
      </c>
      <c r="R94" s="28" t="s">
        <v>69</v>
      </c>
      <c r="S94" s="45" t="s">
        <v>76</v>
      </c>
      <c r="T94" s="37"/>
      <c r="U94" s="37"/>
      <c r="V94" s="37"/>
    </row>
    <row r="95" ht="15.75" customHeight="1">
      <c r="A95" s="28">
        <f t="shared" si="1"/>
        <v>93</v>
      </c>
      <c r="B95" s="20"/>
      <c r="C95" s="274" t="s">
        <v>828</v>
      </c>
      <c r="D95" s="190" t="s">
        <v>829</v>
      </c>
      <c r="E95" s="20"/>
      <c r="F95" s="274" t="s">
        <v>830</v>
      </c>
      <c r="G95" s="190" t="s">
        <v>831</v>
      </c>
      <c r="H95" s="37" t="str">
        <f>'参照_特典詳細'!$D$37</f>
        <v>Shining Silver Ash Hair</v>
      </c>
      <c r="I95" s="34"/>
      <c r="J95" s="28"/>
      <c r="K95" s="20"/>
      <c r="L95" s="34" t="s">
        <v>67</v>
      </c>
      <c r="M95" s="34" t="s">
        <v>68</v>
      </c>
      <c r="N95" s="34" t="s">
        <v>69</v>
      </c>
      <c r="O95" s="35">
        <v>46063.0</v>
      </c>
      <c r="P95" s="262"/>
      <c r="Q95" s="262"/>
      <c r="R95" s="262"/>
      <c r="S95" s="262"/>
      <c r="T95" s="37"/>
      <c r="U95" s="37"/>
      <c r="V95" s="37"/>
    </row>
    <row r="96" ht="15.75" customHeight="1">
      <c r="A96" s="28">
        <f t="shared" si="1"/>
        <v>94</v>
      </c>
      <c r="B96" s="20"/>
      <c r="C96" s="275"/>
      <c r="D96" s="190" t="s">
        <v>832</v>
      </c>
      <c r="E96" s="20"/>
      <c r="F96" s="275"/>
      <c r="G96" s="190" t="s">
        <v>833</v>
      </c>
      <c r="H96" s="37">
        <f>'参照_特典詳細'!$E$37</f>
        <v>100</v>
      </c>
      <c r="I96" s="34"/>
      <c r="J96" s="28"/>
      <c r="K96" s="21"/>
      <c r="L96" s="34" t="s">
        <v>67</v>
      </c>
      <c r="M96" s="34" t="s">
        <v>68</v>
      </c>
      <c r="N96" s="34" t="s">
        <v>69</v>
      </c>
      <c r="O96" s="35">
        <v>46063.0</v>
      </c>
      <c r="P96" s="262"/>
      <c r="Q96" s="262"/>
      <c r="R96" s="262"/>
      <c r="S96" s="262"/>
      <c r="T96" s="37"/>
      <c r="U96" s="37"/>
      <c r="V96" s="37"/>
    </row>
    <row r="97" ht="15.75" hidden="1" customHeight="1">
      <c r="A97" s="28">
        <f t="shared" si="1"/>
        <v>95</v>
      </c>
      <c r="B97" s="21"/>
      <c r="C97" s="259"/>
      <c r="D97" s="279" t="s">
        <v>834</v>
      </c>
      <c r="E97" s="21"/>
      <c r="F97" s="259"/>
      <c r="G97" s="279" t="s">
        <v>835</v>
      </c>
      <c r="H97" s="278" t="str">
        <f>'参照_特典詳細'!$F$37</f>
        <v>Hair</v>
      </c>
      <c r="I97" s="28"/>
      <c r="J97" s="28"/>
      <c r="K97" s="28"/>
      <c r="L97" s="28"/>
      <c r="M97" s="28"/>
      <c r="N97" s="28"/>
      <c r="O97" s="45"/>
      <c r="P97" s="262"/>
      <c r="Q97" s="262"/>
      <c r="R97" s="262"/>
      <c r="S97" s="262"/>
      <c r="T97" s="37"/>
      <c r="U97" s="37"/>
      <c r="V97" s="37"/>
    </row>
    <row r="98" ht="15.75" customHeight="1">
      <c r="A98" s="28">
        <f t="shared" si="1"/>
        <v>96</v>
      </c>
      <c r="B98" s="29" t="str">
        <f>'参照_特典詳細'!C38</f>
        <v>白い曼珠沙華の姫効果</v>
      </c>
      <c r="C98" s="272" t="s">
        <v>72</v>
      </c>
      <c r="D98" s="187" t="s">
        <v>824</v>
      </c>
      <c r="E98" s="29" t="str">
        <f>'参照_特典詳細'!C38</f>
        <v>白い曼珠沙華の姫効果</v>
      </c>
      <c r="F98" s="272" t="s">
        <v>74</v>
      </c>
      <c r="G98" s="187" t="s">
        <v>825</v>
      </c>
      <c r="H98" s="31"/>
      <c r="I98" s="28" t="s">
        <v>399</v>
      </c>
      <c r="J98" s="28" t="s">
        <v>855</v>
      </c>
      <c r="K98" s="273" t="s">
        <v>29</v>
      </c>
      <c r="L98" s="34" t="s">
        <v>67</v>
      </c>
      <c r="M98" s="34" t="s">
        <v>68</v>
      </c>
      <c r="N98" s="34" t="s">
        <v>69</v>
      </c>
      <c r="O98" s="35">
        <v>46064.0</v>
      </c>
      <c r="P98" s="34" t="s">
        <v>67</v>
      </c>
      <c r="Q98" s="28" t="s">
        <v>68</v>
      </c>
      <c r="R98" s="28" t="s">
        <v>69</v>
      </c>
      <c r="S98" s="45" t="s">
        <v>76</v>
      </c>
      <c r="T98" s="37"/>
      <c r="U98" s="37"/>
      <c r="V98" s="37"/>
    </row>
    <row r="99" ht="15.75" customHeight="1">
      <c r="A99" s="28">
        <f t="shared" si="1"/>
        <v>97</v>
      </c>
      <c r="B99" s="20"/>
      <c r="C99" s="259"/>
      <c r="D99" s="187" t="s">
        <v>826</v>
      </c>
      <c r="E99" s="20"/>
      <c r="F99" s="259"/>
      <c r="G99" s="187" t="s">
        <v>827</v>
      </c>
      <c r="H99" s="31"/>
      <c r="I99" s="28"/>
      <c r="J99" s="28"/>
      <c r="K99" s="20"/>
      <c r="L99" s="34" t="s">
        <v>67</v>
      </c>
      <c r="M99" s="34" t="s">
        <v>68</v>
      </c>
      <c r="N99" s="34" t="s">
        <v>69</v>
      </c>
      <c r="O99" s="35">
        <v>46064.0</v>
      </c>
      <c r="P99" s="34" t="s">
        <v>67</v>
      </c>
      <c r="Q99" s="28" t="s">
        <v>68</v>
      </c>
      <c r="R99" s="28" t="s">
        <v>69</v>
      </c>
      <c r="S99" s="45" t="s">
        <v>76</v>
      </c>
      <c r="T99" s="37"/>
      <c r="U99" s="37"/>
      <c r="V99" s="37"/>
    </row>
    <row r="100" ht="15.75" customHeight="1">
      <c r="A100" s="28">
        <f t="shared" si="1"/>
        <v>98</v>
      </c>
      <c r="B100" s="20"/>
      <c r="C100" s="274" t="s">
        <v>828</v>
      </c>
      <c r="D100" s="187" t="s">
        <v>829</v>
      </c>
      <c r="E100" s="20"/>
      <c r="F100" s="274" t="s">
        <v>830</v>
      </c>
      <c r="G100" s="187" t="s">
        <v>831</v>
      </c>
      <c r="H100" s="31" t="str">
        <f>'参照_特典詳細'!$D$38</f>
        <v>Effect: Shiny White Spider Lily</v>
      </c>
      <c r="I100" s="34"/>
      <c r="J100" s="28"/>
      <c r="K100" s="20"/>
      <c r="L100" s="34" t="s">
        <v>67</v>
      </c>
      <c r="M100" s="34" t="s">
        <v>68</v>
      </c>
      <c r="N100" s="34" t="s">
        <v>69</v>
      </c>
      <c r="O100" s="35">
        <v>46063.0</v>
      </c>
      <c r="P100" s="262"/>
      <c r="Q100" s="262"/>
      <c r="R100" s="262"/>
      <c r="S100" s="262"/>
      <c r="T100" s="37"/>
      <c r="U100" s="37"/>
      <c r="V100" s="37"/>
    </row>
    <row r="101" ht="15.75" customHeight="1">
      <c r="A101" s="28">
        <f t="shared" si="1"/>
        <v>99</v>
      </c>
      <c r="B101" s="20"/>
      <c r="C101" s="275"/>
      <c r="D101" s="187" t="s">
        <v>832</v>
      </c>
      <c r="E101" s="20"/>
      <c r="F101" s="275"/>
      <c r="G101" s="187" t="s">
        <v>833</v>
      </c>
      <c r="H101" s="31">
        <f>'参照_特典詳細'!$E$38</f>
        <v>120</v>
      </c>
      <c r="I101" s="34"/>
      <c r="J101" s="28"/>
      <c r="K101" s="21"/>
      <c r="L101" s="34" t="s">
        <v>67</v>
      </c>
      <c r="M101" s="34" t="s">
        <v>68</v>
      </c>
      <c r="N101" s="34" t="s">
        <v>69</v>
      </c>
      <c r="O101" s="35">
        <v>46063.0</v>
      </c>
      <c r="P101" s="262"/>
      <c r="Q101" s="262"/>
      <c r="R101" s="262"/>
      <c r="S101" s="262"/>
      <c r="T101" s="37"/>
      <c r="U101" s="37"/>
      <c r="V101" s="37"/>
    </row>
    <row r="102" ht="15.75" hidden="1" customHeight="1">
      <c r="A102" s="28">
        <f t="shared" si="1"/>
        <v>100</v>
      </c>
      <c r="B102" s="21"/>
      <c r="C102" s="259"/>
      <c r="D102" s="279" t="s">
        <v>834</v>
      </c>
      <c r="E102" s="21"/>
      <c r="F102" s="259"/>
      <c r="G102" s="279" t="s">
        <v>835</v>
      </c>
      <c r="H102" s="278" t="str">
        <f>'参照_特典詳細'!$F$38</f>
        <v>人物まわり（効果）</v>
      </c>
      <c r="I102" s="28"/>
      <c r="J102" s="28"/>
      <c r="K102" s="28"/>
      <c r="L102" s="28"/>
      <c r="M102" s="28"/>
      <c r="N102" s="28"/>
      <c r="O102" s="45"/>
      <c r="P102" s="262"/>
      <c r="Q102" s="262"/>
      <c r="R102" s="262"/>
      <c r="S102" s="262"/>
      <c r="T102" s="37"/>
      <c r="U102" s="37"/>
      <c r="V102" s="37"/>
    </row>
    <row r="103" ht="15.75" customHeight="1">
      <c r="A103" s="28">
        <f t="shared" si="1"/>
        <v>101</v>
      </c>
      <c r="B103" s="59" t="str">
        <f>'参照_特典詳細'!C39</f>
        <v>もう一つの妖絵巻の舞台</v>
      </c>
      <c r="C103" s="272" t="s">
        <v>72</v>
      </c>
      <c r="D103" s="190" t="s">
        <v>824</v>
      </c>
      <c r="E103" s="59" t="str">
        <f>'参照_特典詳細'!C39</f>
        <v>もう一つの妖絵巻の舞台</v>
      </c>
      <c r="F103" s="272" t="s">
        <v>74</v>
      </c>
      <c r="G103" s="190" t="s">
        <v>825</v>
      </c>
      <c r="H103" s="37"/>
      <c r="I103" s="28" t="s">
        <v>403</v>
      </c>
      <c r="J103" s="28" t="s">
        <v>856</v>
      </c>
      <c r="K103" s="273" t="s">
        <v>29</v>
      </c>
      <c r="L103" s="34" t="s">
        <v>67</v>
      </c>
      <c r="M103" s="34" t="s">
        <v>68</v>
      </c>
      <c r="N103" s="34" t="s">
        <v>69</v>
      </c>
      <c r="O103" s="35">
        <v>46064.0</v>
      </c>
      <c r="P103" s="34" t="s">
        <v>67</v>
      </c>
      <c r="Q103" s="28" t="s">
        <v>68</v>
      </c>
      <c r="R103" s="28" t="s">
        <v>69</v>
      </c>
      <c r="S103" s="45" t="s">
        <v>76</v>
      </c>
      <c r="T103" s="37"/>
      <c r="U103" s="37"/>
      <c r="V103" s="37"/>
    </row>
    <row r="104" ht="15.75" customHeight="1">
      <c r="A104" s="28">
        <f t="shared" si="1"/>
        <v>102</v>
      </c>
      <c r="B104" s="20"/>
      <c r="C104" s="259"/>
      <c r="D104" s="190" t="s">
        <v>826</v>
      </c>
      <c r="E104" s="20"/>
      <c r="F104" s="259"/>
      <c r="G104" s="190" t="s">
        <v>827</v>
      </c>
      <c r="H104" s="37"/>
      <c r="I104" s="28"/>
      <c r="J104" s="28"/>
      <c r="K104" s="20"/>
      <c r="L104" s="34" t="s">
        <v>67</v>
      </c>
      <c r="M104" s="34" t="s">
        <v>68</v>
      </c>
      <c r="N104" s="34" t="s">
        <v>69</v>
      </c>
      <c r="O104" s="35">
        <v>46064.0</v>
      </c>
      <c r="P104" s="34" t="s">
        <v>67</v>
      </c>
      <c r="Q104" s="28" t="s">
        <v>68</v>
      </c>
      <c r="R104" s="28" t="s">
        <v>69</v>
      </c>
      <c r="S104" s="45" t="s">
        <v>76</v>
      </c>
      <c r="T104" s="37"/>
      <c r="U104" s="37"/>
      <c r="V104" s="37"/>
    </row>
    <row r="105" ht="15.75" customHeight="1">
      <c r="A105" s="28">
        <f t="shared" si="1"/>
        <v>103</v>
      </c>
      <c r="B105" s="20"/>
      <c r="C105" s="274" t="s">
        <v>828</v>
      </c>
      <c r="D105" s="190" t="s">
        <v>829</v>
      </c>
      <c r="E105" s="20"/>
      <c r="F105" s="274" t="s">
        <v>830</v>
      </c>
      <c r="G105" s="190" t="s">
        <v>831</v>
      </c>
      <c r="H105" s="37" t="str">
        <f>'参照_特典詳細'!$D$39</f>
        <v>The Forest Where Spirits Dwell</v>
      </c>
      <c r="I105" s="34"/>
      <c r="J105" s="28"/>
      <c r="K105" s="20"/>
      <c r="L105" s="34" t="s">
        <v>67</v>
      </c>
      <c r="M105" s="34" t="s">
        <v>68</v>
      </c>
      <c r="N105" s="34" t="s">
        <v>69</v>
      </c>
      <c r="O105" s="35">
        <v>46063.0</v>
      </c>
      <c r="P105" s="262"/>
      <c r="Q105" s="262"/>
      <c r="R105" s="262"/>
      <c r="S105" s="262"/>
      <c r="T105" s="37"/>
      <c r="U105" s="37"/>
      <c r="V105" s="37"/>
    </row>
    <row r="106" ht="15.75" customHeight="1">
      <c r="A106" s="28">
        <f t="shared" si="1"/>
        <v>104</v>
      </c>
      <c r="B106" s="20"/>
      <c r="C106" s="275"/>
      <c r="D106" s="190" t="s">
        <v>832</v>
      </c>
      <c r="E106" s="20"/>
      <c r="F106" s="275"/>
      <c r="G106" s="190" t="s">
        <v>833</v>
      </c>
      <c r="H106" s="37">
        <f>'参照_特典詳細'!$E$39</f>
        <v>150</v>
      </c>
      <c r="I106" s="34"/>
      <c r="J106" s="28"/>
      <c r="K106" s="21"/>
      <c r="L106" s="34" t="s">
        <v>67</v>
      </c>
      <c r="M106" s="34" t="s">
        <v>68</v>
      </c>
      <c r="N106" s="34" t="s">
        <v>69</v>
      </c>
      <c r="O106" s="35">
        <v>46063.0</v>
      </c>
      <c r="P106" s="262"/>
      <c r="Q106" s="262"/>
      <c r="R106" s="262"/>
      <c r="S106" s="262"/>
      <c r="T106" s="37"/>
      <c r="U106" s="37"/>
      <c r="V106" s="37"/>
    </row>
    <row r="107" ht="15.75" hidden="1" customHeight="1">
      <c r="A107" s="28">
        <f t="shared" si="1"/>
        <v>105</v>
      </c>
      <c r="B107" s="21"/>
      <c r="C107" s="259"/>
      <c r="D107" s="279" t="s">
        <v>834</v>
      </c>
      <c r="E107" s="21"/>
      <c r="F107" s="259"/>
      <c r="G107" s="279" t="s">
        <v>835</v>
      </c>
      <c r="H107" s="278" t="str">
        <f>'参照_特典詳細'!$F$39</f>
        <v>壁紙</v>
      </c>
      <c r="I107" s="28"/>
      <c r="J107" s="28"/>
      <c r="K107" s="28"/>
      <c r="L107" s="28"/>
      <c r="M107" s="28"/>
      <c r="N107" s="28"/>
      <c r="O107" s="45"/>
      <c r="P107" s="262"/>
      <c r="Q107" s="262"/>
      <c r="R107" s="262"/>
      <c r="S107" s="262"/>
      <c r="T107" s="37"/>
      <c r="U107" s="37"/>
      <c r="V107" s="37"/>
    </row>
    <row r="108" ht="15.75" customHeight="1">
      <c r="A108" s="28">
        <f t="shared" si="1"/>
        <v>106</v>
      </c>
      <c r="B108" s="29" t="str">
        <f>'参照_特典詳細'!C29</f>
        <v>『恋遊戯』天下取り称号</v>
      </c>
      <c r="C108" s="272" t="s">
        <v>72</v>
      </c>
      <c r="D108" s="187" t="s">
        <v>824</v>
      </c>
      <c r="E108" s="29" t="str">
        <f>'参照_特典詳細'!C29</f>
        <v>『恋遊戯』天下取り称号</v>
      </c>
      <c r="F108" s="272" t="s">
        <v>74</v>
      </c>
      <c r="G108" s="187" t="s">
        <v>825</v>
      </c>
      <c r="H108" s="31"/>
      <c r="I108" s="28" t="s">
        <v>456</v>
      </c>
      <c r="J108" s="28" t="s">
        <v>857</v>
      </c>
      <c r="K108" s="273" t="s">
        <v>29</v>
      </c>
      <c r="L108" s="34" t="s">
        <v>67</v>
      </c>
      <c r="M108" s="34" t="s">
        <v>68</v>
      </c>
      <c r="N108" s="34" t="s">
        <v>69</v>
      </c>
      <c r="O108" s="35">
        <v>46064.0</v>
      </c>
      <c r="P108" s="34" t="s">
        <v>67</v>
      </c>
      <c r="Q108" s="28" t="s">
        <v>68</v>
      </c>
      <c r="R108" s="28" t="s">
        <v>69</v>
      </c>
      <c r="S108" s="45" t="s">
        <v>76</v>
      </c>
      <c r="T108" s="37"/>
      <c r="U108" s="37"/>
      <c r="V108" s="37"/>
    </row>
    <row r="109" ht="15.75" customHeight="1">
      <c r="A109" s="28">
        <f t="shared" si="1"/>
        <v>107</v>
      </c>
      <c r="B109" s="20"/>
      <c r="C109" s="259"/>
      <c r="D109" s="187" t="s">
        <v>826</v>
      </c>
      <c r="E109" s="20"/>
      <c r="F109" s="259"/>
      <c r="G109" s="187" t="s">
        <v>827</v>
      </c>
      <c r="H109" s="31"/>
      <c r="I109" s="28"/>
      <c r="J109" s="28"/>
      <c r="K109" s="20"/>
      <c r="L109" s="34" t="s">
        <v>67</v>
      </c>
      <c r="M109" s="34" t="s">
        <v>68</v>
      </c>
      <c r="N109" s="34" t="s">
        <v>69</v>
      </c>
      <c r="O109" s="35">
        <v>46064.0</v>
      </c>
      <c r="P109" s="34" t="s">
        <v>67</v>
      </c>
      <c r="Q109" s="28" t="s">
        <v>68</v>
      </c>
      <c r="R109" s="28" t="s">
        <v>69</v>
      </c>
      <c r="S109" s="45" t="s">
        <v>76</v>
      </c>
      <c r="T109" s="37"/>
      <c r="U109" s="37"/>
      <c r="V109" s="37"/>
    </row>
    <row r="110" ht="15.75" customHeight="1">
      <c r="A110" s="28">
        <f t="shared" si="1"/>
        <v>108</v>
      </c>
      <c r="B110" s="20"/>
      <c r="C110" s="274" t="s">
        <v>828</v>
      </c>
      <c r="D110" s="187" t="s">
        <v>829</v>
      </c>
      <c r="E110" s="20"/>
      <c r="F110" s="274" t="s">
        <v>830</v>
      </c>
      <c r="G110" s="187" t="s">
        <v>831</v>
      </c>
      <c r="H110" s="31" t="str">
        <f>'参照_特典詳細'!$D$29</f>
        <v>Mystic Matrimony Top Ranker Placard</v>
      </c>
      <c r="I110" s="34"/>
      <c r="J110" s="28"/>
      <c r="K110" s="20"/>
      <c r="L110" s="34" t="s">
        <v>67</v>
      </c>
      <c r="M110" s="34" t="s">
        <v>68</v>
      </c>
      <c r="N110" s="34" t="s">
        <v>69</v>
      </c>
      <c r="O110" s="35">
        <v>46063.0</v>
      </c>
      <c r="P110" s="262"/>
      <c r="Q110" s="262"/>
      <c r="R110" s="262"/>
      <c r="S110" s="262"/>
      <c r="T110" s="37"/>
      <c r="U110" s="37"/>
      <c r="V110" s="37"/>
    </row>
    <row r="111" ht="15.75" customHeight="1">
      <c r="A111" s="28">
        <f t="shared" si="1"/>
        <v>109</v>
      </c>
      <c r="B111" s="20"/>
      <c r="C111" s="275"/>
      <c r="D111" s="187" t="s">
        <v>832</v>
      </c>
      <c r="E111" s="20"/>
      <c r="F111" s="275"/>
      <c r="G111" s="187" t="s">
        <v>833</v>
      </c>
      <c r="H111" s="31">
        <f>'参照_特典詳細'!$E$29</f>
        <v>300</v>
      </c>
      <c r="I111" s="34"/>
      <c r="J111" s="28"/>
      <c r="K111" s="21"/>
      <c r="L111" s="34" t="s">
        <v>67</v>
      </c>
      <c r="M111" s="34" t="s">
        <v>68</v>
      </c>
      <c r="N111" s="34" t="s">
        <v>69</v>
      </c>
      <c r="O111" s="35">
        <v>46063.0</v>
      </c>
      <c r="P111" s="262"/>
      <c r="Q111" s="262"/>
      <c r="R111" s="262"/>
      <c r="S111" s="262"/>
      <c r="T111" s="37"/>
      <c r="U111" s="37"/>
      <c r="V111" s="37"/>
    </row>
    <row r="112" ht="15.75" hidden="1" customHeight="1">
      <c r="A112" s="28">
        <f t="shared" si="1"/>
        <v>110</v>
      </c>
      <c r="B112" s="21"/>
      <c r="C112" s="259"/>
      <c r="D112" s="279" t="s">
        <v>834</v>
      </c>
      <c r="E112" s="21"/>
      <c r="F112" s="259"/>
      <c r="G112" s="279" t="s">
        <v>835</v>
      </c>
      <c r="H112" s="278" t="str">
        <f>'参照_特典詳細'!$F$29</f>
        <v>新称号4</v>
      </c>
      <c r="I112" s="28"/>
      <c r="J112" s="28"/>
      <c r="K112" s="28"/>
      <c r="L112" s="28"/>
      <c r="M112" s="28"/>
      <c r="N112" s="28"/>
      <c r="O112" s="45"/>
      <c r="P112" s="262"/>
      <c r="Q112" s="262"/>
      <c r="R112" s="262"/>
      <c r="S112" s="262"/>
      <c r="T112" s="37"/>
      <c r="U112" s="37"/>
      <c r="V112" s="37"/>
    </row>
    <row r="113" ht="15.75" customHeight="1">
      <c r="A113" s="28">
        <f t="shared" si="1"/>
        <v>111</v>
      </c>
      <c r="B113" s="59" t="str">
        <f>'参照_特典詳細'!C40</f>
        <v>妖に魅入られる姫の豪華着物</v>
      </c>
      <c r="C113" s="272" t="s">
        <v>72</v>
      </c>
      <c r="D113" s="190" t="s">
        <v>824</v>
      </c>
      <c r="E113" s="59" t="str">
        <f>'参照_特典詳細'!C40</f>
        <v>妖に魅入られる姫の豪華着物</v>
      </c>
      <c r="F113" s="272" t="s">
        <v>74</v>
      </c>
      <c r="G113" s="190" t="s">
        <v>825</v>
      </c>
      <c r="H113" s="37"/>
      <c r="I113" s="28" t="s">
        <v>460</v>
      </c>
      <c r="J113" s="28" t="s">
        <v>858</v>
      </c>
      <c r="K113" s="273" t="s">
        <v>29</v>
      </c>
      <c r="L113" s="34" t="s">
        <v>67</v>
      </c>
      <c r="M113" s="34" t="s">
        <v>68</v>
      </c>
      <c r="N113" s="34" t="s">
        <v>69</v>
      </c>
      <c r="O113" s="35">
        <v>46064.0</v>
      </c>
      <c r="P113" s="34" t="s">
        <v>67</v>
      </c>
      <c r="Q113" s="28" t="s">
        <v>68</v>
      </c>
      <c r="R113" s="28" t="s">
        <v>69</v>
      </c>
      <c r="S113" s="45" t="s">
        <v>76</v>
      </c>
      <c r="T113" s="37"/>
      <c r="U113" s="37"/>
      <c r="V113" s="37"/>
    </row>
    <row r="114" ht="15.75" customHeight="1">
      <c r="A114" s="28">
        <f t="shared" si="1"/>
        <v>112</v>
      </c>
      <c r="B114" s="20"/>
      <c r="C114" s="259"/>
      <c r="D114" s="190" t="s">
        <v>826</v>
      </c>
      <c r="E114" s="20"/>
      <c r="F114" s="259"/>
      <c r="G114" s="190" t="s">
        <v>827</v>
      </c>
      <c r="H114" s="37"/>
      <c r="I114" s="28"/>
      <c r="J114" s="28"/>
      <c r="K114" s="20"/>
      <c r="L114" s="34" t="s">
        <v>67</v>
      </c>
      <c r="M114" s="34" t="s">
        <v>68</v>
      </c>
      <c r="N114" s="34" t="s">
        <v>69</v>
      </c>
      <c r="O114" s="35">
        <v>46064.0</v>
      </c>
      <c r="P114" s="34" t="s">
        <v>67</v>
      </c>
      <c r="Q114" s="28" t="s">
        <v>68</v>
      </c>
      <c r="R114" s="28" t="s">
        <v>69</v>
      </c>
      <c r="S114" s="45" t="s">
        <v>76</v>
      </c>
      <c r="T114" s="37"/>
      <c r="U114" s="37"/>
      <c r="V114" s="37"/>
    </row>
    <row r="115" ht="15.75" customHeight="1">
      <c r="A115" s="28">
        <f t="shared" si="1"/>
        <v>113</v>
      </c>
      <c r="B115" s="20"/>
      <c r="C115" s="274" t="s">
        <v>828</v>
      </c>
      <c r="D115" s="190" t="s">
        <v>829</v>
      </c>
      <c r="E115" s="20"/>
      <c r="F115" s="280" t="s">
        <v>830</v>
      </c>
      <c r="G115" s="190" t="s">
        <v>831</v>
      </c>
      <c r="H115" s="37" t="str">
        <f>'参照_特典詳細'!$D$40</f>
        <v>Enchanted Cobalt Green Kimono</v>
      </c>
      <c r="I115" s="34"/>
      <c r="J115" s="28"/>
      <c r="K115" s="20"/>
      <c r="L115" s="34" t="s">
        <v>67</v>
      </c>
      <c r="M115" s="34" t="s">
        <v>68</v>
      </c>
      <c r="N115" s="34" t="s">
        <v>69</v>
      </c>
      <c r="O115" s="35">
        <v>46063.0</v>
      </c>
      <c r="P115" s="262"/>
      <c r="Q115" s="262"/>
      <c r="R115" s="262"/>
      <c r="S115" s="262"/>
      <c r="T115" s="37"/>
      <c r="U115" s="37"/>
      <c r="V115" s="37"/>
    </row>
    <row r="116" ht="15.75" customHeight="1">
      <c r="A116" s="28">
        <f t="shared" si="1"/>
        <v>114</v>
      </c>
      <c r="B116" s="20"/>
      <c r="C116" s="275"/>
      <c r="D116" s="190" t="s">
        <v>832</v>
      </c>
      <c r="E116" s="20"/>
      <c r="F116" s="275"/>
      <c r="G116" s="190" t="s">
        <v>833</v>
      </c>
      <c r="H116" s="37">
        <f>'参照_特典詳細'!$E$40</f>
        <v>250</v>
      </c>
      <c r="I116" s="34"/>
      <c r="J116" s="28"/>
      <c r="K116" s="21"/>
      <c r="L116" s="34" t="s">
        <v>67</v>
      </c>
      <c r="M116" s="34" t="s">
        <v>68</v>
      </c>
      <c r="N116" s="34" t="s">
        <v>69</v>
      </c>
      <c r="O116" s="35">
        <v>46063.0</v>
      </c>
      <c r="P116" s="262"/>
      <c r="Q116" s="262"/>
      <c r="R116" s="262"/>
      <c r="S116" s="262"/>
      <c r="T116" s="37"/>
      <c r="U116" s="37"/>
      <c r="V116" s="37"/>
    </row>
    <row r="117" ht="15.75" hidden="1" customHeight="1">
      <c r="A117" s="28">
        <f t="shared" si="1"/>
        <v>115</v>
      </c>
      <c r="B117" s="21"/>
      <c r="C117" s="259"/>
      <c r="D117" s="279" t="s">
        <v>834</v>
      </c>
      <c r="E117" s="21"/>
      <c r="F117" s="259"/>
      <c r="G117" s="279" t="s">
        <v>835</v>
      </c>
      <c r="H117" s="278" t="str">
        <f>'参照_特典詳細'!$F$40</f>
        <v>小袖・振袖</v>
      </c>
      <c r="I117" s="28"/>
      <c r="J117" s="28"/>
      <c r="K117" s="28"/>
      <c r="L117" s="28"/>
      <c r="M117" s="28"/>
      <c r="N117" s="28"/>
      <c r="O117" s="45"/>
      <c r="P117" s="262"/>
      <c r="Q117" s="262"/>
      <c r="R117" s="262"/>
      <c r="S117" s="262"/>
      <c r="T117" s="37"/>
      <c r="U117" s="37"/>
      <c r="V117" s="37"/>
    </row>
    <row r="118" ht="15.75" customHeight="1">
      <c r="A118" s="28">
        <f t="shared" si="1"/>
        <v>116</v>
      </c>
      <c r="B118" s="29" t="str">
        <f>'参照_特典詳細'!C34</f>
        <v>九狐と信長・政宗・兼続</v>
      </c>
      <c r="C118" s="272" t="s">
        <v>72</v>
      </c>
      <c r="D118" s="187" t="s">
        <v>824</v>
      </c>
      <c r="E118" s="29" t="str">
        <f>'参照_特典詳細'!C34</f>
        <v>九狐と信長・政宗・兼続</v>
      </c>
      <c r="F118" s="272" t="s">
        <v>74</v>
      </c>
      <c r="G118" s="187" t="s">
        <v>825</v>
      </c>
      <c r="H118" s="31"/>
      <c r="I118" s="28" t="s">
        <v>472</v>
      </c>
      <c r="J118" s="28" t="s">
        <v>859</v>
      </c>
      <c r="K118" s="273" t="s">
        <v>29</v>
      </c>
      <c r="L118" s="34" t="s">
        <v>67</v>
      </c>
      <c r="M118" s="34" t="s">
        <v>68</v>
      </c>
      <c r="N118" s="34" t="s">
        <v>69</v>
      </c>
      <c r="O118" s="35">
        <v>46064.0</v>
      </c>
      <c r="P118" s="34" t="s">
        <v>67</v>
      </c>
      <c r="Q118" s="28" t="s">
        <v>68</v>
      </c>
      <c r="R118" s="28" t="s">
        <v>69</v>
      </c>
      <c r="S118" s="45" t="s">
        <v>76</v>
      </c>
      <c r="T118" s="37"/>
      <c r="U118" s="37"/>
      <c r="V118" s="37"/>
    </row>
    <row r="119" ht="15.75" customHeight="1">
      <c r="A119" s="28">
        <f t="shared" si="1"/>
        <v>117</v>
      </c>
      <c r="B119" s="20"/>
      <c r="C119" s="259"/>
      <c r="D119" s="187" t="s">
        <v>826</v>
      </c>
      <c r="E119" s="20"/>
      <c r="F119" s="259"/>
      <c r="G119" s="187" t="s">
        <v>827</v>
      </c>
      <c r="H119" s="31"/>
      <c r="I119" s="28"/>
      <c r="J119" s="28"/>
      <c r="K119" s="20"/>
      <c r="L119" s="34" t="s">
        <v>67</v>
      </c>
      <c r="M119" s="34" t="s">
        <v>68</v>
      </c>
      <c r="N119" s="34" t="s">
        <v>69</v>
      </c>
      <c r="O119" s="35">
        <v>46064.0</v>
      </c>
      <c r="P119" s="34" t="s">
        <v>67</v>
      </c>
      <c r="Q119" s="28" t="s">
        <v>68</v>
      </c>
      <c r="R119" s="28" t="s">
        <v>69</v>
      </c>
      <c r="S119" s="45" t="s">
        <v>76</v>
      </c>
      <c r="T119" s="37"/>
      <c r="U119" s="37"/>
      <c r="V119" s="37"/>
    </row>
    <row r="120" ht="15.75" customHeight="1">
      <c r="A120" s="28">
        <f t="shared" si="1"/>
        <v>118</v>
      </c>
      <c r="B120" s="20"/>
      <c r="C120" s="274" t="s">
        <v>828</v>
      </c>
      <c r="D120" s="187" t="s">
        <v>829</v>
      </c>
      <c r="E120" s="20"/>
      <c r="F120" s="274" t="s">
        <v>860</v>
      </c>
      <c r="G120" s="187" t="s">
        <v>831</v>
      </c>
      <c r="H120" s="31" t="str">
        <f>'参照_特典詳細'!$D$34</f>
        <v>Nine-Tailed Fox Warlords 1</v>
      </c>
      <c r="I120" s="34"/>
      <c r="J120" s="28"/>
      <c r="K120" s="20"/>
      <c r="L120" s="34" t="s">
        <v>67</v>
      </c>
      <c r="M120" s="34" t="s">
        <v>68</v>
      </c>
      <c r="N120" s="34" t="s">
        <v>69</v>
      </c>
      <c r="O120" s="35">
        <v>46063.0</v>
      </c>
      <c r="P120" s="262"/>
      <c r="Q120" s="262"/>
      <c r="R120" s="262"/>
      <c r="S120" s="262"/>
      <c r="T120" s="37"/>
      <c r="U120" s="37"/>
      <c r="V120" s="37"/>
    </row>
    <row r="121" ht="15.75" customHeight="1">
      <c r="A121" s="28">
        <f t="shared" si="1"/>
        <v>119</v>
      </c>
      <c r="B121" s="20"/>
      <c r="C121" s="275"/>
      <c r="D121" s="187" t="s">
        <v>832</v>
      </c>
      <c r="E121" s="20"/>
      <c r="F121" s="275"/>
      <c r="G121" s="187" t="s">
        <v>833</v>
      </c>
      <c r="H121" s="31">
        <f>'参照_特典詳細'!$E$34</f>
        <v>210</v>
      </c>
      <c r="I121" s="34"/>
      <c r="J121" s="28"/>
      <c r="K121" s="21"/>
      <c r="L121" s="34" t="s">
        <v>67</v>
      </c>
      <c r="M121" s="34" t="s">
        <v>68</v>
      </c>
      <c r="N121" s="34" t="s">
        <v>69</v>
      </c>
      <c r="O121" s="35">
        <v>46063.0</v>
      </c>
      <c r="P121" s="262"/>
      <c r="Q121" s="262"/>
      <c r="R121" s="262"/>
      <c r="S121" s="262"/>
      <c r="T121" s="37"/>
      <c r="U121" s="37"/>
      <c r="V121" s="37"/>
    </row>
    <row r="122" ht="15.75" hidden="1" customHeight="1">
      <c r="A122" s="28">
        <f t="shared" si="1"/>
        <v>120</v>
      </c>
      <c r="B122" s="21"/>
      <c r="C122" s="259"/>
      <c r="D122" s="279" t="s">
        <v>834</v>
      </c>
      <c r="E122" s="21"/>
      <c r="F122" s="259"/>
      <c r="G122" s="279" t="s">
        <v>835</v>
      </c>
      <c r="H122" s="278" t="str">
        <f>'参照_特典詳細'!$F$34</f>
        <v>ミニキャラ集合系_前列</v>
      </c>
      <c r="I122" s="28"/>
      <c r="J122" s="28"/>
      <c r="K122" s="28"/>
      <c r="L122" s="28"/>
      <c r="M122" s="28"/>
      <c r="N122" s="28"/>
      <c r="O122" s="45"/>
      <c r="P122" s="262"/>
      <c r="Q122" s="262"/>
      <c r="R122" s="262"/>
      <c r="S122" s="262"/>
      <c r="T122" s="37"/>
      <c r="U122" s="37"/>
      <c r="V122" s="37"/>
    </row>
    <row r="123" ht="15.75" customHeight="1">
      <c r="A123" s="28">
        <f t="shared" si="1"/>
        <v>121</v>
      </c>
      <c r="B123" s="59" t="str">
        <f>'参照_特典詳細'!C35</f>
        <v>九狐と義元・元就・帰蝶</v>
      </c>
      <c r="C123" s="272" t="s">
        <v>72</v>
      </c>
      <c r="D123" s="190" t="s">
        <v>824</v>
      </c>
      <c r="E123" s="59" t="str">
        <f>'参照_特典詳細'!C35</f>
        <v>九狐と義元・元就・帰蝶</v>
      </c>
      <c r="F123" s="272" t="s">
        <v>74</v>
      </c>
      <c r="G123" s="190" t="s">
        <v>825</v>
      </c>
      <c r="H123" s="37"/>
      <c r="I123" s="28" t="s">
        <v>475</v>
      </c>
      <c r="J123" s="28" t="s">
        <v>861</v>
      </c>
      <c r="K123" s="273" t="s">
        <v>29</v>
      </c>
      <c r="L123" s="34" t="s">
        <v>67</v>
      </c>
      <c r="M123" s="34" t="s">
        <v>68</v>
      </c>
      <c r="N123" s="34" t="s">
        <v>69</v>
      </c>
      <c r="O123" s="35">
        <v>46064.0</v>
      </c>
      <c r="P123" s="34" t="s">
        <v>67</v>
      </c>
      <c r="Q123" s="28" t="s">
        <v>68</v>
      </c>
      <c r="R123" s="28" t="s">
        <v>69</v>
      </c>
      <c r="S123" s="45" t="s">
        <v>76</v>
      </c>
      <c r="T123" s="37"/>
      <c r="U123" s="37"/>
      <c r="V123" s="37"/>
    </row>
    <row r="124" ht="15.75" customHeight="1">
      <c r="A124" s="28">
        <f t="shared" si="1"/>
        <v>122</v>
      </c>
      <c r="B124" s="20"/>
      <c r="C124" s="259"/>
      <c r="D124" s="190" t="s">
        <v>826</v>
      </c>
      <c r="E124" s="20"/>
      <c r="F124" s="259"/>
      <c r="G124" s="190" t="s">
        <v>827</v>
      </c>
      <c r="H124" s="37"/>
      <c r="I124" s="28"/>
      <c r="J124" s="28"/>
      <c r="K124" s="20"/>
      <c r="L124" s="34" t="s">
        <v>67</v>
      </c>
      <c r="M124" s="34" t="s">
        <v>68</v>
      </c>
      <c r="N124" s="34" t="s">
        <v>69</v>
      </c>
      <c r="O124" s="35">
        <v>46064.0</v>
      </c>
      <c r="P124" s="34" t="s">
        <v>67</v>
      </c>
      <c r="Q124" s="28" t="s">
        <v>68</v>
      </c>
      <c r="R124" s="28" t="s">
        <v>69</v>
      </c>
      <c r="S124" s="45" t="s">
        <v>76</v>
      </c>
      <c r="T124" s="37"/>
      <c r="U124" s="37"/>
      <c r="V124" s="37"/>
    </row>
    <row r="125" ht="15.75" customHeight="1">
      <c r="A125" s="28">
        <f t="shared" si="1"/>
        <v>123</v>
      </c>
      <c r="B125" s="20"/>
      <c r="C125" s="274" t="s">
        <v>828</v>
      </c>
      <c r="D125" s="190" t="s">
        <v>829</v>
      </c>
      <c r="E125" s="20"/>
      <c r="F125" s="274" t="s">
        <v>862</v>
      </c>
      <c r="G125" s="190" t="s">
        <v>831</v>
      </c>
      <c r="H125" s="37" t="str">
        <f>'参照_特典詳細'!$D$35</f>
        <v>Nine-Tailed Fox Warlords 2</v>
      </c>
      <c r="I125" s="34"/>
      <c r="J125" s="28"/>
      <c r="K125" s="20"/>
      <c r="L125" s="34" t="s">
        <v>67</v>
      </c>
      <c r="M125" s="34" t="s">
        <v>68</v>
      </c>
      <c r="N125" s="34" t="s">
        <v>69</v>
      </c>
      <c r="O125" s="35">
        <v>46063.0</v>
      </c>
      <c r="P125" s="262"/>
      <c r="Q125" s="262"/>
      <c r="R125" s="262"/>
      <c r="S125" s="262"/>
      <c r="T125" s="37"/>
      <c r="U125" s="37"/>
      <c r="V125" s="37"/>
    </row>
    <row r="126" ht="15.75" customHeight="1">
      <c r="A126" s="28">
        <f t="shared" si="1"/>
        <v>124</v>
      </c>
      <c r="B126" s="20"/>
      <c r="C126" s="275"/>
      <c r="D126" s="190" t="s">
        <v>832</v>
      </c>
      <c r="E126" s="20"/>
      <c r="F126" s="275"/>
      <c r="G126" s="190" t="s">
        <v>833</v>
      </c>
      <c r="H126" s="37">
        <f>'参照_特典詳細'!$E$35</f>
        <v>210</v>
      </c>
      <c r="I126" s="34"/>
      <c r="J126" s="28"/>
      <c r="K126" s="21"/>
      <c r="L126" s="34" t="s">
        <v>67</v>
      </c>
      <c r="M126" s="34" t="s">
        <v>68</v>
      </c>
      <c r="N126" s="34" t="s">
        <v>69</v>
      </c>
      <c r="O126" s="35">
        <v>46063.0</v>
      </c>
      <c r="P126" s="262"/>
      <c r="Q126" s="262"/>
      <c r="R126" s="262"/>
      <c r="S126" s="262"/>
      <c r="T126" s="37"/>
      <c r="U126" s="37"/>
      <c r="V126" s="37"/>
    </row>
    <row r="127" ht="15.75" hidden="1" customHeight="1">
      <c r="A127" s="28">
        <f t="shared" si="1"/>
        <v>125</v>
      </c>
      <c r="B127" s="21"/>
      <c r="C127" s="259"/>
      <c r="D127" s="279" t="s">
        <v>834</v>
      </c>
      <c r="E127" s="21"/>
      <c r="F127" s="259"/>
      <c r="G127" s="279" t="s">
        <v>835</v>
      </c>
      <c r="H127" s="278" t="str">
        <f>'参照_特典詳細'!$F$35</f>
        <v>ミニキャラ集合系_中列</v>
      </c>
      <c r="I127" s="28"/>
      <c r="J127" s="28"/>
      <c r="K127" s="28"/>
      <c r="L127" s="28"/>
      <c r="M127" s="28"/>
      <c r="N127" s="28"/>
      <c r="O127" s="45"/>
      <c r="P127" s="262"/>
      <c r="Q127" s="262"/>
      <c r="R127" s="262"/>
      <c r="S127" s="262"/>
      <c r="T127" s="37"/>
      <c r="U127" s="37"/>
      <c r="V127" s="37"/>
    </row>
    <row r="128" ht="15.75" customHeight="1">
      <c r="A128" s="28">
        <f t="shared" si="1"/>
        <v>126</v>
      </c>
      <c r="B128" s="29" t="str">
        <f>'参照_特典詳細'!C11</f>
        <v>夜を練り歩く家康</v>
      </c>
      <c r="C128" s="272" t="s">
        <v>72</v>
      </c>
      <c r="D128" s="187" t="s">
        <v>824</v>
      </c>
      <c r="E128" s="29" t="str">
        <f>'参照_特典詳細'!C11</f>
        <v>夜を練り歩く家康</v>
      </c>
      <c r="F128" s="272" t="s">
        <v>74</v>
      </c>
      <c r="G128" s="187" t="s">
        <v>825</v>
      </c>
      <c r="H128" s="31"/>
      <c r="I128" s="28" t="s">
        <v>863</v>
      </c>
      <c r="J128" s="28" t="s">
        <v>864</v>
      </c>
      <c r="K128" s="273" t="s">
        <v>29</v>
      </c>
      <c r="L128" s="34" t="s">
        <v>67</v>
      </c>
      <c r="M128" s="34" t="s">
        <v>68</v>
      </c>
      <c r="N128" s="34" t="s">
        <v>69</v>
      </c>
      <c r="O128" s="35">
        <v>46064.0</v>
      </c>
      <c r="P128" s="34" t="s">
        <v>67</v>
      </c>
      <c r="Q128" s="28" t="s">
        <v>68</v>
      </c>
      <c r="R128" s="28" t="s">
        <v>69</v>
      </c>
      <c r="S128" s="45" t="s">
        <v>76</v>
      </c>
      <c r="T128" s="37"/>
      <c r="U128" s="37"/>
      <c r="V128" s="37"/>
    </row>
    <row r="129" ht="15.75" customHeight="1">
      <c r="A129" s="28">
        <f t="shared" si="1"/>
        <v>127</v>
      </c>
      <c r="B129" s="20"/>
      <c r="C129" s="259"/>
      <c r="D129" s="187" t="s">
        <v>826</v>
      </c>
      <c r="E129" s="20"/>
      <c r="F129" s="259"/>
      <c r="G129" s="187" t="s">
        <v>827</v>
      </c>
      <c r="H129" s="31"/>
      <c r="I129" s="28"/>
      <c r="J129" s="28"/>
      <c r="K129" s="20"/>
      <c r="L129" s="34" t="s">
        <v>67</v>
      </c>
      <c r="M129" s="34" t="s">
        <v>68</v>
      </c>
      <c r="N129" s="34" t="s">
        <v>69</v>
      </c>
      <c r="O129" s="35">
        <v>46064.0</v>
      </c>
      <c r="P129" s="34" t="s">
        <v>67</v>
      </c>
      <c r="Q129" s="28" t="s">
        <v>68</v>
      </c>
      <c r="R129" s="28" t="s">
        <v>69</v>
      </c>
      <c r="S129" s="45" t="s">
        <v>76</v>
      </c>
      <c r="T129" s="37"/>
      <c r="U129" s="37"/>
      <c r="V129" s="37"/>
    </row>
    <row r="130" ht="15.75" customHeight="1">
      <c r="A130" s="28">
        <f t="shared" si="1"/>
        <v>128</v>
      </c>
      <c r="B130" s="20"/>
      <c r="C130" s="274" t="s">
        <v>828</v>
      </c>
      <c r="D130" s="187" t="s">
        <v>829</v>
      </c>
      <c r="E130" s="20"/>
      <c r="F130" s="274" t="s">
        <v>865</v>
      </c>
      <c r="G130" s="187" t="s">
        <v>831</v>
      </c>
      <c r="H130" s="31" t="str">
        <f>'参照_特典詳細'!$D$11</f>
        <v>Ieyasu with a Lantern</v>
      </c>
      <c r="I130" s="34"/>
      <c r="J130" s="28"/>
      <c r="K130" s="20"/>
      <c r="L130" s="34" t="s">
        <v>67</v>
      </c>
      <c r="M130" s="34" t="s">
        <v>68</v>
      </c>
      <c r="N130" s="34" t="s">
        <v>69</v>
      </c>
      <c r="O130" s="35">
        <v>46063.0</v>
      </c>
      <c r="P130" s="262"/>
      <c r="Q130" s="262"/>
      <c r="R130" s="262"/>
      <c r="S130" s="262"/>
      <c r="T130" s="37"/>
      <c r="U130" s="37"/>
      <c r="V130" s="37"/>
    </row>
    <row r="131" ht="15.75" customHeight="1">
      <c r="A131" s="28">
        <f t="shared" si="1"/>
        <v>129</v>
      </c>
      <c r="B131" s="20"/>
      <c r="C131" s="275"/>
      <c r="D131" s="187" t="s">
        <v>832</v>
      </c>
      <c r="E131" s="20"/>
      <c r="F131" s="275"/>
      <c r="G131" s="187" t="s">
        <v>833</v>
      </c>
      <c r="H131" s="31">
        <f>'参照_特典詳細'!$E$11</f>
        <v>30</v>
      </c>
      <c r="I131" s="34"/>
      <c r="J131" s="28"/>
      <c r="K131" s="21"/>
      <c r="L131" s="34" t="s">
        <v>67</v>
      </c>
      <c r="M131" s="34" t="s">
        <v>68</v>
      </c>
      <c r="N131" s="34" t="s">
        <v>69</v>
      </c>
      <c r="O131" s="35">
        <v>46063.0</v>
      </c>
      <c r="P131" s="262"/>
      <c r="Q131" s="262"/>
      <c r="R131" s="262"/>
      <c r="S131" s="262"/>
      <c r="T131" s="37"/>
      <c r="U131" s="37"/>
      <c r="V131" s="37"/>
    </row>
    <row r="132" ht="15.75" hidden="1" customHeight="1">
      <c r="A132" s="28">
        <f t="shared" si="1"/>
        <v>130</v>
      </c>
      <c r="B132" s="21"/>
      <c r="C132" s="259"/>
      <c r="D132" s="279" t="s">
        <v>834</v>
      </c>
      <c r="E132" s="21"/>
      <c r="F132" s="259"/>
      <c r="G132" s="279" t="s">
        <v>835</v>
      </c>
      <c r="H132" s="278" t="str">
        <f>'参照_特典詳細'!$F$11</f>
        <v>置物</v>
      </c>
      <c r="I132" s="28"/>
      <c r="J132" s="28"/>
      <c r="K132" s="28"/>
      <c r="L132" s="28"/>
      <c r="M132" s="28"/>
      <c r="N132" s="28"/>
      <c r="O132" s="45"/>
      <c r="P132" s="262"/>
      <c r="Q132" s="262"/>
      <c r="R132" s="262"/>
      <c r="S132" s="262"/>
      <c r="T132" s="37"/>
      <c r="U132" s="37"/>
      <c r="V132" s="37"/>
    </row>
    <row r="133" ht="15.75" customHeight="1">
      <c r="A133" s="28">
        <f t="shared" si="1"/>
        <v>131</v>
      </c>
      <c r="B133" s="59" t="str">
        <f>'参照_特典詳細'!C12</f>
        <v>夜を練り歩く三成</v>
      </c>
      <c r="C133" s="272" t="s">
        <v>72</v>
      </c>
      <c r="D133" s="190" t="s">
        <v>824</v>
      </c>
      <c r="E133" s="59" t="str">
        <f>'参照_特典詳細'!C12</f>
        <v>夜を練り歩く三成</v>
      </c>
      <c r="F133" s="272" t="s">
        <v>74</v>
      </c>
      <c r="G133" s="190" t="s">
        <v>825</v>
      </c>
      <c r="H133" s="37"/>
      <c r="I133" s="28" t="s">
        <v>866</v>
      </c>
      <c r="J133" s="28" t="s">
        <v>867</v>
      </c>
      <c r="K133" s="273" t="s">
        <v>29</v>
      </c>
      <c r="L133" s="34" t="s">
        <v>67</v>
      </c>
      <c r="M133" s="34" t="s">
        <v>68</v>
      </c>
      <c r="N133" s="34" t="s">
        <v>69</v>
      </c>
      <c r="O133" s="35">
        <v>46064.0</v>
      </c>
      <c r="P133" s="34" t="s">
        <v>67</v>
      </c>
      <c r="Q133" s="28" t="s">
        <v>68</v>
      </c>
      <c r="R133" s="28" t="s">
        <v>69</v>
      </c>
      <c r="S133" s="45" t="s">
        <v>76</v>
      </c>
      <c r="T133" s="37"/>
      <c r="U133" s="37"/>
      <c r="V133" s="37"/>
    </row>
    <row r="134" ht="15.75" customHeight="1">
      <c r="A134" s="28">
        <f t="shared" si="1"/>
        <v>132</v>
      </c>
      <c r="B134" s="20"/>
      <c r="C134" s="259"/>
      <c r="D134" s="190" t="s">
        <v>826</v>
      </c>
      <c r="E134" s="20"/>
      <c r="F134" s="259"/>
      <c r="G134" s="190" t="s">
        <v>827</v>
      </c>
      <c r="H134" s="37"/>
      <c r="I134" s="28"/>
      <c r="J134" s="28"/>
      <c r="K134" s="20"/>
      <c r="L134" s="34" t="s">
        <v>67</v>
      </c>
      <c r="M134" s="34" t="s">
        <v>68</v>
      </c>
      <c r="N134" s="34" t="s">
        <v>69</v>
      </c>
      <c r="O134" s="35">
        <v>46064.0</v>
      </c>
      <c r="P134" s="34" t="s">
        <v>67</v>
      </c>
      <c r="Q134" s="28" t="s">
        <v>68</v>
      </c>
      <c r="R134" s="28" t="s">
        <v>69</v>
      </c>
      <c r="S134" s="45" t="s">
        <v>76</v>
      </c>
      <c r="T134" s="37"/>
      <c r="U134" s="37"/>
      <c r="V134" s="37"/>
    </row>
    <row r="135" ht="15.75" customHeight="1">
      <c r="A135" s="28">
        <f t="shared" si="1"/>
        <v>133</v>
      </c>
      <c r="B135" s="20"/>
      <c r="C135" s="274" t="s">
        <v>828</v>
      </c>
      <c r="D135" s="190" t="s">
        <v>829</v>
      </c>
      <c r="E135" s="20"/>
      <c r="F135" s="274" t="s">
        <v>868</v>
      </c>
      <c r="G135" s="190" t="s">
        <v>831</v>
      </c>
      <c r="H135" s="37" t="str">
        <f>'参照_特典詳細'!$D$12</f>
        <v>Mitsunari with a Lantern</v>
      </c>
      <c r="I135" s="34"/>
      <c r="J135" s="28"/>
      <c r="K135" s="20"/>
      <c r="L135" s="34" t="s">
        <v>67</v>
      </c>
      <c r="M135" s="34" t="s">
        <v>68</v>
      </c>
      <c r="N135" s="34" t="s">
        <v>69</v>
      </c>
      <c r="O135" s="35">
        <v>46063.0</v>
      </c>
      <c r="P135" s="262"/>
      <c r="Q135" s="262"/>
      <c r="R135" s="262"/>
      <c r="S135" s="262"/>
      <c r="T135" s="37"/>
      <c r="U135" s="37"/>
      <c r="V135" s="37"/>
    </row>
    <row r="136" ht="15.75" customHeight="1">
      <c r="A136" s="28">
        <f t="shared" si="1"/>
        <v>134</v>
      </c>
      <c r="B136" s="20"/>
      <c r="C136" s="275"/>
      <c r="D136" s="190" t="s">
        <v>832</v>
      </c>
      <c r="E136" s="20"/>
      <c r="F136" s="275"/>
      <c r="G136" s="190" t="s">
        <v>833</v>
      </c>
      <c r="H136" s="37">
        <f>'参照_特典詳細'!$E$12</f>
        <v>30</v>
      </c>
      <c r="I136" s="34"/>
      <c r="J136" s="28"/>
      <c r="K136" s="21"/>
      <c r="L136" s="34" t="s">
        <v>67</v>
      </c>
      <c r="M136" s="34" t="s">
        <v>68</v>
      </c>
      <c r="N136" s="34" t="s">
        <v>69</v>
      </c>
      <c r="O136" s="35">
        <v>46063.0</v>
      </c>
      <c r="P136" s="262"/>
      <c r="Q136" s="262"/>
      <c r="R136" s="262"/>
      <c r="S136" s="262"/>
      <c r="T136" s="47"/>
      <c r="U136" s="37"/>
      <c r="V136" s="37"/>
    </row>
    <row r="137" ht="15.75" hidden="1" customHeight="1">
      <c r="A137" s="28">
        <f t="shared" si="1"/>
        <v>135</v>
      </c>
      <c r="B137" s="21"/>
      <c r="C137" s="259"/>
      <c r="D137" s="279" t="s">
        <v>834</v>
      </c>
      <c r="E137" s="21"/>
      <c r="F137" s="259"/>
      <c r="G137" s="279" t="s">
        <v>835</v>
      </c>
      <c r="H137" s="278" t="str">
        <f>'参照_特典詳細'!$F$12</f>
        <v>置物</v>
      </c>
      <c r="I137" s="28"/>
      <c r="J137" s="28"/>
      <c r="K137" s="28"/>
      <c r="L137" s="28"/>
      <c r="M137" s="28"/>
      <c r="N137" s="28"/>
      <c r="O137" s="45"/>
      <c r="P137" s="262"/>
      <c r="Q137" s="262"/>
      <c r="R137" s="262"/>
      <c r="S137" s="262"/>
      <c r="T137" s="47"/>
      <c r="U137" s="47"/>
      <c r="V137" s="47"/>
    </row>
    <row r="138" ht="15.75" customHeight="1">
      <c r="A138" s="28">
        <f t="shared" si="1"/>
        <v>136</v>
      </c>
      <c r="B138" s="29" t="str">
        <f>'参照_特典詳細'!C13</f>
        <v>夜を練り歩く佐助</v>
      </c>
      <c r="C138" s="272" t="s">
        <v>72</v>
      </c>
      <c r="D138" s="187" t="s">
        <v>824</v>
      </c>
      <c r="E138" s="29" t="str">
        <f>B138</f>
        <v>夜を練り歩く佐助</v>
      </c>
      <c r="F138" s="272" t="s">
        <v>74</v>
      </c>
      <c r="G138" s="187" t="s">
        <v>825</v>
      </c>
      <c r="H138" s="31"/>
      <c r="I138" s="28" t="s">
        <v>869</v>
      </c>
      <c r="J138" s="28" t="s">
        <v>870</v>
      </c>
      <c r="K138" s="273" t="s">
        <v>29</v>
      </c>
      <c r="L138" s="34" t="s">
        <v>67</v>
      </c>
      <c r="M138" s="34" t="s">
        <v>68</v>
      </c>
      <c r="N138" s="34" t="s">
        <v>69</v>
      </c>
      <c r="O138" s="35">
        <v>46064.0</v>
      </c>
      <c r="P138" s="34" t="s">
        <v>67</v>
      </c>
      <c r="Q138" s="28" t="s">
        <v>68</v>
      </c>
      <c r="R138" s="28" t="s">
        <v>69</v>
      </c>
      <c r="S138" s="45" t="s">
        <v>76</v>
      </c>
      <c r="T138" s="37"/>
      <c r="U138" s="37"/>
      <c r="V138" s="37"/>
    </row>
    <row r="139" ht="15.75" customHeight="1">
      <c r="A139" s="28">
        <f t="shared" si="1"/>
        <v>137</v>
      </c>
      <c r="B139" s="20"/>
      <c r="C139" s="259"/>
      <c r="D139" s="187" t="s">
        <v>826</v>
      </c>
      <c r="E139" s="20"/>
      <c r="F139" s="259"/>
      <c r="G139" s="187" t="s">
        <v>827</v>
      </c>
      <c r="H139" s="31"/>
      <c r="I139" s="28"/>
      <c r="J139" s="28"/>
      <c r="K139" s="20"/>
      <c r="L139" s="34" t="s">
        <v>67</v>
      </c>
      <c r="M139" s="34" t="s">
        <v>68</v>
      </c>
      <c r="N139" s="34" t="s">
        <v>69</v>
      </c>
      <c r="O139" s="35">
        <v>46064.0</v>
      </c>
      <c r="P139" s="34" t="s">
        <v>67</v>
      </c>
      <c r="Q139" s="28" t="s">
        <v>68</v>
      </c>
      <c r="R139" s="28" t="s">
        <v>69</v>
      </c>
      <c r="S139" s="45" t="s">
        <v>76</v>
      </c>
      <c r="T139" s="37"/>
      <c r="U139" s="37"/>
      <c r="V139" s="37"/>
    </row>
    <row r="140" ht="15.75" customHeight="1">
      <c r="A140" s="28">
        <f t="shared" si="1"/>
        <v>138</v>
      </c>
      <c r="B140" s="20"/>
      <c r="C140" s="274" t="s">
        <v>828</v>
      </c>
      <c r="D140" s="187" t="s">
        <v>829</v>
      </c>
      <c r="E140" s="20"/>
      <c r="F140" s="274" t="s">
        <v>871</v>
      </c>
      <c r="G140" s="187" t="s">
        <v>831</v>
      </c>
      <c r="H140" s="31" t="str">
        <f>'参照_特典詳細'!$D$13</f>
        <v>Sasuke with a Lantern</v>
      </c>
      <c r="I140" s="34"/>
      <c r="J140" s="28"/>
      <c r="K140" s="20"/>
      <c r="L140" s="34" t="s">
        <v>67</v>
      </c>
      <c r="M140" s="34" t="s">
        <v>68</v>
      </c>
      <c r="N140" s="34" t="s">
        <v>69</v>
      </c>
      <c r="O140" s="35">
        <v>46063.0</v>
      </c>
      <c r="P140" s="262"/>
      <c r="Q140" s="262"/>
      <c r="R140" s="262"/>
      <c r="S140" s="262"/>
      <c r="T140" s="37"/>
      <c r="U140" s="37"/>
      <c r="V140" s="37"/>
    </row>
    <row r="141" ht="15.75" customHeight="1">
      <c r="A141" s="28">
        <f t="shared" si="1"/>
        <v>139</v>
      </c>
      <c r="B141" s="20"/>
      <c r="C141" s="275"/>
      <c r="D141" s="187" t="s">
        <v>832</v>
      </c>
      <c r="E141" s="20"/>
      <c r="F141" s="275"/>
      <c r="G141" s="187" t="s">
        <v>833</v>
      </c>
      <c r="H141" s="31">
        <f>'参照_特典詳細'!$E$13</f>
        <v>30</v>
      </c>
      <c r="I141" s="34"/>
      <c r="J141" s="28"/>
      <c r="K141" s="21"/>
      <c r="L141" s="34" t="s">
        <v>67</v>
      </c>
      <c r="M141" s="34" t="s">
        <v>68</v>
      </c>
      <c r="N141" s="34" t="s">
        <v>69</v>
      </c>
      <c r="O141" s="35">
        <v>46063.0</v>
      </c>
      <c r="P141" s="262"/>
      <c r="Q141" s="262"/>
      <c r="R141" s="262"/>
      <c r="S141" s="262"/>
      <c r="T141" s="37"/>
      <c r="U141" s="37"/>
      <c r="V141" s="37"/>
    </row>
    <row r="142" ht="15.75" hidden="1" customHeight="1">
      <c r="A142" s="28">
        <f t="shared" si="1"/>
        <v>140</v>
      </c>
      <c r="B142" s="21"/>
      <c r="C142" s="259"/>
      <c r="D142" s="279" t="s">
        <v>834</v>
      </c>
      <c r="E142" s="21"/>
      <c r="F142" s="259"/>
      <c r="G142" s="279" t="s">
        <v>835</v>
      </c>
      <c r="H142" s="278" t="str">
        <f>'参照_特典詳細'!$F$11</f>
        <v>置物</v>
      </c>
      <c r="I142" s="28"/>
      <c r="J142" s="28"/>
      <c r="K142" s="28"/>
      <c r="L142" s="28"/>
      <c r="M142" s="28"/>
      <c r="N142" s="28"/>
      <c r="O142" s="45"/>
      <c r="P142" s="262"/>
      <c r="Q142" s="262"/>
      <c r="R142" s="262"/>
      <c r="S142" s="262"/>
      <c r="T142" s="37"/>
      <c r="U142" s="37"/>
      <c r="V142" s="37"/>
    </row>
    <row r="143" ht="15.75" customHeight="1">
      <c r="A143" s="28">
        <f t="shared" si="1"/>
        <v>141</v>
      </c>
      <c r="B143" s="59" t="str">
        <f>'参照_特典詳細'!C14</f>
        <v>夜を練り歩く顕如</v>
      </c>
      <c r="C143" s="272" t="s">
        <v>72</v>
      </c>
      <c r="D143" s="190" t="s">
        <v>824</v>
      </c>
      <c r="E143" s="59" t="str">
        <f>B143</f>
        <v>夜を練り歩く顕如</v>
      </c>
      <c r="F143" s="272" t="s">
        <v>74</v>
      </c>
      <c r="G143" s="190" t="s">
        <v>825</v>
      </c>
      <c r="H143" s="37"/>
      <c r="I143" s="28" t="s">
        <v>872</v>
      </c>
      <c r="J143" s="28" t="s">
        <v>873</v>
      </c>
      <c r="K143" s="273" t="s">
        <v>29</v>
      </c>
      <c r="L143" s="34" t="s">
        <v>67</v>
      </c>
      <c r="M143" s="34" t="s">
        <v>68</v>
      </c>
      <c r="N143" s="34" t="s">
        <v>69</v>
      </c>
      <c r="O143" s="35">
        <v>46064.0</v>
      </c>
      <c r="P143" s="34" t="s">
        <v>67</v>
      </c>
      <c r="Q143" s="28" t="s">
        <v>68</v>
      </c>
      <c r="R143" s="28" t="s">
        <v>69</v>
      </c>
      <c r="S143" s="45" t="s">
        <v>76</v>
      </c>
      <c r="T143" s="37"/>
      <c r="U143" s="37"/>
      <c r="V143" s="37"/>
    </row>
    <row r="144" ht="15.75" customHeight="1">
      <c r="A144" s="28">
        <f t="shared" si="1"/>
        <v>142</v>
      </c>
      <c r="B144" s="20"/>
      <c r="C144" s="259"/>
      <c r="D144" s="190" t="s">
        <v>826</v>
      </c>
      <c r="E144" s="20"/>
      <c r="F144" s="259"/>
      <c r="G144" s="190" t="s">
        <v>827</v>
      </c>
      <c r="H144" s="37"/>
      <c r="I144" s="28"/>
      <c r="J144" s="28"/>
      <c r="K144" s="20"/>
      <c r="L144" s="34" t="s">
        <v>67</v>
      </c>
      <c r="M144" s="34" t="s">
        <v>68</v>
      </c>
      <c r="N144" s="34" t="s">
        <v>69</v>
      </c>
      <c r="O144" s="35">
        <v>46064.0</v>
      </c>
      <c r="P144" s="34" t="s">
        <v>67</v>
      </c>
      <c r="Q144" s="28" t="s">
        <v>68</v>
      </c>
      <c r="R144" s="28" t="s">
        <v>69</v>
      </c>
      <c r="S144" s="45" t="s">
        <v>76</v>
      </c>
      <c r="T144" s="37"/>
      <c r="U144" s="37"/>
      <c r="V144" s="37"/>
    </row>
    <row r="145" ht="15.75" customHeight="1">
      <c r="A145" s="28">
        <f t="shared" si="1"/>
        <v>143</v>
      </c>
      <c r="B145" s="20"/>
      <c r="C145" s="274" t="s">
        <v>828</v>
      </c>
      <c r="D145" s="190" t="s">
        <v>829</v>
      </c>
      <c r="E145" s="20"/>
      <c r="F145" s="274" t="s">
        <v>874</v>
      </c>
      <c r="G145" s="190" t="s">
        <v>831</v>
      </c>
      <c r="H145" s="37" t="str">
        <f>'参照_特典詳細'!$D$14</f>
        <v>Kennyo with a Lantern</v>
      </c>
      <c r="I145" s="34"/>
      <c r="J145" s="28"/>
      <c r="K145" s="20"/>
      <c r="L145" s="34" t="s">
        <v>67</v>
      </c>
      <c r="M145" s="34" t="s">
        <v>68</v>
      </c>
      <c r="N145" s="34" t="s">
        <v>69</v>
      </c>
      <c r="O145" s="35">
        <v>46063.0</v>
      </c>
      <c r="P145" s="262"/>
      <c r="Q145" s="262"/>
      <c r="R145" s="262"/>
      <c r="S145" s="262"/>
      <c r="T145" s="37"/>
      <c r="U145" s="37"/>
      <c r="V145" s="37"/>
    </row>
    <row r="146" ht="15.75" customHeight="1">
      <c r="A146" s="28">
        <f t="shared" si="1"/>
        <v>144</v>
      </c>
      <c r="B146" s="20"/>
      <c r="C146" s="275"/>
      <c r="D146" s="190" t="s">
        <v>832</v>
      </c>
      <c r="E146" s="20"/>
      <c r="F146" s="275"/>
      <c r="G146" s="190" t="s">
        <v>833</v>
      </c>
      <c r="H146" s="37">
        <f>'参照_特典詳細'!$E$14</f>
        <v>30</v>
      </c>
      <c r="I146" s="34"/>
      <c r="J146" s="28"/>
      <c r="K146" s="21"/>
      <c r="L146" s="34" t="s">
        <v>67</v>
      </c>
      <c r="M146" s="34" t="s">
        <v>68</v>
      </c>
      <c r="N146" s="34" t="s">
        <v>69</v>
      </c>
      <c r="O146" s="35">
        <v>46063.0</v>
      </c>
      <c r="P146" s="262"/>
      <c r="Q146" s="262"/>
      <c r="R146" s="262"/>
      <c r="S146" s="262"/>
      <c r="T146" s="47"/>
      <c r="U146" s="37"/>
      <c r="V146" s="37"/>
    </row>
    <row r="147" ht="15.75" hidden="1" customHeight="1">
      <c r="A147" s="28">
        <f t="shared" si="1"/>
        <v>145</v>
      </c>
      <c r="B147" s="21"/>
      <c r="C147" s="259"/>
      <c r="D147" s="279" t="s">
        <v>834</v>
      </c>
      <c r="E147" s="21"/>
      <c r="F147" s="259"/>
      <c r="G147" s="279" t="s">
        <v>835</v>
      </c>
      <c r="H147" s="278" t="str">
        <f>'参照_特典詳細'!$F$12</f>
        <v>置物</v>
      </c>
      <c r="I147" s="28"/>
      <c r="J147" s="28"/>
      <c r="K147" s="28"/>
      <c r="L147" s="28"/>
      <c r="M147" s="28"/>
      <c r="N147" s="28"/>
      <c r="O147" s="45"/>
      <c r="P147" s="262"/>
      <c r="Q147" s="262"/>
      <c r="R147" s="262"/>
      <c r="S147" s="262"/>
      <c r="T147" s="47"/>
      <c r="U147" s="47"/>
      <c r="V147" s="47"/>
    </row>
    <row r="148" ht="15.75" customHeight="1">
      <c r="A148" s="28">
        <f t="shared" si="1"/>
        <v>146</v>
      </c>
      <c r="B148" s="29" t="str">
        <f>'参照_特典詳細'!C15</f>
        <v>夜を練り歩く光秀</v>
      </c>
      <c r="C148" s="272" t="s">
        <v>72</v>
      </c>
      <c r="D148" s="187" t="s">
        <v>824</v>
      </c>
      <c r="E148" s="29" t="str">
        <f>B148</f>
        <v>夜を練り歩く光秀</v>
      </c>
      <c r="F148" s="272" t="s">
        <v>74</v>
      </c>
      <c r="G148" s="187" t="s">
        <v>825</v>
      </c>
      <c r="H148" s="31"/>
      <c r="I148" s="28" t="s">
        <v>875</v>
      </c>
      <c r="J148" s="28" t="s">
        <v>876</v>
      </c>
      <c r="K148" s="273" t="s">
        <v>29</v>
      </c>
      <c r="L148" s="34" t="s">
        <v>67</v>
      </c>
      <c r="M148" s="34" t="s">
        <v>68</v>
      </c>
      <c r="N148" s="34" t="s">
        <v>69</v>
      </c>
      <c r="O148" s="35">
        <v>46064.0</v>
      </c>
      <c r="P148" s="34" t="s">
        <v>67</v>
      </c>
      <c r="Q148" s="28" t="s">
        <v>68</v>
      </c>
      <c r="R148" s="28" t="s">
        <v>69</v>
      </c>
      <c r="S148" s="45" t="s">
        <v>76</v>
      </c>
      <c r="T148" s="37"/>
      <c r="U148" s="37"/>
      <c r="V148" s="37"/>
    </row>
    <row r="149" ht="15.75" customHeight="1">
      <c r="A149" s="28">
        <f t="shared" si="1"/>
        <v>147</v>
      </c>
      <c r="B149" s="20"/>
      <c r="C149" s="259"/>
      <c r="D149" s="187" t="s">
        <v>826</v>
      </c>
      <c r="E149" s="20"/>
      <c r="F149" s="259"/>
      <c r="G149" s="187" t="s">
        <v>827</v>
      </c>
      <c r="H149" s="31"/>
      <c r="I149" s="28"/>
      <c r="J149" s="28"/>
      <c r="K149" s="20"/>
      <c r="L149" s="34" t="s">
        <v>67</v>
      </c>
      <c r="M149" s="34" t="s">
        <v>68</v>
      </c>
      <c r="N149" s="34" t="s">
        <v>69</v>
      </c>
      <c r="O149" s="35">
        <v>46064.0</v>
      </c>
      <c r="P149" s="34" t="s">
        <v>67</v>
      </c>
      <c r="Q149" s="28" t="s">
        <v>68</v>
      </c>
      <c r="R149" s="28" t="s">
        <v>69</v>
      </c>
      <c r="S149" s="45" t="s">
        <v>76</v>
      </c>
      <c r="T149" s="37"/>
      <c r="U149" s="37"/>
      <c r="V149" s="37"/>
    </row>
    <row r="150" ht="15.75" customHeight="1">
      <c r="A150" s="28">
        <f t="shared" si="1"/>
        <v>148</v>
      </c>
      <c r="B150" s="20"/>
      <c r="C150" s="274" t="s">
        <v>828</v>
      </c>
      <c r="D150" s="187" t="s">
        <v>829</v>
      </c>
      <c r="E150" s="20"/>
      <c r="F150" s="274" t="s">
        <v>877</v>
      </c>
      <c r="G150" s="187" t="s">
        <v>831</v>
      </c>
      <c r="H150" s="31" t="str">
        <f>'参照_特典詳細'!$D$15</f>
        <v>Mitsuhide with a Lantern</v>
      </c>
      <c r="I150" s="34"/>
      <c r="J150" s="28"/>
      <c r="K150" s="20"/>
      <c r="L150" s="34" t="s">
        <v>67</v>
      </c>
      <c r="M150" s="34" t="s">
        <v>68</v>
      </c>
      <c r="N150" s="34" t="s">
        <v>69</v>
      </c>
      <c r="O150" s="35">
        <v>46063.0</v>
      </c>
      <c r="P150" s="262"/>
      <c r="Q150" s="262"/>
      <c r="R150" s="262"/>
      <c r="S150" s="262"/>
      <c r="T150" s="37"/>
      <c r="U150" s="37"/>
      <c r="V150" s="37"/>
    </row>
    <row r="151" ht="15.75" customHeight="1">
      <c r="A151" s="28">
        <f t="shared" si="1"/>
        <v>149</v>
      </c>
      <c r="B151" s="20"/>
      <c r="C151" s="275"/>
      <c r="D151" s="187" t="s">
        <v>832</v>
      </c>
      <c r="E151" s="20"/>
      <c r="F151" s="275"/>
      <c r="G151" s="187" t="s">
        <v>833</v>
      </c>
      <c r="H151" s="31">
        <f>'参照_特典詳細'!$E$15</f>
        <v>30</v>
      </c>
      <c r="I151" s="34"/>
      <c r="J151" s="28"/>
      <c r="K151" s="21"/>
      <c r="L151" s="34" t="s">
        <v>67</v>
      </c>
      <c r="M151" s="34" t="s">
        <v>68</v>
      </c>
      <c r="N151" s="34" t="s">
        <v>69</v>
      </c>
      <c r="O151" s="35">
        <v>46063.0</v>
      </c>
      <c r="P151" s="262"/>
      <c r="Q151" s="262"/>
      <c r="R151" s="262"/>
      <c r="S151" s="262"/>
      <c r="T151" s="37"/>
      <c r="U151" s="37"/>
      <c r="V151" s="37"/>
    </row>
    <row r="152" ht="15.75" hidden="1" customHeight="1">
      <c r="A152" s="28">
        <f t="shared" si="1"/>
        <v>150</v>
      </c>
      <c r="B152" s="21"/>
      <c r="C152" s="259"/>
      <c r="D152" s="279" t="s">
        <v>834</v>
      </c>
      <c r="E152" s="21"/>
      <c r="F152" s="259"/>
      <c r="G152" s="279" t="s">
        <v>835</v>
      </c>
      <c r="H152" s="278" t="str">
        <f>'参照_特典詳細'!$F$11</f>
        <v>置物</v>
      </c>
      <c r="I152" s="28"/>
      <c r="J152" s="28"/>
      <c r="K152" s="28"/>
      <c r="L152" s="28"/>
      <c r="M152" s="28"/>
      <c r="N152" s="28"/>
      <c r="O152" s="45"/>
      <c r="P152" s="262"/>
      <c r="Q152" s="262"/>
      <c r="R152" s="262"/>
      <c r="S152" s="262"/>
      <c r="T152" s="37"/>
      <c r="U152" s="37"/>
      <c r="V152" s="37"/>
    </row>
    <row r="153" ht="15.75" customHeight="1">
      <c r="A153" s="28">
        <f t="shared" si="1"/>
        <v>151</v>
      </c>
      <c r="B153" s="59" t="str">
        <f>'参照_特典詳細'!C16</f>
        <v>夜を練り歩く幸村</v>
      </c>
      <c r="C153" s="272" t="s">
        <v>72</v>
      </c>
      <c r="D153" s="190" t="s">
        <v>824</v>
      </c>
      <c r="E153" s="59" t="str">
        <f>B153</f>
        <v>夜を練り歩く幸村</v>
      </c>
      <c r="F153" s="272" t="s">
        <v>74</v>
      </c>
      <c r="G153" s="190" t="s">
        <v>825</v>
      </c>
      <c r="H153" s="37"/>
      <c r="I153" s="28" t="s">
        <v>878</v>
      </c>
      <c r="J153" s="28" t="s">
        <v>879</v>
      </c>
      <c r="K153" s="273" t="s">
        <v>29</v>
      </c>
      <c r="L153" s="34" t="s">
        <v>67</v>
      </c>
      <c r="M153" s="34" t="s">
        <v>68</v>
      </c>
      <c r="N153" s="34" t="s">
        <v>69</v>
      </c>
      <c r="O153" s="35">
        <v>46064.0</v>
      </c>
      <c r="P153" s="34" t="s">
        <v>67</v>
      </c>
      <c r="Q153" s="28" t="s">
        <v>68</v>
      </c>
      <c r="R153" s="28" t="s">
        <v>69</v>
      </c>
      <c r="S153" s="45" t="s">
        <v>76</v>
      </c>
      <c r="T153" s="37"/>
      <c r="U153" s="37"/>
      <c r="V153" s="37"/>
    </row>
    <row r="154" ht="15.75" customHeight="1">
      <c r="A154" s="28">
        <f t="shared" si="1"/>
        <v>152</v>
      </c>
      <c r="B154" s="20"/>
      <c r="C154" s="259"/>
      <c r="D154" s="190" t="s">
        <v>826</v>
      </c>
      <c r="E154" s="20"/>
      <c r="F154" s="259"/>
      <c r="G154" s="190" t="s">
        <v>827</v>
      </c>
      <c r="H154" s="37"/>
      <c r="I154" s="28"/>
      <c r="J154" s="28"/>
      <c r="K154" s="20"/>
      <c r="L154" s="34" t="s">
        <v>67</v>
      </c>
      <c r="M154" s="34" t="s">
        <v>68</v>
      </c>
      <c r="N154" s="34" t="s">
        <v>69</v>
      </c>
      <c r="O154" s="35">
        <v>46064.0</v>
      </c>
      <c r="P154" s="34" t="s">
        <v>67</v>
      </c>
      <c r="Q154" s="28" t="s">
        <v>68</v>
      </c>
      <c r="R154" s="28" t="s">
        <v>69</v>
      </c>
      <c r="S154" s="45" t="s">
        <v>76</v>
      </c>
      <c r="T154" s="37"/>
      <c r="U154" s="37"/>
      <c r="V154" s="37"/>
    </row>
    <row r="155" ht="15.75" customHeight="1">
      <c r="A155" s="28">
        <f t="shared" si="1"/>
        <v>153</v>
      </c>
      <c r="B155" s="20"/>
      <c r="C155" s="274" t="s">
        <v>828</v>
      </c>
      <c r="D155" s="190" t="s">
        <v>829</v>
      </c>
      <c r="E155" s="20"/>
      <c r="F155" s="274" t="s">
        <v>880</v>
      </c>
      <c r="G155" s="190" t="s">
        <v>831</v>
      </c>
      <c r="H155" s="37" t="str">
        <f>'参照_特典詳細'!$D$16</f>
        <v>Yukimura with a Lantern</v>
      </c>
      <c r="I155" s="34"/>
      <c r="J155" s="28"/>
      <c r="K155" s="20"/>
      <c r="L155" s="34" t="s">
        <v>67</v>
      </c>
      <c r="M155" s="34" t="s">
        <v>68</v>
      </c>
      <c r="N155" s="34" t="s">
        <v>69</v>
      </c>
      <c r="O155" s="35">
        <v>46063.0</v>
      </c>
      <c r="P155" s="262"/>
      <c r="Q155" s="262"/>
      <c r="R155" s="262"/>
      <c r="S155" s="262"/>
      <c r="T155" s="37"/>
      <c r="U155" s="37"/>
      <c r="V155" s="37"/>
    </row>
    <row r="156" ht="15.75" customHeight="1">
      <c r="A156" s="28">
        <f t="shared" si="1"/>
        <v>154</v>
      </c>
      <c r="B156" s="20"/>
      <c r="C156" s="275"/>
      <c r="D156" s="190" t="s">
        <v>832</v>
      </c>
      <c r="E156" s="20"/>
      <c r="F156" s="275"/>
      <c r="G156" s="190" t="s">
        <v>833</v>
      </c>
      <c r="H156" s="37">
        <f>'参照_特典詳細'!$E$16</f>
        <v>30</v>
      </c>
      <c r="I156" s="34"/>
      <c r="J156" s="28"/>
      <c r="K156" s="21"/>
      <c r="L156" s="34" t="s">
        <v>67</v>
      </c>
      <c r="M156" s="34" t="s">
        <v>68</v>
      </c>
      <c r="N156" s="34" t="s">
        <v>69</v>
      </c>
      <c r="O156" s="35">
        <v>46063.0</v>
      </c>
      <c r="P156" s="262"/>
      <c r="Q156" s="262"/>
      <c r="R156" s="262"/>
      <c r="S156" s="262"/>
      <c r="T156" s="47"/>
      <c r="U156" s="37"/>
      <c r="V156" s="37"/>
    </row>
    <row r="157" ht="15.75" hidden="1" customHeight="1">
      <c r="A157" s="28">
        <f t="shared" si="1"/>
        <v>155</v>
      </c>
      <c r="B157" s="21"/>
      <c r="C157" s="259"/>
      <c r="D157" s="279" t="s">
        <v>834</v>
      </c>
      <c r="E157" s="21"/>
      <c r="F157" s="259"/>
      <c r="G157" s="279" t="s">
        <v>835</v>
      </c>
      <c r="H157" s="278" t="str">
        <f>'参照_特典詳細'!$F$12</f>
        <v>置物</v>
      </c>
      <c r="I157" s="28"/>
      <c r="J157" s="28"/>
      <c r="K157" s="28"/>
      <c r="L157" s="28"/>
      <c r="M157" s="28"/>
      <c r="N157" s="28"/>
      <c r="O157" s="45"/>
      <c r="P157" s="262"/>
      <c r="Q157" s="262"/>
      <c r="R157" s="262"/>
      <c r="S157" s="262"/>
      <c r="T157" s="47"/>
      <c r="U157" s="47"/>
      <c r="V157" s="47"/>
    </row>
  </sheetData>
  <customSheetViews>
    <customSheetView guid="{1ABAEFC5-7779-47AF-8E40-B46656CFF8B1}" filter="1" showAutoFilter="1">
      <autoFilter ref="$A$1:$V$157">
        <filterColumn colId="15">
          <colorFilter dxfId="2"/>
        </filterColumn>
      </autoFilter>
    </customSheetView>
  </customSheetViews>
  <mergeCells count="230">
    <mergeCell ref="C133:C134"/>
    <mergeCell ref="C135:C137"/>
    <mergeCell ref="B113:B117"/>
    <mergeCell ref="B118:B122"/>
    <mergeCell ref="B123:B127"/>
    <mergeCell ref="B128:B132"/>
    <mergeCell ref="C128:C129"/>
    <mergeCell ref="C130:C132"/>
    <mergeCell ref="B133:B137"/>
    <mergeCell ref="C148:C149"/>
    <mergeCell ref="C150:C152"/>
    <mergeCell ref="B138:B142"/>
    <mergeCell ref="C138:C139"/>
    <mergeCell ref="C140:C142"/>
    <mergeCell ref="B143:B147"/>
    <mergeCell ref="C143:C144"/>
    <mergeCell ref="C145:C147"/>
    <mergeCell ref="B148:B152"/>
    <mergeCell ref="C30:C32"/>
    <mergeCell ref="C33:C34"/>
    <mergeCell ref="B38:B42"/>
    <mergeCell ref="C38:C39"/>
    <mergeCell ref="C40:C42"/>
    <mergeCell ref="C43:C44"/>
    <mergeCell ref="C45:C47"/>
    <mergeCell ref="C53:C54"/>
    <mergeCell ref="C55:C57"/>
    <mergeCell ref="C58:C59"/>
    <mergeCell ref="C60:C62"/>
    <mergeCell ref="C63:C64"/>
    <mergeCell ref="C65:C67"/>
    <mergeCell ref="C68:C69"/>
    <mergeCell ref="B43:B47"/>
    <mergeCell ref="B48:B52"/>
    <mergeCell ref="B53:B57"/>
    <mergeCell ref="B58:B62"/>
    <mergeCell ref="B63:B67"/>
    <mergeCell ref="B68:B72"/>
    <mergeCell ref="B73:B77"/>
    <mergeCell ref="C70:C72"/>
    <mergeCell ref="C73:C74"/>
    <mergeCell ref="C75:C77"/>
    <mergeCell ref="C78:C79"/>
    <mergeCell ref="C80:C82"/>
    <mergeCell ref="C83:C84"/>
    <mergeCell ref="C85:C87"/>
    <mergeCell ref="C88:C89"/>
    <mergeCell ref="C90:C92"/>
    <mergeCell ref="C93:C94"/>
    <mergeCell ref="C95:C97"/>
    <mergeCell ref="C98:C99"/>
    <mergeCell ref="C100:C102"/>
    <mergeCell ref="C103:C104"/>
    <mergeCell ref="B78:B82"/>
    <mergeCell ref="B83:B87"/>
    <mergeCell ref="B88:B92"/>
    <mergeCell ref="B93:B97"/>
    <mergeCell ref="B98:B102"/>
    <mergeCell ref="B103:B107"/>
    <mergeCell ref="B108:B112"/>
    <mergeCell ref="B153:B157"/>
    <mergeCell ref="C153:C154"/>
    <mergeCell ref="C155:C157"/>
    <mergeCell ref="F65:F67"/>
    <mergeCell ref="F68:F69"/>
    <mergeCell ref="F48:F49"/>
    <mergeCell ref="F50:F52"/>
    <mergeCell ref="F53:F54"/>
    <mergeCell ref="F55:F57"/>
    <mergeCell ref="F58:F59"/>
    <mergeCell ref="F60:F62"/>
    <mergeCell ref="F63:F64"/>
    <mergeCell ref="K38:K41"/>
    <mergeCell ref="K43:K46"/>
    <mergeCell ref="K48:K51"/>
    <mergeCell ref="K53:K56"/>
    <mergeCell ref="K58:K61"/>
    <mergeCell ref="K63:K66"/>
    <mergeCell ref="K68:K71"/>
    <mergeCell ref="K73:K76"/>
    <mergeCell ref="K78:K81"/>
    <mergeCell ref="K83:K86"/>
    <mergeCell ref="K88:K91"/>
    <mergeCell ref="K93:K96"/>
    <mergeCell ref="K98:K101"/>
    <mergeCell ref="K103:K106"/>
    <mergeCell ref="K143:K146"/>
    <mergeCell ref="K148:K151"/>
    <mergeCell ref="K153:K156"/>
    <mergeCell ref="K108:K111"/>
    <mergeCell ref="K113:K116"/>
    <mergeCell ref="K118:K121"/>
    <mergeCell ref="K123:K126"/>
    <mergeCell ref="K128:K131"/>
    <mergeCell ref="K133:K136"/>
    <mergeCell ref="K138:K141"/>
    <mergeCell ref="H1:H2"/>
    <mergeCell ref="L1:O1"/>
    <mergeCell ref="P1:S1"/>
    <mergeCell ref="T1:T2"/>
    <mergeCell ref="U1:U2"/>
    <mergeCell ref="V1:V2"/>
    <mergeCell ref="C1:C2"/>
    <mergeCell ref="C3:C4"/>
    <mergeCell ref="F1:F2"/>
    <mergeCell ref="F3:F4"/>
    <mergeCell ref="F8:F9"/>
    <mergeCell ref="F10:F12"/>
    <mergeCell ref="F13:F14"/>
    <mergeCell ref="F15:F17"/>
    <mergeCell ref="F18:F19"/>
    <mergeCell ref="F20:F22"/>
    <mergeCell ref="A1:A2"/>
    <mergeCell ref="B1:B2"/>
    <mergeCell ref="D1:D2"/>
    <mergeCell ref="E1:E2"/>
    <mergeCell ref="G1:G2"/>
    <mergeCell ref="E3:E7"/>
    <mergeCell ref="F5:F7"/>
    <mergeCell ref="E8:E12"/>
    <mergeCell ref="E13:E17"/>
    <mergeCell ref="E18:E22"/>
    <mergeCell ref="C18:C19"/>
    <mergeCell ref="C20:C22"/>
    <mergeCell ref="K3:K6"/>
    <mergeCell ref="K8:K11"/>
    <mergeCell ref="K13:K16"/>
    <mergeCell ref="K18:K21"/>
    <mergeCell ref="K23:K26"/>
    <mergeCell ref="K28:K31"/>
    <mergeCell ref="K33:K36"/>
    <mergeCell ref="E43:E47"/>
    <mergeCell ref="E48:E52"/>
    <mergeCell ref="E53:E57"/>
    <mergeCell ref="E58:E62"/>
    <mergeCell ref="E63:E67"/>
    <mergeCell ref="E68:E72"/>
    <mergeCell ref="E73:E77"/>
    <mergeCell ref="E78:E82"/>
    <mergeCell ref="E83:E87"/>
    <mergeCell ref="E88:E92"/>
    <mergeCell ref="E93:E97"/>
    <mergeCell ref="E98:E102"/>
    <mergeCell ref="E103:E107"/>
    <mergeCell ref="E108:E112"/>
    <mergeCell ref="E148:E152"/>
    <mergeCell ref="E153:E157"/>
    <mergeCell ref="E113:E117"/>
    <mergeCell ref="E118:E122"/>
    <mergeCell ref="E123:E127"/>
    <mergeCell ref="E128:E132"/>
    <mergeCell ref="E133:E137"/>
    <mergeCell ref="E138:E142"/>
    <mergeCell ref="E143:E147"/>
    <mergeCell ref="F88:F89"/>
    <mergeCell ref="F90:F92"/>
    <mergeCell ref="F93:F94"/>
    <mergeCell ref="F95:F97"/>
    <mergeCell ref="F98:F99"/>
    <mergeCell ref="F100:F102"/>
    <mergeCell ref="F103:F104"/>
    <mergeCell ref="F105:F107"/>
    <mergeCell ref="F108:F109"/>
    <mergeCell ref="F110:F112"/>
    <mergeCell ref="F113:F114"/>
    <mergeCell ref="F115:F117"/>
    <mergeCell ref="F118:F119"/>
    <mergeCell ref="F120:F122"/>
    <mergeCell ref="F140:F142"/>
    <mergeCell ref="F143:F144"/>
    <mergeCell ref="F145:F147"/>
    <mergeCell ref="F148:F149"/>
    <mergeCell ref="F150:F152"/>
    <mergeCell ref="F153:F154"/>
    <mergeCell ref="F155:F157"/>
    <mergeCell ref="F123:F124"/>
    <mergeCell ref="F125:F127"/>
    <mergeCell ref="F128:F129"/>
    <mergeCell ref="F130:F132"/>
    <mergeCell ref="F133:F134"/>
    <mergeCell ref="F135:F137"/>
    <mergeCell ref="F138:F139"/>
    <mergeCell ref="B13:B17"/>
    <mergeCell ref="B18:B22"/>
    <mergeCell ref="B23:B27"/>
    <mergeCell ref="E23:E27"/>
    <mergeCell ref="F23:F24"/>
    <mergeCell ref="C25:C27"/>
    <mergeCell ref="F25:F27"/>
    <mergeCell ref="B3:B7"/>
    <mergeCell ref="C5:C7"/>
    <mergeCell ref="B8:B12"/>
    <mergeCell ref="C8:C9"/>
    <mergeCell ref="C10:C12"/>
    <mergeCell ref="C13:C14"/>
    <mergeCell ref="C15:C17"/>
    <mergeCell ref="F30:F32"/>
    <mergeCell ref="F33:F34"/>
    <mergeCell ref="C23:C24"/>
    <mergeCell ref="B28:B32"/>
    <mergeCell ref="C28:C29"/>
    <mergeCell ref="E28:E32"/>
    <mergeCell ref="F28:F29"/>
    <mergeCell ref="B33:B37"/>
    <mergeCell ref="C35:C37"/>
    <mergeCell ref="C48:C49"/>
    <mergeCell ref="C50:C52"/>
    <mergeCell ref="E33:E37"/>
    <mergeCell ref="F35:F37"/>
    <mergeCell ref="E38:E42"/>
    <mergeCell ref="F38:F39"/>
    <mergeCell ref="F40:F42"/>
    <mergeCell ref="F43:F44"/>
    <mergeCell ref="F45:F47"/>
    <mergeCell ref="F70:F72"/>
    <mergeCell ref="F73:F74"/>
    <mergeCell ref="F75:F77"/>
    <mergeCell ref="F78:F79"/>
    <mergeCell ref="F80:F82"/>
    <mergeCell ref="F83:F84"/>
    <mergeCell ref="F85:F87"/>
    <mergeCell ref="C123:C124"/>
    <mergeCell ref="C125:C127"/>
    <mergeCell ref="C105:C107"/>
    <mergeCell ref="C108:C109"/>
    <mergeCell ref="C110:C112"/>
    <mergeCell ref="C113:C114"/>
    <mergeCell ref="C115:C117"/>
    <mergeCell ref="C118:C119"/>
    <mergeCell ref="C120:C122"/>
  </mergeCells>
  <hyperlinks>
    <hyperlink r:id="rId1" ref="K8"/>
    <hyperlink r:id="rId2" ref="K13"/>
    <hyperlink r:id="rId3" ref="K18"/>
    <hyperlink r:id="rId4" ref="K23"/>
    <hyperlink r:id="rId5" ref="K28"/>
    <hyperlink r:id="rId6" ref="K33"/>
    <hyperlink r:id="rId7" ref="K38"/>
    <hyperlink r:id="rId8" ref="K43"/>
    <hyperlink r:id="rId9" ref="K48"/>
    <hyperlink r:id="rId10" ref="K53"/>
    <hyperlink r:id="rId11" ref="K58"/>
    <hyperlink r:id="rId12" ref="K63"/>
    <hyperlink r:id="rId13" ref="K68"/>
    <hyperlink r:id="rId14" ref="K73"/>
    <hyperlink r:id="rId15" ref="K78"/>
    <hyperlink r:id="rId16" ref="K83"/>
    <hyperlink r:id="rId17" ref="K88"/>
    <hyperlink r:id="rId18" ref="K93"/>
    <hyperlink r:id="rId19" ref="K98"/>
    <hyperlink r:id="rId20" ref="K103"/>
    <hyperlink r:id="rId21" ref="K108"/>
    <hyperlink r:id="rId22" ref="K113"/>
    <hyperlink r:id="rId23" ref="K118"/>
    <hyperlink r:id="rId24" ref="K123"/>
    <hyperlink r:id="rId25" ref="K128"/>
    <hyperlink r:id="rId26" ref="K133"/>
    <hyperlink r:id="rId27" ref="K138"/>
    <hyperlink r:id="rId28" ref="K143"/>
    <hyperlink r:id="rId29" ref="K148"/>
    <hyperlink r:id="rId30" ref="K153"/>
  </hyperlinks>
  <printOptions/>
  <pageMargins bottom="0.75" footer="0.0" header="0.0" left="0.7" right="0.7" top="0.75"/>
  <pageSetup orientation="landscape"/>
  <drawing r:id="rId3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outlineLevelCol="1"/>
  <cols>
    <col collapsed="1" customWidth="1" min="2" max="2" width="40.43"/>
    <col hidden="1" min="3" max="4" width="14.43" outlineLevel="1"/>
    <col customWidth="1" min="5" max="5" width="118.14"/>
  </cols>
  <sheetData>
    <row r="1">
      <c r="A1" s="281" t="s">
        <v>25</v>
      </c>
      <c r="B1" s="281" t="s">
        <v>881</v>
      </c>
      <c r="C1" s="281" t="s">
        <v>882</v>
      </c>
      <c r="D1" s="281" t="s">
        <v>883</v>
      </c>
    </row>
    <row r="2">
      <c r="A2" s="241">
        <v>40856.0</v>
      </c>
      <c r="B2" s="241" t="s">
        <v>453</v>
      </c>
      <c r="C2" s="244"/>
      <c r="D2" s="164" t="s">
        <v>884</v>
      </c>
      <c r="E2" s="155" t="s">
        <v>885</v>
      </c>
    </row>
    <row r="3">
      <c r="A3" s="241">
        <v>40857.0</v>
      </c>
      <c r="B3" s="241" t="s">
        <v>448</v>
      </c>
      <c r="C3" s="244"/>
      <c r="D3" s="164" t="s">
        <v>886</v>
      </c>
    </row>
    <row r="4">
      <c r="A4" s="241">
        <v>40858.0</v>
      </c>
      <c r="B4" s="241" t="s">
        <v>442</v>
      </c>
      <c r="C4" s="244"/>
      <c r="D4" s="164" t="s">
        <v>887</v>
      </c>
    </row>
    <row r="5">
      <c r="A5" s="241">
        <v>40859.0</v>
      </c>
      <c r="B5" s="241" t="s">
        <v>436</v>
      </c>
      <c r="C5" s="244"/>
      <c r="D5" s="164" t="s">
        <v>888</v>
      </c>
    </row>
    <row r="6">
      <c r="A6" s="241">
        <v>40860.0</v>
      </c>
      <c r="B6" s="241" t="s">
        <v>428</v>
      </c>
      <c r="C6" s="244"/>
      <c r="D6" s="164" t="s">
        <v>889</v>
      </c>
    </row>
    <row r="7">
      <c r="A7" s="241">
        <v>40861.0</v>
      </c>
      <c r="B7" s="241" t="s">
        <v>422</v>
      </c>
      <c r="C7" s="244"/>
      <c r="D7" s="164" t="s">
        <v>890</v>
      </c>
    </row>
    <row r="8">
      <c r="A8" s="241">
        <v>40865.0</v>
      </c>
      <c r="B8" s="241" t="s">
        <v>674</v>
      </c>
      <c r="C8" s="244"/>
      <c r="D8" s="164" t="s">
        <v>891</v>
      </c>
    </row>
    <row r="9">
      <c r="A9" s="241">
        <v>40871.0</v>
      </c>
      <c r="B9" s="241" t="s">
        <v>456</v>
      </c>
      <c r="C9" s="244"/>
      <c r="D9" s="164" t="s">
        <v>892</v>
      </c>
    </row>
    <row r="11">
      <c r="A11" s="241">
        <v>40873.0</v>
      </c>
      <c r="B11" s="241" t="s">
        <v>660</v>
      </c>
      <c r="C11" s="244"/>
      <c r="D11" s="164" t="s">
        <v>893</v>
      </c>
      <c r="E11" s="155" t="s">
        <v>894</v>
      </c>
    </row>
    <row r="12">
      <c r="A12" s="241">
        <v>40874.0</v>
      </c>
      <c r="B12" s="241" t="s">
        <v>661</v>
      </c>
      <c r="C12" s="244"/>
      <c r="D12" s="164" t="s">
        <v>895</v>
      </c>
    </row>
    <row r="13">
      <c r="A13" s="241">
        <v>40875.0</v>
      </c>
      <c r="B13" s="241" t="s">
        <v>896</v>
      </c>
      <c r="C13" s="244"/>
      <c r="D13" s="164" t="s">
        <v>897</v>
      </c>
    </row>
    <row r="14">
      <c r="A14" s="241">
        <v>40876.0</v>
      </c>
      <c r="B14" s="241" t="s">
        <v>863</v>
      </c>
      <c r="C14" s="244"/>
      <c r="D14" s="164" t="s">
        <v>898</v>
      </c>
    </row>
    <row r="15">
      <c r="A15" s="241">
        <v>40877.0</v>
      </c>
      <c r="B15" s="241" t="s">
        <v>875</v>
      </c>
      <c r="C15" s="244"/>
      <c r="D15" s="164" t="s">
        <v>899</v>
      </c>
    </row>
    <row r="16">
      <c r="A16" s="241">
        <v>40878.0</v>
      </c>
      <c r="B16" s="241" t="s">
        <v>866</v>
      </c>
      <c r="C16" s="244"/>
      <c r="D16" s="164" t="s">
        <v>900</v>
      </c>
    </row>
    <row r="17">
      <c r="A17" s="241">
        <v>40879.0</v>
      </c>
      <c r="B17" s="241" t="s">
        <v>878</v>
      </c>
      <c r="C17" s="244"/>
      <c r="D17" s="164" t="s">
        <v>901</v>
      </c>
    </row>
    <row r="18">
      <c r="A18" s="241">
        <v>40880.0</v>
      </c>
      <c r="B18" s="241" t="s">
        <v>902</v>
      </c>
      <c r="C18" s="244"/>
      <c r="D18" s="164" t="s">
        <v>903</v>
      </c>
    </row>
    <row r="19">
      <c r="A19" s="241">
        <v>40881.0</v>
      </c>
      <c r="B19" s="241" t="s">
        <v>904</v>
      </c>
      <c r="C19" s="244"/>
      <c r="D19" s="164" t="s">
        <v>905</v>
      </c>
    </row>
    <row r="20">
      <c r="A20" s="241">
        <v>40882.0</v>
      </c>
      <c r="B20" s="241" t="s">
        <v>869</v>
      </c>
      <c r="C20" s="244"/>
      <c r="D20" s="164" t="s">
        <v>906</v>
      </c>
    </row>
    <row r="21">
      <c r="A21" s="241">
        <v>40883.0</v>
      </c>
      <c r="B21" s="241" t="s">
        <v>872</v>
      </c>
      <c r="C21" s="244"/>
      <c r="D21" s="164" t="s">
        <v>907</v>
      </c>
    </row>
    <row r="22">
      <c r="A22" s="241">
        <v>40884.0</v>
      </c>
      <c r="B22" s="241" t="s">
        <v>908</v>
      </c>
      <c r="C22" s="244"/>
      <c r="D22" s="164" t="s">
        <v>909</v>
      </c>
    </row>
    <row r="23">
      <c r="A23" s="241">
        <v>40885.0</v>
      </c>
      <c r="B23" s="241" t="s">
        <v>647</v>
      </c>
      <c r="C23" s="244"/>
      <c r="D23" s="164" t="s">
        <v>910</v>
      </c>
    </row>
    <row r="24">
      <c r="A24" s="241">
        <v>40886.0</v>
      </c>
      <c r="B24" s="241" t="s">
        <v>651</v>
      </c>
      <c r="C24" s="244"/>
      <c r="D24" s="164" t="s">
        <v>911</v>
      </c>
    </row>
    <row r="25">
      <c r="A25" s="241">
        <v>40887.0</v>
      </c>
      <c r="B25" s="241" t="s">
        <v>912</v>
      </c>
      <c r="C25" s="244"/>
      <c r="D25" s="164" t="s">
        <v>913</v>
      </c>
    </row>
    <row r="26">
      <c r="A26" s="241">
        <v>40888.0</v>
      </c>
      <c r="B26" s="241" t="s">
        <v>656</v>
      </c>
      <c r="C26" s="244"/>
      <c r="D26" s="164" t="s">
        <v>914</v>
      </c>
    </row>
    <row r="27">
      <c r="A27" s="241">
        <v>40889.0</v>
      </c>
      <c r="B27" s="241" t="s">
        <v>655</v>
      </c>
      <c r="C27" s="244"/>
      <c r="D27" s="164" t="s">
        <v>915</v>
      </c>
    </row>
    <row r="29">
      <c r="A29" s="241">
        <v>40863.0</v>
      </c>
      <c r="B29" s="241" t="s">
        <v>472</v>
      </c>
      <c r="C29" s="244"/>
      <c r="D29" s="164" t="s">
        <v>916</v>
      </c>
      <c r="E29" s="155" t="s">
        <v>917</v>
      </c>
    </row>
    <row r="30">
      <c r="A30" s="241">
        <v>40864.0</v>
      </c>
      <c r="B30" s="241" t="s">
        <v>475</v>
      </c>
      <c r="C30" s="244"/>
      <c r="D30" s="164" t="s">
        <v>918</v>
      </c>
    </row>
    <row r="31">
      <c r="A31" s="241">
        <v>40867.0</v>
      </c>
      <c r="B31" s="241" t="s">
        <v>484</v>
      </c>
      <c r="C31" s="244"/>
      <c r="D31" s="164" t="s">
        <v>919</v>
      </c>
    </row>
    <row r="32">
      <c r="A32" s="241">
        <v>40868.0</v>
      </c>
      <c r="B32" s="241" t="s">
        <v>488</v>
      </c>
      <c r="C32" s="244"/>
      <c r="D32" s="164" t="s">
        <v>920</v>
      </c>
    </row>
    <row r="33">
      <c r="A33" s="241">
        <v>40869.0</v>
      </c>
      <c r="B33" s="241" t="s">
        <v>491</v>
      </c>
      <c r="C33" s="244"/>
      <c r="D33" s="164" t="s">
        <v>921</v>
      </c>
    </row>
    <row r="34">
      <c r="A34" s="241">
        <v>40870.0</v>
      </c>
      <c r="B34" s="241" t="s">
        <v>494</v>
      </c>
      <c r="C34" s="244"/>
      <c r="D34" s="164" t="s">
        <v>922</v>
      </c>
    </row>
    <row r="36">
      <c r="A36" s="241">
        <v>40866.0</v>
      </c>
      <c r="B36" s="241" t="s">
        <v>852</v>
      </c>
      <c r="C36" s="244"/>
      <c r="D36" s="164" t="s">
        <v>923</v>
      </c>
      <c r="E36" s="282" t="s">
        <v>924</v>
      </c>
    </row>
    <row r="37">
      <c r="A37" s="241">
        <v>40872.0</v>
      </c>
      <c r="B37" s="241" t="s">
        <v>395</v>
      </c>
      <c r="E37" s="283" t="str">
        <f t="shared" ref="E37:E40" si="1">HYPERLINK("https://common-legacy-app-admin.us.ikemen-sengoku.jp/admin/avatar/item?item_name="&amp;SUBSTITUTE(B37," ","+"))</f>
        <v>https://common-legacy-app-admin.us.ikemen-sengoku.jp/admin/avatar/item?item_name=Shining+Silver+Ash+Hair</v>
      </c>
    </row>
    <row r="38">
      <c r="A38" s="241">
        <v>40854.0</v>
      </c>
      <c r="B38" s="241" t="s">
        <v>399</v>
      </c>
      <c r="E38" s="283" t="str">
        <f t="shared" si="1"/>
        <v>https://common-legacy-app-admin.us.ikemen-sengoku.jp/admin/avatar/item?item_name=Effect:+Shiny+White+Spider+Lily</v>
      </c>
    </row>
    <row r="39">
      <c r="A39" s="241">
        <v>40855.0</v>
      </c>
      <c r="B39" s="241" t="s">
        <v>403</v>
      </c>
      <c r="E39" s="283" t="str">
        <f t="shared" si="1"/>
        <v>https://common-legacy-app-admin.us.ikemen-sengoku.jp/admin/avatar/item?item_name=The+Forest+Where+Spirits+Dwell</v>
      </c>
    </row>
    <row r="40">
      <c r="A40" s="241">
        <v>40862.0</v>
      </c>
      <c r="B40" s="241" t="s">
        <v>460</v>
      </c>
      <c r="E40" s="283" t="str">
        <f t="shared" si="1"/>
        <v>https://common-legacy-app-admin.us.ikemen-sengoku.jp/admin/avatar/item?item_name=Enchanted+Cobalt+Green+Kimono</v>
      </c>
    </row>
  </sheetData>
  <customSheetViews>
    <customSheetView guid="{57FE45A7-A96D-4751-B2BB-11192AC4E903}" filter="1" showAutoFilter="1">
      <autoFilter ref="$A$1:$E$40">
        <sortState ref="A1:E40">
          <sortCondition ref="A1:A40"/>
        </sortState>
      </autoFilter>
    </customSheetView>
  </customSheetViews>
  <hyperlinks>
    <hyperlink r:id="rId1" ref="D2"/>
    <hyperlink r:id="rId2" ref="E2"/>
    <hyperlink r:id="rId3" ref="D3"/>
    <hyperlink r:id="rId4" ref="D4"/>
    <hyperlink r:id="rId5" ref="D5"/>
    <hyperlink r:id="rId6" ref="D6"/>
    <hyperlink r:id="rId7" ref="D7"/>
    <hyperlink r:id="rId8" ref="D8"/>
    <hyperlink r:id="rId9" ref="D9"/>
    <hyperlink r:id="rId10" ref="D11"/>
    <hyperlink r:id="rId11" ref="E11"/>
    <hyperlink r:id="rId12" ref="D12"/>
    <hyperlink r:id="rId13" ref="D13"/>
    <hyperlink r:id="rId14" ref="D14"/>
    <hyperlink r:id="rId15" ref="D15"/>
    <hyperlink r:id="rId16" ref="D16"/>
    <hyperlink r:id="rId17" ref="D17"/>
    <hyperlink r:id="rId18" ref="D18"/>
    <hyperlink r:id="rId19" ref="D19"/>
    <hyperlink r:id="rId20" ref="D20"/>
    <hyperlink r:id="rId21" ref="D21"/>
    <hyperlink r:id="rId22" ref="D22"/>
    <hyperlink r:id="rId23" ref="D23"/>
    <hyperlink r:id="rId24" ref="D24"/>
    <hyperlink r:id="rId25" ref="D25"/>
    <hyperlink r:id="rId26" ref="D26"/>
    <hyperlink r:id="rId27" ref="D27"/>
    <hyperlink r:id="rId28" ref="D29"/>
    <hyperlink r:id="rId29" ref="E29"/>
    <hyperlink r:id="rId30" ref="D30"/>
    <hyperlink r:id="rId31" ref="D31"/>
    <hyperlink r:id="rId32" ref="D32"/>
    <hyperlink r:id="rId33" ref="D33"/>
    <hyperlink r:id="rId34" ref="D34"/>
    <hyperlink r:id="rId35" ref="D36"/>
    <hyperlink r:id="rId36" ref="E36"/>
  </hyperlinks>
  <drawing r:id="rId37"/>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pageSetUpPr/>
  </sheetPr>
  <sheetViews>
    <sheetView workbookViewId="0"/>
  </sheetViews>
  <sheetFormatPr customHeight="1" defaultColWidth="14.43" defaultRowHeight="15.0" outlineLevelCol="1"/>
  <cols>
    <col collapsed="1" customWidth="1" min="1" max="1" width="4.43"/>
    <col customWidth="1" hidden="1" min="2" max="2" width="23.0" outlineLevel="1"/>
    <col collapsed="1" customWidth="1" min="3" max="3" width="27.29"/>
    <col customWidth="1" hidden="1" min="4" max="4" width="40.14" outlineLevel="1"/>
    <col customWidth="1" min="5" max="5" width="23.0"/>
    <col customWidth="1" min="6" max="6" width="27.29"/>
    <col customWidth="1" min="7" max="7" width="40.14"/>
    <col collapsed="1" customWidth="1" min="8" max="8" width="43.0"/>
    <col customWidth="1" hidden="1" min="9" max="12" width="8.71" outlineLevel="1"/>
    <col customWidth="1" min="13" max="16" width="8.71"/>
    <col customWidth="1" min="17" max="17" width="35.86"/>
    <col customWidth="1" min="18" max="19" width="28.71"/>
  </cols>
  <sheetData>
    <row r="1">
      <c r="A1" s="22" t="s">
        <v>47</v>
      </c>
      <c r="B1" s="22" t="s">
        <v>925</v>
      </c>
      <c r="C1" s="22" t="s">
        <v>49</v>
      </c>
      <c r="D1" s="22" t="s">
        <v>50</v>
      </c>
      <c r="E1" s="23" t="s">
        <v>926</v>
      </c>
      <c r="F1" s="23" t="s">
        <v>49</v>
      </c>
      <c r="G1" s="23" t="s">
        <v>50</v>
      </c>
      <c r="H1" s="22" t="s">
        <v>927</v>
      </c>
      <c r="I1" s="24" t="s">
        <v>52</v>
      </c>
      <c r="J1" s="8"/>
      <c r="K1" s="8"/>
      <c r="L1" s="9"/>
      <c r="M1" s="25" t="s">
        <v>53</v>
      </c>
      <c r="N1" s="8"/>
      <c r="O1" s="8"/>
      <c r="P1" s="9"/>
      <c r="Q1" s="22" t="s">
        <v>54</v>
      </c>
      <c r="R1" s="22" t="s">
        <v>55</v>
      </c>
      <c r="S1" s="22" t="s">
        <v>56</v>
      </c>
    </row>
    <row r="2">
      <c r="A2" s="21"/>
      <c r="B2" s="21"/>
      <c r="C2" s="21"/>
      <c r="D2" s="21"/>
      <c r="E2" s="21"/>
      <c r="F2" s="21"/>
      <c r="G2" s="21"/>
      <c r="H2" s="21"/>
      <c r="I2" s="26" t="s">
        <v>57</v>
      </c>
      <c r="J2" s="284" t="s">
        <v>58</v>
      </c>
      <c r="K2" s="26" t="s">
        <v>59</v>
      </c>
      <c r="L2" s="26" t="s">
        <v>60</v>
      </c>
      <c r="M2" s="26" t="s">
        <v>57</v>
      </c>
      <c r="N2" s="284" t="s">
        <v>58</v>
      </c>
      <c r="O2" s="26" t="s">
        <v>59</v>
      </c>
      <c r="P2" s="26" t="s">
        <v>60</v>
      </c>
      <c r="Q2" s="21"/>
      <c r="R2" s="21"/>
      <c r="S2" s="21"/>
    </row>
    <row r="3">
      <c r="A3" s="28">
        <f t="shared" ref="A3:A32" si="1">ROW()-2</f>
        <v>1</v>
      </c>
      <c r="B3" s="173" t="str">
        <f>'参照_特典詳細'!$C$59</f>
        <v>恋遊戯～政宗～</v>
      </c>
      <c r="C3" s="252" t="s">
        <v>72</v>
      </c>
      <c r="D3" s="37" t="s">
        <v>928</v>
      </c>
      <c r="E3" s="173" t="str">
        <f>'参照_特典詳細'!$C$59</f>
        <v>恋遊戯～政宗～</v>
      </c>
      <c r="F3" s="252" t="s">
        <v>74</v>
      </c>
      <c r="G3" s="37" t="s">
        <v>929</v>
      </c>
      <c r="H3" s="37"/>
      <c r="I3" s="285" t="s">
        <v>67</v>
      </c>
      <c r="J3" s="285" t="s">
        <v>68</v>
      </c>
      <c r="K3" s="285" t="s">
        <v>69</v>
      </c>
      <c r="L3" s="286">
        <v>46064.0</v>
      </c>
      <c r="M3" s="34" t="s">
        <v>67</v>
      </c>
      <c r="N3" s="28" t="str">
        <f t="array" ref="N3:P32">IF(M3:M32="OK",{"IW","Bill","2/12"},)</f>
        <v>IW</v>
      </c>
      <c r="O3" s="28" t="s">
        <v>69</v>
      </c>
      <c r="P3" s="45" t="s">
        <v>76</v>
      </c>
      <c r="Q3" s="47"/>
      <c r="R3" s="47"/>
      <c r="S3" s="47"/>
    </row>
    <row r="4">
      <c r="A4" s="28">
        <f t="shared" si="1"/>
        <v>2</v>
      </c>
      <c r="B4" s="20"/>
      <c r="C4" s="32" t="s">
        <v>930</v>
      </c>
      <c r="D4" s="37" t="s">
        <v>931</v>
      </c>
      <c r="E4" s="20"/>
      <c r="F4" s="32" t="s">
        <v>932</v>
      </c>
      <c r="G4" s="37" t="s">
        <v>933</v>
      </c>
      <c r="H4" s="37" t="str">
        <f>'参照_特典詳細'!$F$59</f>
        <v>政宗</v>
      </c>
      <c r="I4" s="287" t="s">
        <v>67</v>
      </c>
      <c r="J4" s="287" t="s">
        <v>68</v>
      </c>
      <c r="K4" s="287" t="s">
        <v>69</v>
      </c>
      <c r="L4" s="288">
        <v>46063.0</v>
      </c>
      <c r="M4" s="36" t="s">
        <v>934</v>
      </c>
      <c r="N4" s="36"/>
      <c r="O4" s="36"/>
      <c r="P4" s="36"/>
      <c r="Q4" s="47"/>
      <c r="R4" s="47"/>
      <c r="S4" s="47"/>
    </row>
    <row r="5">
      <c r="A5" s="28">
        <f t="shared" si="1"/>
        <v>3</v>
      </c>
      <c r="B5" s="20"/>
      <c r="C5" s="20"/>
      <c r="D5" s="37" t="s">
        <v>935</v>
      </c>
      <c r="E5" s="20"/>
      <c r="F5" s="20"/>
      <c r="G5" s="37" t="s">
        <v>936</v>
      </c>
      <c r="H5" s="37" t="str">
        <f>'参照_特典詳細'!D59</f>
        <v>Mystic Matrimony ~Masamune~</v>
      </c>
      <c r="I5" s="287" t="s">
        <v>67</v>
      </c>
      <c r="J5" s="287" t="s">
        <v>68</v>
      </c>
      <c r="K5" s="287" t="s">
        <v>69</v>
      </c>
      <c r="L5" s="288">
        <v>46063.0</v>
      </c>
      <c r="M5" s="36" t="s">
        <v>934</v>
      </c>
      <c r="N5" s="36"/>
      <c r="O5" s="36"/>
      <c r="P5" s="36"/>
      <c r="Q5" s="47"/>
      <c r="R5" s="47"/>
      <c r="S5" s="47"/>
    </row>
    <row r="6" ht="19.5" customHeight="1">
      <c r="A6" s="28">
        <f t="shared" si="1"/>
        <v>4</v>
      </c>
      <c r="B6" s="20"/>
      <c r="C6" s="20"/>
      <c r="D6" s="37" t="s">
        <v>937</v>
      </c>
      <c r="E6" s="20"/>
      <c r="F6" s="20"/>
      <c r="G6" s="37" t="s">
        <v>87</v>
      </c>
      <c r="H6" s="37" t="str">
        <f>'参照_特典詳細'!G59</f>
        <v>縦カードその他</v>
      </c>
      <c r="I6" s="287" t="s">
        <v>67</v>
      </c>
      <c r="J6" s="287" t="s">
        <v>68</v>
      </c>
      <c r="K6" s="287" t="s">
        <v>69</v>
      </c>
      <c r="L6" s="288">
        <v>46063.0</v>
      </c>
      <c r="M6" s="36" t="s">
        <v>934</v>
      </c>
      <c r="N6" s="36"/>
      <c r="O6" s="36"/>
      <c r="P6" s="36"/>
      <c r="Q6" s="47" t="s">
        <v>938</v>
      </c>
      <c r="R6" s="47"/>
      <c r="S6" s="47"/>
    </row>
    <row r="7">
      <c r="A7" s="28">
        <f t="shared" si="1"/>
        <v>5</v>
      </c>
      <c r="B7" s="21"/>
      <c r="C7" s="21"/>
      <c r="D7" s="37" t="s">
        <v>84</v>
      </c>
      <c r="E7" s="21"/>
      <c r="F7" s="21"/>
      <c r="G7" s="37" t="s">
        <v>939</v>
      </c>
      <c r="H7" s="49">
        <f>'参照_概要'!$C$17</f>
        <v>46074.70833</v>
      </c>
      <c r="I7" s="287" t="s">
        <v>67</v>
      </c>
      <c r="J7" s="287" t="s">
        <v>68</v>
      </c>
      <c r="K7" s="287" t="s">
        <v>69</v>
      </c>
      <c r="L7" s="288">
        <v>46063.0</v>
      </c>
      <c r="M7" s="36" t="s">
        <v>934</v>
      </c>
      <c r="N7" s="36"/>
      <c r="O7" s="36"/>
      <c r="P7" s="36"/>
      <c r="Q7" s="47"/>
      <c r="R7" s="47"/>
      <c r="S7" s="47"/>
    </row>
    <row r="8">
      <c r="A8" s="28">
        <f t="shared" si="1"/>
        <v>6</v>
      </c>
      <c r="B8" s="173" t="str">
        <f>'参照_特典詳細'!$C$60</f>
        <v>恋遊戯～信長～</v>
      </c>
      <c r="C8" s="252" t="s">
        <v>72</v>
      </c>
      <c r="D8" s="100" t="s">
        <v>928</v>
      </c>
      <c r="E8" s="173" t="str">
        <f>'参照_特典詳細'!$C$60</f>
        <v>恋遊戯～信長～</v>
      </c>
      <c r="F8" s="252" t="s">
        <v>74</v>
      </c>
      <c r="G8" s="100" t="s">
        <v>929</v>
      </c>
      <c r="H8" s="31"/>
      <c r="I8" s="285" t="s">
        <v>67</v>
      </c>
      <c r="J8" s="285" t="s">
        <v>68</v>
      </c>
      <c r="K8" s="285" t="s">
        <v>69</v>
      </c>
      <c r="L8" s="286">
        <v>46064.0</v>
      </c>
      <c r="M8" s="34" t="s">
        <v>67</v>
      </c>
      <c r="N8" s="28" t="s">
        <v>68</v>
      </c>
      <c r="O8" s="28" t="s">
        <v>69</v>
      </c>
      <c r="P8" s="45" t="s">
        <v>76</v>
      </c>
      <c r="Q8" s="47"/>
      <c r="R8" s="47"/>
      <c r="S8" s="47"/>
    </row>
    <row r="9">
      <c r="A9" s="28">
        <f t="shared" si="1"/>
        <v>7</v>
      </c>
      <c r="B9" s="20"/>
      <c r="C9" s="32" t="s">
        <v>930</v>
      </c>
      <c r="D9" s="100" t="s">
        <v>931</v>
      </c>
      <c r="E9" s="20"/>
      <c r="F9" s="32" t="s">
        <v>932</v>
      </c>
      <c r="G9" s="100" t="s">
        <v>933</v>
      </c>
      <c r="H9" s="31" t="str">
        <f>'参照_特典詳細'!$F$60</f>
        <v>信長</v>
      </c>
      <c r="I9" s="287" t="s">
        <v>67</v>
      </c>
      <c r="J9" s="287" t="s">
        <v>68</v>
      </c>
      <c r="K9" s="287" t="s">
        <v>69</v>
      </c>
      <c r="L9" s="288">
        <v>46063.0</v>
      </c>
      <c r="M9" s="36" t="s">
        <v>934</v>
      </c>
      <c r="N9" s="36"/>
      <c r="O9" s="36"/>
      <c r="P9" s="36"/>
      <c r="Q9" s="47"/>
      <c r="R9" s="47"/>
      <c r="S9" s="47"/>
    </row>
    <row r="10">
      <c r="A10" s="28">
        <f t="shared" si="1"/>
        <v>8</v>
      </c>
      <c r="B10" s="20"/>
      <c r="C10" s="20"/>
      <c r="D10" s="100" t="s">
        <v>935</v>
      </c>
      <c r="E10" s="20"/>
      <c r="F10" s="20"/>
      <c r="G10" s="100" t="s">
        <v>936</v>
      </c>
      <c r="H10" s="31" t="str">
        <f>'参照_特典詳細'!D60</f>
        <v>Mystic Matrimony ~Nobunaga~</v>
      </c>
      <c r="I10" s="287" t="s">
        <v>67</v>
      </c>
      <c r="J10" s="287" t="s">
        <v>68</v>
      </c>
      <c r="K10" s="287" t="s">
        <v>69</v>
      </c>
      <c r="L10" s="288">
        <v>46063.0</v>
      </c>
      <c r="M10" s="36" t="s">
        <v>934</v>
      </c>
      <c r="N10" s="36"/>
      <c r="O10" s="36"/>
      <c r="P10" s="36"/>
      <c r="Q10" s="47"/>
      <c r="R10" s="47"/>
      <c r="S10" s="47"/>
    </row>
    <row r="11">
      <c r="A11" s="28">
        <f t="shared" si="1"/>
        <v>9</v>
      </c>
      <c r="B11" s="20"/>
      <c r="C11" s="20"/>
      <c r="D11" s="100" t="s">
        <v>937</v>
      </c>
      <c r="E11" s="20"/>
      <c r="F11" s="20"/>
      <c r="G11" s="100" t="s">
        <v>940</v>
      </c>
      <c r="H11" s="31" t="str">
        <f>'参照_特典詳細'!G60</f>
        <v>縦カードその他</v>
      </c>
      <c r="I11" s="287" t="s">
        <v>67</v>
      </c>
      <c r="J11" s="287" t="s">
        <v>68</v>
      </c>
      <c r="K11" s="287" t="s">
        <v>69</v>
      </c>
      <c r="L11" s="288">
        <v>46063.0</v>
      </c>
      <c r="M11" s="36" t="s">
        <v>934</v>
      </c>
      <c r="N11" s="36"/>
      <c r="O11" s="36"/>
      <c r="P11" s="36"/>
      <c r="Q11" s="47"/>
      <c r="R11" s="47"/>
      <c r="S11" s="47"/>
    </row>
    <row r="12">
      <c r="A12" s="28">
        <f t="shared" si="1"/>
        <v>10</v>
      </c>
      <c r="B12" s="21"/>
      <c r="C12" s="21"/>
      <c r="D12" s="100" t="s">
        <v>84</v>
      </c>
      <c r="E12" s="21"/>
      <c r="F12" s="21"/>
      <c r="G12" s="100" t="s">
        <v>87</v>
      </c>
      <c r="H12" s="33">
        <f>'参照_概要'!$C$17</f>
        <v>46074.70833</v>
      </c>
      <c r="I12" s="287" t="s">
        <v>67</v>
      </c>
      <c r="J12" s="287" t="s">
        <v>68</v>
      </c>
      <c r="K12" s="287" t="s">
        <v>69</v>
      </c>
      <c r="L12" s="288">
        <v>46063.0</v>
      </c>
      <c r="M12" s="36" t="s">
        <v>934</v>
      </c>
      <c r="N12" s="36"/>
      <c r="O12" s="36"/>
      <c r="P12" s="36"/>
      <c r="Q12" s="47"/>
      <c r="R12" s="47"/>
      <c r="S12" s="47"/>
    </row>
    <row r="13">
      <c r="A13" s="28">
        <f t="shared" si="1"/>
        <v>11</v>
      </c>
      <c r="B13" s="173" t="str">
        <f>'参照_特典詳細'!$C$61</f>
        <v>恋遊戯～兼続～</v>
      </c>
      <c r="C13" s="252" t="s">
        <v>72</v>
      </c>
      <c r="D13" s="103" t="s">
        <v>928</v>
      </c>
      <c r="E13" s="173" t="str">
        <f>'参照_特典詳細'!$C$61</f>
        <v>恋遊戯～兼続～</v>
      </c>
      <c r="F13" s="252" t="s">
        <v>74</v>
      </c>
      <c r="G13" s="103" t="s">
        <v>929</v>
      </c>
      <c r="H13" s="37"/>
      <c r="I13" s="285" t="s">
        <v>67</v>
      </c>
      <c r="J13" s="285" t="s">
        <v>68</v>
      </c>
      <c r="K13" s="285" t="s">
        <v>69</v>
      </c>
      <c r="L13" s="286">
        <v>46064.0</v>
      </c>
      <c r="M13" s="34" t="s">
        <v>67</v>
      </c>
      <c r="N13" s="28" t="s">
        <v>68</v>
      </c>
      <c r="O13" s="28" t="s">
        <v>69</v>
      </c>
      <c r="P13" s="45" t="s">
        <v>76</v>
      </c>
      <c r="Q13" s="47"/>
      <c r="R13" s="47"/>
      <c r="S13" s="47"/>
    </row>
    <row r="14">
      <c r="A14" s="28">
        <f t="shared" si="1"/>
        <v>12</v>
      </c>
      <c r="B14" s="20"/>
      <c r="C14" s="32" t="s">
        <v>930</v>
      </c>
      <c r="D14" s="103" t="s">
        <v>931</v>
      </c>
      <c r="E14" s="20"/>
      <c r="F14" s="32" t="s">
        <v>932</v>
      </c>
      <c r="G14" s="103" t="s">
        <v>933</v>
      </c>
      <c r="H14" s="37" t="str">
        <f>'参照_特典詳細'!$F$61</f>
        <v>兼続</v>
      </c>
      <c r="I14" s="287" t="s">
        <v>67</v>
      </c>
      <c r="J14" s="287" t="s">
        <v>68</v>
      </c>
      <c r="K14" s="287" t="s">
        <v>69</v>
      </c>
      <c r="L14" s="288">
        <v>46063.0</v>
      </c>
      <c r="M14" s="36" t="s">
        <v>934</v>
      </c>
      <c r="N14" s="36"/>
      <c r="O14" s="36"/>
      <c r="P14" s="36"/>
      <c r="Q14" s="47"/>
      <c r="R14" s="47"/>
      <c r="S14" s="47"/>
    </row>
    <row r="15">
      <c r="A15" s="28">
        <f t="shared" si="1"/>
        <v>13</v>
      </c>
      <c r="B15" s="20"/>
      <c r="C15" s="20"/>
      <c r="D15" s="103" t="s">
        <v>935</v>
      </c>
      <c r="E15" s="20"/>
      <c r="F15" s="20"/>
      <c r="G15" s="103" t="s">
        <v>936</v>
      </c>
      <c r="H15" s="37" t="str">
        <f>'参照_特典詳細'!D61</f>
        <v>Mystic Matrimony ~Kanetsugu~</v>
      </c>
      <c r="I15" s="287" t="s">
        <v>67</v>
      </c>
      <c r="J15" s="287" t="s">
        <v>68</v>
      </c>
      <c r="K15" s="287" t="s">
        <v>69</v>
      </c>
      <c r="L15" s="288">
        <v>46063.0</v>
      </c>
      <c r="M15" s="36" t="s">
        <v>934</v>
      </c>
      <c r="N15" s="36"/>
      <c r="O15" s="36"/>
      <c r="P15" s="36"/>
      <c r="Q15" s="47"/>
      <c r="R15" s="47"/>
      <c r="S15" s="47"/>
    </row>
    <row r="16">
      <c r="A16" s="28">
        <f t="shared" si="1"/>
        <v>14</v>
      </c>
      <c r="B16" s="20"/>
      <c r="C16" s="20"/>
      <c r="D16" s="103" t="s">
        <v>937</v>
      </c>
      <c r="E16" s="20"/>
      <c r="F16" s="20"/>
      <c r="G16" s="103" t="s">
        <v>940</v>
      </c>
      <c r="H16" s="37" t="str">
        <f>'参照_特典詳細'!G61</f>
        <v>縦カードその他</v>
      </c>
      <c r="I16" s="287" t="s">
        <v>67</v>
      </c>
      <c r="J16" s="287" t="s">
        <v>68</v>
      </c>
      <c r="K16" s="287" t="s">
        <v>69</v>
      </c>
      <c r="L16" s="288">
        <v>46063.0</v>
      </c>
      <c r="M16" s="36" t="s">
        <v>934</v>
      </c>
      <c r="N16" s="36"/>
      <c r="O16" s="36"/>
      <c r="P16" s="36"/>
      <c r="Q16" s="47"/>
      <c r="R16" s="47"/>
      <c r="S16" s="47"/>
    </row>
    <row r="17">
      <c r="A17" s="28">
        <f t="shared" si="1"/>
        <v>15</v>
      </c>
      <c r="B17" s="21"/>
      <c r="C17" s="21"/>
      <c r="D17" s="103" t="s">
        <v>84</v>
      </c>
      <c r="E17" s="21"/>
      <c r="F17" s="21"/>
      <c r="G17" s="103" t="s">
        <v>87</v>
      </c>
      <c r="H17" s="49">
        <f>'参照_概要'!$C$17</f>
        <v>46074.70833</v>
      </c>
      <c r="I17" s="287" t="s">
        <v>67</v>
      </c>
      <c r="J17" s="287" t="s">
        <v>68</v>
      </c>
      <c r="K17" s="287" t="s">
        <v>69</v>
      </c>
      <c r="L17" s="288">
        <v>46063.0</v>
      </c>
      <c r="M17" s="36" t="s">
        <v>934</v>
      </c>
      <c r="N17" s="36"/>
      <c r="O17" s="36"/>
      <c r="P17" s="36"/>
      <c r="Q17" s="47"/>
      <c r="R17" s="47"/>
      <c r="S17" s="47"/>
    </row>
    <row r="18" ht="15.75" customHeight="1">
      <c r="A18" s="28">
        <f t="shared" si="1"/>
        <v>16</v>
      </c>
      <c r="B18" s="173" t="str">
        <f>'参照_特典詳細'!$C$62</f>
        <v>恋遊戯～帰蝶～</v>
      </c>
      <c r="C18" s="252" t="s">
        <v>72</v>
      </c>
      <c r="D18" s="100" t="s">
        <v>928</v>
      </c>
      <c r="E18" s="173" t="str">
        <f>'参照_特典詳細'!$C$62</f>
        <v>恋遊戯～帰蝶～</v>
      </c>
      <c r="F18" s="252" t="s">
        <v>74</v>
      </c>
      <c r="G18" s="100" t="s">
        <v>929</v>
      </c>
      <c r="H18" s="31"/>
      <c r="I18" s="285" t="s">
        <v>67</v>
      </c>
      <c r="J18" s="285" t="s">
        <v>68</v>
      </c>
      <c r="K18" s="285" t="s">
        <v>69</v>
      </c>
      <c r="L18" s="286">
        <v>46064.0</v>
      </c>
      <c r="M18" s="34" t="s">
        <v>67</v>
      </c>
      <c r="N18" s="28" t="s">
        <v>68</v>
      </c>
      <c r="O18" s="28" t="s">
        <v>69</v>
      </c>
      <c r="P18" s="45" t="s">
        <v>76</v>
      </c>
      <c r="Q18" s="47"/>
      <c r="R18" s="47"/>
      <c r="S18" s="47"/>
    </row>
    <row r="19" ht="15.75" customHeight="1">
      <c r="A19" s="28">
        <f t="shared" si="1"/>
        <v>17</v>
      </c>
      <c r="B19" s="20"/>
      <c r="C19" s="32" t="s">
        <v>930</v>
      </c>
      <c r="D19" s="100" t="s">
        <v>931</v>
      </c>
      <c r="E19" s="20"/>
      <c r="F19" s="32" t="s">
        <v>932</v>
      </c>
      <c r="G19" s="100" t="s">
        <v>933</v>
      </c>
      <c r="H19" s="31" t="str">
        <f>'参照_特典詳細'!$F$62</f>
        <v>帰蝶</v>
      </c>
      <c r="I19" s="287" t="s">
        <v>67</v>
      </c>
      <c r="J19" s="287" t="s">
        <v>68</v>
      </c>
      <c r="K19" s="287" t="s">
        <v>69</v>
      </c>
      <c r="L19" s="288">
        <v>46063.0</v>
      </c>
      <c r="M19" s="36" t="s">
        <v>934</v>
      </c>
      <c r="N19" s="36"/>
      <c r="O19" s="36"/>
      <c r="P19" s="36"/>
      <c r="Q19" s="47"/>
      <c r="R19" s="47"/>
      <c r="S19" s="47"/>
    </row>
    <row r="20" ht="15.75" customHeight="1">
      <c r="A20" s="28">
        <f t="shared" si="1"/>
        <v>18</v>
      </c>
      <c r="B20" s="20"/>
      <c r="C20" s="20"/>
      <c r="D20" s="100" t="s">
        <v>935</v>
      </c>
      <c r="E20" s="20"/>
      <c r="F20" s="20"/>
      <c r="G20" s="100" t="s">
        <v>936</v>
      </c>
      <c r="H20" s="31" t="str">
        <f>'参照_特典詳細'!D62</f>
        <v>Mystic Matrimony ~Kicho~</v>
      </c>
      <c r="I20" s="287" t="s">
        <v>67</v>
      </c>
      <c r="J20" s="287" t="s">
        <v>68</v>
      </c>
      <c r="K20" s="287" t="s">
        <v>69</v>
      </c>
      <c r="L20" s="288">
        <v>46063.0</v>
      </c>
      <c r="M20" s="36" t="s">
        <v>934</v>
      </c>
      <c r="N20" s="36"/>
      <c r="O20" s="36"/>
      <c r="P20" s="36"/>
      <c r="Q20" s="47"/>
      <c r="R20" s="47"/>
      <c r="S20" s="47"/>
    </row>
    <row r="21" ht="15.75" customHeight="1">
      <c r="A21" s="28">
        <f t="shared" si="1"/>
        <v>19</v>
      </c>
      <c r="B21" s="20"/>
      <c r="C21" s="20"/>
      <c r="D21" s="100" t="s">
        <v>937</v>
      </c>
      <c r="E21" s="20"/>
      <c r="F21" s="20"/>
      <c r="G21" s="100" t="s">
        <v>940</v>
      </c>
      <c r="H21" s="31" t="str">
        <f>'参照_特典詳細'!G62</f>
        <v>縦カードその他</v>
      </c>
      <c r="I21" s="287" t="s">
        <v>67</v>
      </c>
      <c r="J21" s="287" t="s">
        <v>68</v>
      </c>
      <c r="K21" s="287" t="s">
        <v>69</v>
      </c>
      <c r="L21" s="288">
        <v>46063.0</v>
      </c>
      <c r="M21" s="36" t="s">
        <v>934</v>
      </c>
      <c r="N21" s="36"/>
      <c r="O21" s="36"/>
      <c r="P21" s="36"/>
      <c r="Q21" s="47"/>
      <c r="R21" s="47"/>
      <c r="S21" s="47"/>
    </row>
    <row r="22" ht="15.75" customHeight="1">
      <c r="A22" s="28">
        <f t="shared" si="1"/>
        <v>20</v>
      </c>
      <c r="B22" s="21"/>
      <c r="C22" s="21"/>
      <c r="D22" s="100" t="s">
        <v>84</v>
      </c>
      <c r="E22" s="21"/>
      <c r="F22" s="21"/>
      <c r="G22" s="100" t="s">
        <v>87</v>
      </c>
      <c r="H22" s="33">
        <f>'参照_概要'!$C$17</f>
        <v>46074.70833</v>
      </c>
      <c r="I22" s="287" t="s">
        <v>67</v>
      </c>
      <c r="J22" s="287" t="s">
        <v>68</v>
      </c>
      <c r="K22" s="287" t="s">
        <v>69</v>
      </c>
      <c r="L22" s="288">
        <v>46063.0</v>
      </c>
      <c r="M22" s="36" t="s">
        <v>934</v>
      </c>
      <c r="N22" s="36"/>
      <c r="O22" s="36"/>
      <c r="P22" s="36"/>
      <c r="Q22" s="47"/>
      <c r="R22" s="47"/>
      <c r="S22" s="47"/>
    </row>
    <row r="23" ht="15.75" customHeight="1">
      <c r="A23" s="28">
        <f t="shared" si="1"/>
        <v>21</v>
      </c>
      <c r="B23" s="173" t="str">
        <f>'参照_特典詳細'!$C$63</f>
        <v>恋遊戯～元就～</v>
      </c>
      <c r="C23" s="252" t="s">
        <v>72</v>
      </c>
      <c r="D23" s="103" t="s">
        <v>928</v>
      </c>
      <c r="E23" s="173" t="str">
        <f>'参照_特典詳細'!$C$63</f>
        <v>恋遊戯～元就～</v>
      </c>
      <c r="F23" s="252" t="s">
        <v>74</v>
      </c>
      <c r="G23" s="103" t="s">
        <v>929</v>
      </c>
      <c r="H23" s="37"/>
      <c r="I23" s="285" t="s">
        <v>67</v>
      </c>
      <c r="J23" s="285" t="s">
        <v>68</v>
      </c>
      <c r="K23" s="285" t="s">
        <v>69</v>
      </c>
      <c r="L23" s="286">
        <v>46064.0</v>
      </c>
      <c r="M23" s="34" t="s">
        <v>67</v>
      </c>
      <c r="N23" s="28" t="s">
        <v>68</v>
      </c>
      <c r="O23" s="28" t="s">
        <v>69</v>
      </c>
      <c r="P23" s="45" t="s">
        <v>76</v>
      </c>
      <c r="Q23" s="47"/>
      <c r="R23" s="47"/>
      <c r="S23" s="47"/>
    </row>
    <row r="24" ht="15.75" customHeight="1">
      <c r="A24" s="28">
        <f t="shared" si="1"/>
        <v>22</v>
      </c>
      <c r="B24" s="20"/>
      <c r="C24" s="32" t="s">
        <v>930</v>
      </c>
      <c r="D24" s="103" t="s">
        <v>941</v>
      </c>
      <c r="E24" s="20"/>
      <c r="F24" s="32" t="s">
        <v>932</v>
      </c>
      <c r="G24" s="103" t="s">
        <v>933</v>
      </c>
      <c r="H24" s="37" t="str">
        <f>'参照_特典詳細'!$F$63</f>
        <v>元就</v>
      </c>
      <c r="I24" s="287" t="s">
        <v>67</v>
      </c>
      <c r="J24" s="287" t="s">
        <v>68</v>
      </c>
      <c r="K24" s="287" t="s">
        <v>69</v>
      </c>
      <c r="L24" s="288">
        <v>46063.0</v>
      </c>
      <c r="M24" s="36" t="s">
        <v>934</v>
      </c>
      <c r="N24" s="36"/>
      <c r="O24" s="36"/>
      <c r="P24" s="36"/>
      <c r="Q24" s="47"/>
      <c r="R24" s="47"/>
      <c r="S24" s="47"/>
    </row>
    <row r="25" ht="15.75" customHeight="1">
      <c r="A25" s="28">
        <f t="shared" si="1"/>
        <v>23</v>
      </c>
      <c r="B25" s="20"/>
      <c r="C25" s="20"/>
      <c r="D25" s="103" t="s">
        <v>942</v>
      </c>
      <c r="E25" s="20"/>
      <c r="F25" s="20"/>
      <c r="G25" s="103" t="s">
        <v>936</v>
      </c>
      <c r="H25" s="37" t="str">
        <f>'参照_特典詳細'!D63</f>
        <v>Mystic Matrimony ~Motonari~</v>
      </c>
      <c r="I25" s="287" t="s">
        <v>67</v>
      </c>
      <c r="J25" s="287" t="s">
        <v>68</v>
      </c>
      <c r="K25" s="287" t="s">
        <v>69</v>
      </c>
      <c r="L25" s="288">
        <v>46063.0</v>
      </c>
      <c r="M25" s="36" t="s">
        <v>934</v>
      </c>
      <c r="N25" s="36"/>
      <c r="O25" s="36"/>
      <c r="P25" s="36"/>
      <c r="Q25" s="47"/>
      <c r="R25" s="47"/>
      <c r="S25" s="47"/>
    </row>
    <row r="26" ht="15.75" customHeight="1">
      <c r="A26" s="28">
        <f t="shared" si="1"/>
        <v>24</v>
      </c>
      <c r="B26" s="20"/>
      <c r="C26" s="20"/>
      <c r="D26" s="103" t="s">
        <v>943</v>
      </c>
      <c r="E26" s="20"/>
      <c r="F26" s="20"/>
      <c r="G26" s="103" t="s">
        <v>940</v>
      </c>
      <c r="H26" s="37" t="str">
        <f>'参照_特典詳細'!G63</f>
        <v>縦カードその他</v>
      </c>
      <c r="I26" s="287" t="s">
        <v>67</v>
      </c>
      <c r="J26" s="287" t="s">
        <v>68</v>
      </c>
      <c r="K26" s="287" t="s">
        <v>69</v>
      </c>
      <c r="L26" s="288">
        <v>46063.0</v>
      </c>
      <c r="M26" s="36" t="s">
        <v>934</v>
      </c>
      <c r="N26" s="36"/>
      <c r="O26" s="36"/>
      <c r="P26" s="36"/>
      <c r="Q26" s="47"/>
      <c r="R26" s="47"/>
      <c r="S26" s="47"/>
    </row>
    <row r="27" ht="15.75" customHeight="1">
      <c r="A27" s="28">
        <f t="shared" si="1"/>
        <v>25</v>
      </c>
      <c r="B27" s="21"/>
      <c r="C27" s="21"/>
      <c r="D27" s="103" t="s">
        <v>944</v>
      </c>
      <c r="E27" s="21"/>
      <c r="F27" s="21"/>
      <c r="G27" s="103" t="s">
        <v>87</v>
      </c>
      <c r="H27" s="49">
        <f>'参照_概要'!$C$17</f>
        <v>46074.70833</v>
      </c>
      <c r="I27" s="287" t="s">
        <v>67</v>
      </c>
      <c r="J27" s="287" t="s">
        <v>68</v>
      </c>
      <c r="K27" s="287" t="s">
        <v>69</v>
      </c>
      <c r="L27" s="288">
        <v>46063.0</v>
      </c>
      <c r="M27" s="36" t="s">
        <v>934</v>
      </c>
      <c r="N27" s="36"/>
      <c r="O27" s="36"/>
      <c r="P27" s="36"/>
      <c r="Q27" s="47"/>
      <c r="R27" s="47"/>
      <c r="S27" s="47"/>
    </row>
    <row r="28" ht="15.75" customHeight="1">
      <c r="A28" s="28">
        <f t="shared" si="1"/>
        <v>26</v>
      </c>
      <c r="B28" s="173" t="str">
        <f>'参照_特典詳細'!$C$64</f>
        <v>恋遊戯～義元～</v>
      </c>
      <c r="C28" s="252" t="s">
        <v>72</v>
      </c>
      <c r="D28" s="100" t="s">
        <v>928</v>
      </c>
      <c r="E28" s="173" t="str">
        <f>'参照_特典詳細'!$C$64</f>
        <v>恋遊戯～義元～</v>
      </c>
      <c r="F28" s="252" t="s">
        <v>74</v>
      </c>
      <c r="G28" s="100" t="s">
        <v>929</v>
      </c>
      <c r="H28" s="31"/>
      <c r="I28" s="285" t="s">
        <v>67</v>
      </c>
      <c r="J28" s="285" t="s">
        <v>68</v>
      </c>
      <c r="K28" s="285" t="s">
        <v>69</v>
      </c>
      <c r="L28" s="286">
        <v>46064.0</v>
      </c>
      <c r="M28" s="34" t="s">
        <v>67</v>
      </c>
      <c r="N28" s="28" t="s">
        <v>68</v>
      </c>
      <c r="O28" s="28" t="s">
        <v>69</v>
      </c>
      <c r="P28" s="45" t="s">
        <v>76</v>
      </c>
      <c r="Q28" s="47"/>
      <c r="R28" s="47"/>
      <c r="S28" s="47"/>
    </row>
    <row r="29" ht="15.75" customHeight="1">
      <c r="A29" s="28">
        <f t="shared" si="1"/>
        <v>27</v>
      </c>
      <c r="B29" s="20"/>
      <c r="C29" s="32" t="s">
        <v>930</v>
      </c>
      <c r="D29" s="100" t="s">
        <v>941</v>
      </c>
      <c r="E29" s="20"/>
      <c r="F29" s="32" t="s">
        <v>932</v>
      </c>
      <c r="G29" s="100" t="s">
        <v>933</v>
      </c>
      <c r="H29" s="31" t="str">
        <f>'参照_特典詳細'!$F$64</f>
        <v>義元</v>
      </c>
      <c r="I29" s="287" t="s">
        <v>67</v>
      </c>
      <c r="J29" s="287" t="s">
        <v>68</v>
      </c>
      <c r="K29" s="287" t="s">
        <v>69</v>
      </c>
      <c r="L29" s="288">
        <v>46063.0</v>
      </c>
      <c r="M29" s="36" t="s">
        <v>934</v>
      </c>
      <c r="N29" s="36"/>
      <c r="O29" s="36"/>
      <c r="P29" s="36"/>
      <c r="Q29" s="47"/>
      <c r="R29" s="47"/>
      <c r="S29" s="47"/>
    </row>
    <row r="30" ht="15.75" customHeight="1">
      <c r="A30" s="28">
        <f t="shared" si="1"/>
        <v>28</v>
      </c>
      <c r="B30" s="20"/>
      <c r="C30" s="20"/>
      <c r="D30" s="100" t="s">
        <v>942</v>
      </c>
      <c r="E30" s="20"/>
      <c r="F30" s="20"/>
      <c r="G30" s="100" t="s">
        <v>936</v>
      </c>
      <c r="H30" s="31" t="str">
        <f>'参照_特典詳細'!D64</f>
        <v>Mystic Matrimony ~Yoshimoto~</v>
      </c>
      <c r="I30" s="287" t="s">
        <v>67</v>
      </c>
      <c r="J30" s="287" t="s">
        <v>68</v>
      </c>
      <c r="K30" s="287" t="s">
        <v>69</v>
      </c>
      <c r="L30" s="288">
        <v>46063.0</v>
      </c>
      <c r="M30" s="36" t="s">
        <v>934</v>
      </c>
      <c r="N30" s="36"/>
      <c r="O30" s="36"/>
      <c r="P30" s="36"/>
      <c r="Q30" s="47"/>
      <c r="R30" s="47"/>
      <c r="S30" s="47"/>
    </row>
    <row r="31" ht="15.75" customHeight="1">
      <c r="A31" s="28">
        <f t="shared" si="1"/>
        <v>29</v>
      </c>
      <c r="B31" s="20"/>
      <c r="C31" s="20"/>
      <c r="D31" s="100" t="s">
        <v>943</v>
      </c>
      <c r="E31" s="20"/>
      <c r="F31" s="20"/>
      <c r="G31" s="100" t="s">
        <v>940</v>
      </c>
      <c r="H31" s="31" t="str">
        <f>'参照_特典詳細'!G64</f>
        <v>縦カードその他</v>
      </c>
      <c r="I31" s="287" t="s">
        <v>67</v>
      </c>
      <c r="J31" s="287" t="s">
        <v>68</v>
      </c>
      <c r="K31" s="287" t="s">
        <v>69</v>
      </c>
      <c r="L31" s="288">
        <v>46063.0</v>
      </c>
      <c r="M31" s="36" t="s">
        <v>934</v>
      </c>
      <c r="N31" s="36"/>
      <c r="O31" s="36"/>
      <c r="P31" s="36"/>
      <c r="Q31" s="47"/>
      <c r="R31" s="47"/>
      <c r="S31" s="47"/>
    </row>
    <row r="32" ht="15.75" customHeight="1">
      <c r="A32" s="28">
        <f t="shared" si="1"/>
        <v>30</v>
      </c>
      <c r="B32" s="21"/>
      <c r="C32" s="21"/>
      <c r="D32" s="100" t="s">
        <v>944</v>
      </c>
      <c r="E32" s="21"/>
      <c r="F32" s="21"/>
      <c r="G32" s="100" t="s">
        <v>87</v>
      </c>
      <c r="H32" s="33">
        <f>'参照_概要'!$C$17</f>
        <v>46074.70833</v>
      </c>
      <c r="I32" s="287" t="s">
        <v>67</v>
      </c>
      <c r="J32" s="287" t="s">
        <v>68</v>
      </c>
      <c r="K32" s="287" t="s">
        <v>69</v>
      </c>
      <c r="L32" s="288">
        <v>46063.0</v>
      </c>
      <c r="M32" s="36" t="s">
        <v>934</v>
      </c>
      <c r="N32" s="36"/>
      <c r="O32" s="36"/>
      <c r="P32" s="36"/>
      <c r="Q32" s="47"/>
      <c r="R32" s="47"/>
      <c r="S32" s="47"/>
    </row>
  </sheetData>
  <customSheetViews>
    <customSheetView guid="{1ABAEFC5-7779-47AF-8E40-B46656CFF8B1}" filter="1" showAutoFilter="1">
      <autoFilter ref="$A$1:$S$32"/>
    </customSheetView>
  </customSheetViews>
  <mergeCells count="37">
    <mergeCell ref="H1:H2"/>
    <mergeCell ref="I1:L1"/>
    <mergeCell ref="M1:P1"/>
    <mergeCell ref="Q1:Q2"/>
    <mergeCell ref="R1:R2"/>
    <mergeCell ref="S1:S2"/>
    <mergeCell ref="E1:E2"/>
    <mergeCell ref="E3:E7"/>
    <mergeCell ref="E18:E22"/>
    <mergeCell ref="E23:E27"/>
    <mergeCell ref="E28:E32"/>
    <mergeCell ref="F1:F2"/>
    <mergeCell ref="F4:F7"/>
    <mergeCell ref="F19:F22"/>
    <mergeCell ref="F24:F27"/>
    <mergeCell ref="F29:F32"/>
    <mergeCell ref="A1:A2"/>
    <mergeCell ref="B1:B2"/>
    <mergeCell ref="C1:C2"/>
    <mergeCell ref="D1:D2"/>
    <mergeCell ref="G1:G2"/>
    <mergeCell ref="B3:B7"/>
    <mergeCell ref="C4:C7"/>
    <mergeCell ref="B13:B17"/>
    <mergeCell ref="B18:B22"/>
    <mergeCell ref="C19:C22"/>
    <mergeCell ref="B23:B27"/>
    <mergeCell ref="C24:C27"/>
    <mergeCell ref="B28:B32"/>
    <mergeCell ref="C29:C32"/>
    <mergeCell ref="B8:B12"/>
    <mergeCell ref="E8:E12"/>
    <mergeCell ref="C9:C12"/>
    <mergeCell ref="F9:F12"/>
    <mergeCell ref="E13:E17"/>
    <mergeCell ref="C14:C17"/>
    <mergeCell ref="F14:F17"/>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outlineLevelCol="1"/>
  <cols>
    <col collapsed="1" min="1" max="1" width="14.43"/>
    <col customWidth="1" hidden="1" min="2" max="2" width="35.14" outlineLevel="1"/>
    <col customWidth="1" min="4" max="4" width="35.14"/>
    <col customWidth="1" min="14" max="14" width="20.43"/>
  </cols>
  <sheetData>
    <row r="1">
      <c r="A1" s="155" t="s">
        <v>945</v>
      </c>
    </row>
    <row r="2">
      <c r="A2" s="289" t="s">
        <v>946</v>
      </c>
    </row>
    <row r="3">
      <c r="A3" s="140">
        <f t="array" ref="A3:O3">SEQUENCE(1,COLUMNS(A:O))</f>
        <v>1</v>
      </c>
      <c r="B3" s="140">
        <v>2.0</v>
      </c>
      <c r="C3" s="140">
        <v>3.0</v>
      </c>
      <c r="D3" s="140">
        <v>4.0</v>
      </c>
      <c r="E3" s="140">
        <v>5.0</v>
      </c>
      <c r="F3" s="140">
        <v>6.0</v>
      </c>
      <c r="G3" s="140">
        <v>7.0</v>
      </c>
      <c r="H3" s="140">
        <v>8.0</v>
      </c>
      <c r="I3" s="140">
        <v>9.0</v>
      </c>
      <c r="J3" s="140">
        <v>10.0</v>
      </c>
      <c r="K3" s="140">
        <v>11.0</v>
      </c>
      <c r="L3" s="140">
        <v>12.0</v>
      </c>
      <c r="M3" s="140">
        <v>13.0</v>
      </c>
      <c r="N3" s="140">
        <v>14.0</v>
      </c>
      <c r="O3" s="140">
        <v>15.0</v>
      </c>
    </row>
    <row r="4">
      <c r="A4" s="290" t="s">
        <v>947</v>
      </c>
      <c r="B4" s="290" t="s">
        <v>948</v>
      </c>
      <c r="C4" s="291" t="s">
        <v>949</v>
      </c>
      <c r="D4" s="291" t="s">
        <v>950</v>
      </c>
      <c r="E4" s="290" t="s">
        <v>951</v>
      </c>
      <c r="F4" s="290" t="s">
        <v>952</v>
      </c>
      <c r="G4" s="290" t="s">
        <v>953</v>
      </c>
      <c r="H4" s="290" t="s">
        <v>954</v>
      </c>
      <c r="I4" s="290" t="s">
        <v>955</v>
      </c>
      <c r="J4" s="290" t="s">
        <v>956</v>
      </c>
      <c r="K4" s="290" t="s">
        <v>957</v>
      </c>
      <c r="L4" s="290" t="s">
        <v>958</v>
      </c>
      <c r="M4" s="290" t="s">
        <v>959</v>
      </c>
      <c r="N4" s="292"/>
      <c r="O4" s="292" t="s">
        <v>576</v>
      </c>
    </row>
    <row r="5">
      <c r="A5" s="130">
        <v>3775.0</v>
      </c>
      <c r="B5" s="130" t="s">
        <v>960</v>
      </c>
      <c r="C5" s="293" t="s">
        <v>584</v>
      </c>
      <c r="D5" s="293" t="s">
        <v>961</v>
      </c>
      <c r="E5" s="294" t="s">
        <v>703</v>
      </c>
      <c r="F5" s="295"/>
      <c r="G5" s="295"/>
      <c r="H5" s="296" t="s">
        <v>962</v>
      </c>
      <c r="I5" s="130" t="s">
        <v>963</v>
      </c>
      <c r="J5" s="130" t="s">
        <v>964</v>
      </c>
      <c r="K5" s="130" t="s">
        <v>964</v>
      </c>
      <c r="L5" s="130" t="s">
        <v>964</v>
      </c>
      <c r="M5" s="130" t="s">
        <v>965</v>
      </c>
      <c r="N5" s="297" t="s">
        <v>966</v>
      </c>
      <c r="O5" s="297" t="s">
        <v>576</v>
      </c>
    </row>
    <row r="6">
      <c r="A6" s="130">
        <v>3776.0</v>
      </c>
      <c r="B6" s="130" t="s">
        <v>967</v>
      </c>
      <c r="C6" s="293" t="s">
        <v>580</v>
      </c>
      <c r="D6" s="293" t="s">
        <v>968</v>
      </c>
      <c r="E6" s="294" t="s">
        <v>703</v>
      </c>
      <c r="F6" s="295"/>
      <c r="G6" s="295"/>
      <c r="H6" s="296" t="s">
        <v>962</v>
      </c>
      <c r="I6" s="130" t="s">
        <v>963</v>
      </c>
      <c r="J6" s="130" t="s">
        <v>964</v>
      </c>
      <c r="K6" s="130" t="s">
        <v>964</v>
      </c>
      <c r="L6" s="130" t="s">
        <v>964</v>
      </c>
      <c r="M6" s="130" t="s">
        <v>965</v>
      </c>
      <c r="N6" s="297" t="s">
        <v>966</v>
      </c>
      <c r="O6" s="297" t="s">
        <v>576</v>
      </c>
    </row>
    <row r="7">
      <c r="A7" s="130">
        <v>3777.0</v>
      </c>
      <c r="B7" s="130" t="s">
        <v>969</v>
      </c>
      <c r="C7" s="293" t="s">
        <v>816</v>
      </c>
      <c r="D7" s="293" t="s">
        <v>970</v>
      </c>
      <c r="E7" s="294" t="s">
        <v>703</v>
      </c>
      <c r="F7" s="295"/>
      <c r="G7" s="295"/>
      <c r="H7" s="296" t="s">
        <v>962</v>
      </c>
      <c r="I7" s="130" t="s">
        <v>963</v>
      </c>
      <c r="J7" s="130" t="s">
        <v>964</v>
      </c>
      <c r="K7" s="130" t="s">
        <v>964</v>
      </c>
      <c r="L7" s="130" t="s">
        <v>964</v>
      </c>
      <c r="M7" s="130" t="s">
        <v>965</v>
      </c>
      <c r="N7" s="297" t="s">
        <v>966</v>
      </c>
      <c r="O7" s="297" t="s">
        <v>576</v>
      </c>
    </row>
    <row r="8">
      <c r="A8" s="130">
        <v>3778.0</v>
      </c>
      <c r="B8" s="130" t="s">
        <v>971</v>
      </c>
      <c r="C8" s="293" t="s">
        <v>529</v>
      </c>
      <c r="D8" s="293" t="s">
        <v>972</v>
      </c>
      <c r="E8" s="294" t="s">
        <v>703</v>
      </c>
      <c r="F8" s="295"/>
      <c r="G8" s="295"/>
      <c r="H8" s="296" t="s">
        <v>962</v>
      </c>
      <c r="I8" s="130" t="s">
        <v>963</v>
      </c>
      <c r="J8" s="130" t="s">
        <v>964</v>
      </c>
      <c r="K8" s="130" t="s">
        <v>964</v>
      </c>
      <c r="L8" s="130" t="s">
        <v>964</v>
      </c>
      <c r="M8" s="130" t="s">
        <v>965</v>
      </c>
      <c r="N8" s="297" t="s">
        <v>966</v>
      </c>
      <c r="O8" s="297" t="s">
        <v>576</v>
      </c>
    </row>
    <row r="9">
      <c r="A9" s="130">
        <v>3779.0</v>
      </c>
      <c r="B9" s="130" t="s">
        <v>973</v>
      </c>
      <c r="C9" s="293" t="s">
        <v>608</v>
      </c>
      <c r="D9" s="293" t="s">
        <v>974</v>
      </c>
      <c r="E9" s="294" t="s">
        <v>703</v>
      </c>
      <c r="F9" s="295"/>
      <c r="G9" s="295"/>
      <c r="H9" s="296" t="s">
        <v>962</v>
      </c>
      <c r="I9" s="130" t="s">
        <v>963</v>
      </c>
      <c r="J9" s="130" t="s">
        <v>964</v>
      </c>
      <c r="K9" s="130" t="s">
        <v>964</v>
      </c>
      <c r="L9" s="130" t="s">
        <v>964</v>
      </c>
      <c r="M9" s="130" t="s">
        <v>965</v>
      </c>
      <c r="N9" s="297" t="s">
        <v>966</v>
      </c>
      <c r="O9" s="297" t="s">
        <v>576</v>
      </c>
    </row>
    <row r="10">
      <c r="A10" s="130">
        <v>3780.0</v>
      </c>
      <c r="B10" s="130" t="s">
        <v>975</v>
      </c>
      <c r="C10" s="293" t="str">
        <f>IFERROR(__xludf.DUMMYFUNCTION("ARRAYFORMULA(SPLIT(B10,CHAR(10)))"),"Yoshimoto")</f>
        <v>Yoshimoto</v>
      </c>
      <c r="D10" s="293" t="str">
        <f>IFERROR(__xludf.DUMMYFUNCTION("""COMPUTED_VALUE"""),"Mystic Matrimony ~Yoshimoto~")</f>
        <v>Mystic Matrimony ~Yoshimoto~</v>
      </c>
      <c r="E10" s="294" t="s">
        <v>703</v>
      </c>
      <c r="F10" s="295"/>
      <c r="G10" s="295"/>
      <c r="H10" s="296" t="s">
        <v>962</v>
      </c>
      <c r="I10" s="130" t="s">
        <v>963</v>
      </c>
      <c r="J10" s="130" t="s">
        <v>964</v>
      </c>
      <c r="K10" s="130" t="s">
        <v>964</v>
      </c>
      <c r="L10" s="130" t="s">
        <v>964</v>
      </c>
      <c r="M10" s="130" t="s">
        <v>965</v>
      </c>
      <c r="N10" s="297" t="str">
        <f t="array" ref="N10">LEFT(M10,10)&amp;" 17:00:00"</f>
        <v>2026/02/21 17:00:00</v>
      </c>
      <c r="O10" s="297" t="s">
        <v>576</v>
      </c>
    </row>
  </sheetData>
  <hyperlinks>
    <hyperlink r:id="rId1" ref="A1"/>
    <hyperlink r:id="rId2" ref="F5"/>
    <hyperlink r:id="rId3" ref="G5"/>
    <hyperlink r:id="rId4" ref="F6"/>
    <hyperlink r:id="rId5" ref="G6"/>
    <hyperlink r:id="rId6" ref="F7"/>
    <hyperlink r:id="rId7" ref="G7"/>
    <hyperlink r:id="rId8" ref="F8"/>
    <hyperlink r:id="rId9" ref="G8"/>
    <hyperlink r:id="rId10" ref="F9"/>
    <hyperlink r:id="rId11" ref="G9"/>
    <hyperlink r:id="rId12" ref="F10"/>
    <hyperlink r:id="rId13" ref="G10"/>
  </hyperlinks>
  <drawing r:id="rId1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outlineLevelCol="1"/>
  <cols>
    <col collapsed="1" customWidth="1" min="1" max="1" width="4.43"/>
    <col customWidth="1" hidden="1" min="2" max="2" width="17.29" outlineLevel="1"/>
    <col collapsed="1" customWidth="1" min="3" max="3" width="23.86"/>
    <col customWidth="1" hidden="1" min="4" max="4" width="37.29" outlineLevel="1"/>
    <col collapsed="1" customWidth="1" min="5" max="5" width="17.29"/>
    <col customWidth="1" hidden="1" min="6" max="6" width="23.86" outlineLevel="1"/>
    <col customWidth="1" min="7" max="7" width="37.29"/>
    <col customWidth="1" min="8" max="8" width="33.0"/>
    <col collapsed="1" customWidth="1" min="9" max="9" width="10.14"/>
    <col customWidth="1" hidden="1" min="10" max="10" width="15.43" outlineLevel="1"/>
    <col customWidth="1" hidden="1" min="11" max="11" width="13.0" outlineLevel="1"/>
    <col customWidth="1" hidden="1" min="12" max="12" width="8.71" outlineLevel="1"/>
    <col collapsed="1" customWidth="1" min="13" max="13" width="33.86"/>
    <col customWidth="1" hidden="1" min="14" max="14" width="8.71" outlineLevel="1"/>
    <col customWidth="1" min="15" max="15" width="8.71"/>
    <col customWidth="1" min="16" max="19" width="8.71" outlineLevel="1"/>
    <col customWidth="1" min="20" max="23" width="8.71"/>
    <col customWidth="1" min="24" max="24" width="21.57"/>
    <col customWidth="1" min="25" max="26" width="28.71"/>
  </cols>
  <sheetData>
    <row r="1">
      <c r="A1" s="22" t="s">
        <v>47</v>
      </c>
      <c r="B1" s="22" t="s">
        <v>976</v>
      </c>
      <c r="C1" s="22" t="s">
        <v>49</v>
      </c>
      <c r="D1" s="22" t="s">
        <v>50</v>
      </c>
      <c r="E1" s="23" t="s">
        <v>977</v>
      </c>
      <c r="F1" s="23" t="s">
        <v>49</v>
      </c>
      <c r="G1" s="23" t="s">
        <v>50</v>
      </c>
      <c r="H1" s="22" t="s">
        <v>978</v>
      </c>
      <c r="I1" s="22" t="s">
        <v>979</v>
      </c>
      <c r="J1" s="258" t="s">
        <v>980</v>
      </c>
      <c r="K1" s="298" t="s">
        <v>25</v>
      </c>
      <c r="L1" s="258" t="s">
        <v>981</v>
      </c>
      <c r="M1" s="258" t="s">
        <v>982</v>
      </c>
      <c r="N1" s="258" t="s">
        <v>983</v>
      </c>
      <c r="O1" s="258" t="s">
        <v>984</v>
      </c>
      <c r="P1" s="24" t="s">
        <v>52</v>
      </c>
      <c r="Q1" s="8"/>
      <c r="R1" s="8"/>
      <c r="S1" s="9"/>
      <c r="T1" s="25" t="s">
        <v>53</v>
      </c>
      <c r="U1" s="8"/>
      <c r="V1" s="8"/>
      <c r="W1" s="9"/>
      <c r="X1" s="22" t="s">
        <v>54</v>
      </c>
      <c r="Y1" s="22" t="s">
        <v>55</v>
      </c>
      <c r="Z1" s="22" t="s">
        <v>56</v>
      </c>
    </row>
    <row r="2">
      <c r="A2" s="21"/>
      <c r="B2" s="21"/>
      <c r="C2" s="21"/>
      <c r="D2" s="21"/>
      <c r="E2" s="21"/>
      <c r="F2" s="21"/>
      <c r="G2" s="21"/>
      <c r="H2" s="21"/>
      <c r="I2" s="21"/>
      <c r="J2" s="260"/>
      <c r="K2" s="89"/>
      <c r="L2" s="260"/>
      <c r="M2" s="89"/>
      <c r="N2" s="89"/>
      <c r="O2" s="89"/>
      <c r="P2" s="170" t="s">
        <v>57</v>
      </c>
      <c r="Q2" s="27" t="s">
        <v>58</v>
      </c>
      <c r="R2" s="27" t="s">
        <v>59</v>
      </c>
      <c r="S2" s="26" t="s">
        <v>60</v>
      </c>
      <c r="T2" s="26" t="s">
        <v>57</v>
      </c>
      <c r="U2" s="27" t="s">
        <v>58</v>
      </c>
      <c r="V2" s="26" t="s">
        <v>59</v>
      </c>
      <c r="W2" s="26" t="s">
        <v>60</v>
      </c>
      <c r="X2" s="21"/>
      <c r="Y2" s="21"/>
      <c r="Z2" s="21"/>
    </row>
    <row r="3">
      <c r="A3" s="28">
        <f t="shared" ref="A3:A210" si="1">ROW()-2</f>
        <v>1</v>
      </c>
      <c r="B3" s="59" t="s">
        <v>985</v>
      </c>
      <c r="C3" s="299" t="s">
        <v>986</v>
      </c>
      <c r="D3" s="37" t="s">
        <v>987</v>
      </c>
      <c r="E3" s="60" t="s">
        <v>988</v>
      </c>
      <c r="F3" s="30" t="s">
        <v>989</v>
      </c>
      <c r="G3" s="37" t="s">
        <v>990</v>
      </c>
      <c r="H3" s="300">
        <f>'参照_概要'!$C$18</f>
        <v>46074.70833</v>
      </c>
      <c r="I3" s="28"/>
      <c r="J3" s="301"/>
      <c r="K3" s="301"/>
      <c r="L3" s="301"/>
      <c r="M3" s="301"/>
      <c r="N3" s="301"/>
      <c r="O3" s="301"/>
      <c r="P3" s="34" t="s">
        <v>67</v>
      </c>
      <c r="Q3" s="34" t="s">
        <v>68</v>
      </c>
      <c r="R3" s="34" t="s">
        <v>69</v>
      </c>
      <c r="S3" s="35">
        <v>46063.0</v>
      </c>
      <c r="T3" s="36"/>
      <c r="U3" s="36"/>
      <c r="V3" s="36"/>
      <c r="W3" s="36"/>
      <c r="X3" s="37"/>
      <c r="Y3" s="37"/>
      <c r="Z3" s="37"/>
    </row>
    <row r="4">
      <c r="A4" s="28">
        <f t="shared" si="1"/>
        <v>2</v>
      </c>
      <c r="B4" s="21"/>
      <c r="C4" s="21"/>
      <c r="D4" s="37" t="s">
        <v>991</v>
      </c>
      <c r="E4" s="21"/>
      <c r="F4" s="21"/>
      <c r="G4" s="37" t="s">
        <v>992</v>
      </c>
      <c r="H4" s="300">
        <f>'参照_概要'!$D$18</f>
        <v>46080.70833</v>
      </c>
      <c r="I4" s="28"/>
      <c r="J4" s="301"/>
      <c r="K4" s="301"/>
      <c r="L4" s="301"/>
      <c r="M4" s="301"/>
      <c r="N4" s="301"/>
      <c r="O4" s="301"/>
      <c r="P4" s="34" t="s">
        <v>67</v>
      </c>
      <c r="Q4" s="34" t="s">
        <v>68</v>
      </c>
      <c r="R4" s="34" t="s">
        <v>69</v>
      </c>
      <c r="S4" s="35">
        <v>46063.0</v>
      </c>
      <c r="T4" s="36"/>
      <c r="U4" s="36"/>
      <c r="V4" s="36"/>
      <c r="W4" s="36"/>
      <c r="X4" s="40"/>
      <c r="Y4" s="37"/>
      <c r="Z4" s="37"/>
    </row>
    <row r="5">
      <c r="A5" s="28">
        <f t="shared" si="1"/>
        <v>3</v>
      </c>
      <c r="B5" s="31" t="s">
        <v>993</v>
      </c>
      <c r="C5" s="302" t="s">
        <v>72</v>
      </c>
      <c r="D5" s="31" t="s">
        <v>994</v>
      </c>
      <c r="E5" s="31" t="s">
        <v>995</v>
      </c>
      <c r="F5" s="302" t="s">
        <v>74</v>
      </c>
      <c r="G5" s="31" t="s">
        <v>996</v>
      </c>
      <c r="H5" s="303"/>
      <c r="I5" s="304"/>
      <c r="J5" s="305"/>
      <c r="K5" s="305"/>
      <c r="L5" s="305"/>
      <c r="M5" s="305"/>
      <c r="N5" s="305"/>
      <c r="O5" s="305"/>
      <c r="P5" s="34" t="s">
        <v>67</v>
      </c>
      <c r="Q5" s="34" t="s">
        <v>68</v>
      </c>
      <c r="R5" s="34" t="s">
        <v>69</v>
      </c>
      <c r="S5" s="35">
        <v>46064.0</v>
      </c>
      <c r="T5" s="36"/>
      <c r="U5" s="36"/>
      <c r="V5" s="36"/>
      <c r="W5" s="36"/>
      <c r="X5" s="40"/>
      <c r="Y5" s="47"/>
      <c r="Z5" s="37"/>
    </row>
    <row r="6">
      <c r="A6" s="28">
        <f t="shared" si="1"/>
        <v>4</v>
      </c>
      <c r="B6" s="59" t="str">
        <f>'参照_ショップ'!$D$11</f>
        <v>Mystic Matrimony◆100 Coin Set</v>
      </c>
      <c r="C6" s="30" t="s">
        <v>997</v>
      </c>
      <c r="D6" s="37" t="s">
        <v>987</v>
      </c>
      <c r="E6" s="59" t="str">
        <f>'参照_ショップ'!$D$11</f>
        <v>Mystic Matrimony◆100 Coin Set</v>
      </c>
      <c r="F6" s="30" t="s">
        <v>998</v>
      </c>
      <c r="G6" s="37" t="s">
        <v>990</v>
      </c>
      <c r="H6" s="49">
        <f>'参照_ショップ'!$J$11</f>
        <v>46074.70833</v>
      </c>
      <c r="I6" s="28"/>
      <c r="J6" s="301" t="s">
        <v>999</v>
      </c>
      <c r="K6" s="306">
        <v>13402.0</v>
      </c>
      <c r="L6" s="307">
        <v>9.0</v>
      </c>
      <c r="M6" s="308">
        <f t="shared" ref="M6:M9" si="2">VLOOKUP(K6,INDIRECT(J6),L6)</f>
        <v>46074.70833</v>
      </c>
      <c r="N6" s="305"/>
      <c r="O6" s="301"/>
      <c r="P6" s="34" t="s">
        <v>67</v>
      </c>
      <c r="Q6" s="34" t="s">
        <v>68</v>
      </c>
      <c r="R6" s="34" t="s">
        <v>69</v>
      </c>
      <c r="S6" s="35">
        <v>46063.0</v>
      </c>
      <c r="T6" s="36"/>
      <c r="U6" s="36"/>
      <c r="V6" s="36"/>
      <c r="W6" s="36"/>
      <c r="X6" s="37"/>
      <c r="Y6" s="37"/>
      <c r="Z6" s="37"/>
    </row>
    <row r="7">
      <c r="A7" s="28">
        <f t="shared" si="1"/>
        <v>5</v>
      </c>
      <c r="B7" s="20"/>
      <c r="C7" s="20"/>
      <c r="D7" s="37" t="s">
        <v>991</v>
      </c>
      <c r="E7" s="20"/>
      <c r="F7" s="20"/>
      <c r="G7" s="37" t="s">
        <v>992</v>
      </c>
      <c r="H7" s="49">
        <f>'参照_ショップ'!$K$11</f>
        <v>46080.70833</v>
      </c>
      <c r="I7" s="28"/>
      <c r="J7" s="301" t="s">
        <v>999</v>
      </c>
      <c r="K7" s="306">
        <v>13402.0</v>
      </c>
      <c r="L7" s="307">
        <v>10.0</v>
      </c>
      <c r="M7" s="308">
        <f t="shared" si="2"/>
        <v>46080.70833</v>
      </c>
      <c r="N7" s="305"/>
      <c r="O7" s="309"/>
      <c r="P7" s="34" t="s">
        <v>67</v>
      </c>
      <c r="Q7" s="34" t="s">
        <v>68</v>
      </c>
      <c r="R7" s="34" t="s">
        <v>69</v>
      </c>
      <c r="S7" s="35">
        <v>46063.0</v>
      </c>
      <c r="T7" s="36"/>
      <c r="U7" s="36"/>
      <c r="V7" s="36"/>
      <c r="W7" s="36"/>
      <c r="X7" s="40"/>
      <c r="Y7" s="40"/>
      <c r="Z7" s="40"/>
    </row>
    <row r="8">
      <c r="A8" s="28">
        <f t="shared" si="1"/>
        <v>6</v>
      </c>
      <c r="B8" s="20"/>
      <c r="C8" s="20"/>
      <c r="D8" s="37" t="s">
        <v>1000</v>
      </c>
      <c r="E8" s="20"/>
      <c r="F8" s="20"/>
      <c r="G8" s="37" t="s">
        <v>1001</v>
      </c>
      <c r="H8" s="37" t="str">
        <f>'参照_ショップ'!$D$11</f>
        <v>Mystic Matrimony◆100 Coin Set</v>
      </c>
      <c r="I8" s="28"/>
      <c r="J8" s="301" t="s">
        <v>1002</v>
      </c>
      <c r="K8" s="306">
        <v>13402.0</v>
      </c>
      <c r="L8" s="301">
        <v>6.0</v>
      </c>
      <c r="M8" s="305" t="str">
        <f t="shared" si="2"/>
        <v>Mystic Matrimony◆100 Coin Set</v>
      </c>
      <c r="N8" s="305"/>
      <c r="O8" s="305"/>
      <c r="P8" s="34" t="s">
        <v>67</v>
      </c>
      <c r="Q8" s="34" t="s">
        <v>68</v>
      </c>
      <c r="R8" s="34" t="s">
        <v>69</v>
      </c>
      <c r="S8" s="35">
        <v>46063.0</v>
      </c>
      <c r="T8" s="36"/>
      <c r="U8" s="36"/>
      <c r="V8" s="36"/>
      <c r="W8" s="36"/>
      <c r="X8" s="40"/>
      <c r="Y8" s="47"/>
      <c r="Z8" s="47"/>
    </row>
    <row r="9">
      <c r="A9" s="28">
        <f t="shared" si="1"/>
        <v>7</v>
      </c>
      <c r="B9" s="20"/>
      <c r="C9" s="20"/>
      <c r="D9" s="37" t="s">
        <v>1003</v>
      </c>
      <c r="E9" s="20"/>
      <c r="F9" s="20"/>
      <c r="G9" s="37" t="s">
        <v>1004</v>
      </c>
      <c r="H9" s="37">
        <f>'参照_ショップ'!$I$11</f>
        <v>1</v>
      </c>
      <c r="I9" s="28">
        <f>'参照_ショップ'!$I$11</f>
        <v>1</v>
      </c>
      <c r="J9" s="301" t="s">
        <v>999</v>
      </c>
      <c r="K9" s="306">
        <v>13402.0</v>
      </c>
      <c r="L9" s="301">
        <v>3.0</v>
      </c>
      <c r="M9" s="305">
        <f t="shared" si="2"/>
        <v>1</v>
      </c>
      <c r="N9" s="301">
        <v>3.0</v>
      </c>
      <c r="O9" s="305">
        <f t="array" ref="O9">VLOOKUP(K9,INDIRECT(J9),N9)</f>
        <v>1</v>
      </c>
      <c r="P9" s="34" t="s">
        <v>67</v>
      </c>
      <c r="Q9" s="34" t="s">
        <v>68</v>
      </c>
      <c r="R9" s="34" t="s">
        <v>69</v>
      </c>
      <c r="S9" s="35">
        <v>46063.0</v>
      </c>
      <c r="T9" s="36"/>
      <c r="U9" s="36"/>
      <c r="V9" s="36"/>
      <c r="W9" s="36"/>
      <c r="X9" s="40"/>
      <c r="Y9" s="47"/>
      <c r="Z9" s="47"/>
    </row>
    <row r="10">
      <c r="A10" s="28">
        <f t="shared" si="1"/>
        <v>8</v>
      </c>
      <c r="B10" s="20"/>
      <c r="C10" s="20"/>
      <c r="D10" s="37" t="s">
        <v>1005</v>
      </c>
      <c r="E10" s="20"/>
      <c r="F10" s="20"/>
      <c r="G10" s="310" t="s">
        <v>1006</v>
      </c>
      <c r="H10" s="37" t="str">
        <f>'参照_ショップ'!$E$11</f>
        <v>Only 100 Coins! Don't miss out on this super discounted set!
*The Limited Items will disappear from your Present Box when the event is over.</v>
      </c>
      <c r="I10" s="28"/>
      <c r="J10" s="311" t="str">
        <f>HYPERLINK("https://common-legacy-app-admin.us.ikemen-sengoku.jp/admin/itemtrial/item_edit/"&amp;K10,"Search")</f>
        <v>Search</v>
      </c>
      <c r="K10" s="306">
        <v>13402.0</v>
      </c>
      <c r="L10" s="312"/>
      <c r="M10" s="301" t="s">
        <v>1007</v>
      </c>
      <c r="N10" s="301"/>
      <c r="O10" s="301"/>
      <c r="P10" s="34" t="s">
        <v>67</v>
      </c>
      <c r="Q10" s="34" t="s">
        <v>68</v>
      </c>
      <c r="R10" s="34" t="s">
        <v>69</v>
      </c>
      <c r="S10" s="35">
        <v>46063.0</v>
      </c>
      <c r="T10" s="36"/>
      <c r="U10" s="36"/>
      <c r="V10" s="36"/>
      <c r="W10" s="36"/>
      <c r="X10" s="40"/>
      <c r="Y10" s="47"/>
      <c r="Z10" s="313" t="s">
        <v>1008</v>
      </c>
    </row>
    <row r="11">
      <c r="A11" s="28">
        <f t="shared" si="1"/>
        <v>9</v>
      </c>
      <c r="B11" s="20"/>
      <c r="C11" s="20"/>
      <c r="D11" s="37" t="s">
        <v>1009</v>
      </c>
      <c r="E11" s="20"/>
      <c r="F11" s="20"/>
      <c r="G11" s="314" t="s">
        <v>1010</v>
      </c>
      <c r="H11" s="37" t="str">
        <f>'参照_ショップ'!F11</f>
        <v>Hearts</v>
      </c>
      <c r="I11" s="28">
        <f>'参照_ショップ'!G11</f>
        <v>5</v>
      </c>
      <c r="J11" s="301" t="s">
        <v>1011</v>
      </c>
      <c r="K11" s="315">
        <v>163278.0</v>
      </c>
      <c r="L11" s="301">
        <v>3.0</v>
      </c>
      <c r="M11" s="305" t="str">
        <f t="shared" ref="M11:M13" si="3">VLOOKUP(K11,INDIRECT(J11),L11)</f>
        <v>Hearts</v>
      </c>
      <c r="N11" s="301">
        <v>4.0</v>
      </c>
      <c r="O11" s="305">
        <f t="shared" ref="O11:O13" si="4">VLOOKUP(K11,INDIRECT(J11),N11)</f>
        <v>5</v>
      </c>
      <c r="P11" s="34" t="s">
        <v>67</v>
      </c>
      <c r="Q11" s="34" t="s">
        <v>68</v>
      </c>
      <c r="R11" s="34" t="s">
        <v>69</v>
      </c>
      <c r="S11" s="35">
        <v>46063.0</v>
      </c>
      <c r="T11" s="36"/>
      <c r="U11" s="36"/>
      <c r="V11" s="36"/>
      <c r="W11" s="36"/>
      <c r="X11" s="40"/>
      <c r="Y11" s="47"/>
      <c r="Z11" s="47"/>
    </row>
    <row r="12">
      <c r="A12" s="28">
        <f t="shared" si="1"/>
        <v>10</v>
      </c>
      <c r="B12" s="20"/>
      <c r="C12" s="20"/>
      <c r="D12" s="37" t="s">
        <v>1009</v>
      </c>
      <c r="E12" s="20"/>
      <c r="F12" s="20"/>
      <c r="G12" s="314" t="s">
        <v>1010</v>
      </c>
      <c r="H12" s="37" t="str">
        <f>'参照_ショップ'!F12</f>
        <v>Closet Storage</v>
      </c>
      <c r="I12" s="28">
        <f>'参照_ショップ'!G12</f>
        <v>1</v>
      </c>
      <c r="J12" s="301" t="s">
        <v>1011</v>
      </c>
      <c r="K12" s="315">
        <v>163279.0</v>
      </c>
      <c r="L12" s="301">
        <v>3.0</v>
      </c>
      <c r="M12" s="305" t="str">
        <f t="shared" si="3"/>
        <v>Closet Storage</v>
      </c>
      <c r="N12" s="301">
        <v>4.0</v>
      </c>
      <c r="O12" s="305">
        <f t="shared" si="4"/>
        <v>1</v>
      </c>
      <c r="P12" s="34" t="s">
        <v>67</v>
      </c>
      <c r="Q12" s="34" t="s">
        <v>68</v>
      </c>
      <c r="R12" s="34" t="s">
        <v>69</v>
      </c>
      <c r="S12" s="35">
        <v>46063.0</v>
      </c>
      <c r="T12" s="36"/>
      <c r="U12" s="36"/>
      <c r="V12" s="36"/>
      <c r="W12" s="36"/>
      <c r="X12" s="40"/>
      <c r="Y12" s="47"/>
      <c r="Z12" s="47"/>
    </row>
    <row r="13">
      <c r="A13" s="28">
        <f t="shared" si="1"/>
        <v>11</v>
      </c>
      <c r="B13" s="20"/>
      <c r="C13" s="21"/>
      <c r="D13" s="37" t="s">
        <v>1009</v>
      </c>
      <c r="E13" s="20"/>
      <c r="F13" s="21"/>
      <c r="G13" s="314" t="s">
        <v>1010</v>
      </c>
      <c r="H13" s="37" t="str">
        <f>'参照_ショップ'!F13</f>
        <v>Shaved Ice (+100 Stamina)</v>
      </c>
      <c r="I13" s="28">
        <f>'参照_ショップ'!G13</f>
        <v>1</v>
      </c>
      <c r="J13" s="301" t="s">
        <v>1011</v>
      </c>
      <c r="K13" s="315">
        <v>163280.0</v>
      </c>
      <c r="L13" s="301">
        <v>3.0</v>
      </c>
      <c r="M13" s="305" t="str">
        <f t="shared" si="3"/>
        <v>Shaved Ice (+100 Stamina)</v>
      </c>
      <c r="N13" s="301">
        <v>4.0</v>
      </c>
      <c r="O13" s="305">
        <f t="shared" si="4"/>
        <v>1</v>
      </c>
      <c r="P13" s="34" t="s">
        <v>67</v>
      </c>
      <c r="Q13" s="34" t="s">
        <v>68</v>
      </c>
      <c r="R13" s="34" t="s">
        <v>69</v>
      </c>
      <c r="S13" s="35">
        <v>46063.0</v>
      </c>
      <c r="T13" s="36"/>
      <c r="U13" s="36"/>
      <c r="V13" s="36"/>
      <c r="W13" s="36"/>
      <c r="X13" s="40"/>
      <c r="Y13" s="47"/>
      <c r="Z13" s="47"/>
    </row>
    <row r="14">
      <c r="A14" s="28">
        <f t="shared" si="1"/>
        <v>12</v>
      </c>
      <c r="B14" s="20"/>
      <c r="C14" s="316" t="s">
        <v>72</v>
      </c>
      <c r="D14" s="37" t="s">
        <v>1012</v>
      </c>
      <c r="E14" s="20"/>
      <c r="F14" s="316" t="s">
        <v>74</v>
      </c>
      <c r="G14" s="37" t="s">
        <v>1013</v>
      </c>
      <c r="H14" s="37"/>
      <c r="I14" s="28"/>
      <c r="J14" s="305"/>
      <c r="K14" s="305"/>
      <c r="L14" s="305"/>
      <c r="M14" s="305"/>
      <c r="N14" s="305"/>
      <c r="O14" s="305"/>
      <c r="P14" s="34" t="s">
        <v>67</v>
      </c>
      <c r="Q14" s="34" t="s">
        <v>68</v>
      </c>
      <c r="R14" s="34" t="s">
        <v>69</v>
      </c>
      <c r="S14" s="35">
        <v>46064.0</v>
      </c>
      <c r="T14" s="34" t="s">
        <v>67</v>
      </c>
      <c r="U14" s="28" t="str">
        <f t="array" ref="U14:W228">IF(T14:T228="OK",{"IW","Bill","2/12"},)</f>
        <v>IW</v>
      </c>
      <c r="V14" s="28" t="s">
        <v>69</v>
      </c>
      <c r="W14" s="45" t="s">
        <v>76</v>
      </c>
      <c r="X14" s="40"/>
      <c r="Y14" s="47"/>
      <c r="Z14" s="47"/>
    </row>
    <row r="15">
      <c r="A15" s="28">
        <f t="shared" si="1"/>
        <v>13</v>
      </c>
      <c r="B15" s="20"/>
      <c r="C15" s="20"/>
      <c r="D15" s="37" t="s">
        <v>1014</v>
      </c>
      <c r="E15" s="20"/>
      <c r="F15" s="20"/>
      <c r="G15" s="37" t="s">
        <v>1015</v>
      </c>
      <c r="H15" s="28">
        <f>'参照_ショップ'!$H$11</f>
        <v>100</v>
      </c>
      <c r="I15" s="28">
        <f>'参照_ショップ'!$H$11</f>
        <v>100</v>
      </c>
      <c r="J15" s="301" t="s">
        <v>1016</v>
      </c>
      <c r="K15" s="305">
        <v>11885.0</v>
      </c>
      <c r="L15" s="301">
        <v>8.0</v>
      </c>
      <c r="M15" s="305">
        <f t="array" ref="M15">VLOOKUP(K15,INDIRECT(J15),L15)</f>
        <v>100</v>
      </c>
      <c r="N15" s="301"/>
      <c r="O15" s="305">
        <f>M15</f>
        <v>100</v>
      </c>
      <c r="P15" s="34" t="s">
        <v>67</v>
      </c>
      <c r="Q15" s="34" t="s">
        <v>68</v>
      </c>
      <c r="R15" s="34" t="s">
        <v>69</v>
      </c>
      <c r="S15" s="35">
        <v>46063.0</v>
      </c>
      <c r="T15" s="36"/>
      <c r="U15" s="36"/>
      <c r="V15" s="36"/>
      <c r="W15" s="36"/>
      <c r="X15" s="40"/>
      <c r="Y15" s="47"/>
      <c r="Z15" s="47"/>
    </row>
    <row r="16">
      <c r="A16" s="28">
        <f t="shared" si="1"/>
        <v>14</v>
      </c>
      <c r="B16" s="20"/>
      <c r="C16" s="20"/>
      <c r="D16" s="47" t="s">
        <v>1017</v>
      </c>
      <c r="E16" s="20"/>
      <c r="F16" s="20"/>
      <c r="G16" s="47" t="s">
        <v>1018</v>
      </c>
      <c r="H16" s="37"/>
      <c r="I16" s="37"/>
      <c r="J16" s="305"/>
      <c r="K16" s="305"/>
      <c r="L16" s="305"/>
      <c r="M16" s="305"/>
      <c r="N16" s="305"/>
      <c r="O16" s="305"/>
      <c r="P16" s="34" t="s">
        <v>67</v>
      </c>
      <c r="Q16" s="34" t="s">
        <v>68</v>
      </c>
      <c r="R16" s="34" t="s">
        <v>69</v>
      </c>
      <c r="S16" s="35">
        <v>46064.0</v>
      </c>
      <c r="T16" s="34" t="s">
        <v>67</v>
      </c>
      <c r="U16" s="28" t="s">
        <v>68</v>
      </c>
      <c r="V16" s="28" t="s">
        <v>69</v>
      </c>
      <c r="W16" s="45" t="s">
        <v>76</v>
      </c>
      <c r="X16" s="40"/>
      <c r="Y16" s="47"/>
      <c r="Z16" s="47"/>
    </row>
    <row r="17">
      <c r="A17" s="28">
        <f t="shared" si="1"/>
        <v>15</v>
      </c>
      <c r="B17" s="20"/>
      <c r="C17" s="20"/>
      <c r="D17" s="47" t="s">
        <v>1019</v>
      </c>
      <c r="E17" s="20"/>
      <c r="F17" s="20"/>
      <c r="G17" s="47" t="s">
        <v>1020</v>
      </c>
      <c r="H17" s="37"/>
      <c r="I17" s="28"/>
      <c r="J17" s="305"/>
      <c r="K17" s="305"/>
      <c r="L17" s="305"/>
      <c r="M17" s="305"/>
      <c r="N17" s="305"/>
      <c r="O17" s="305"/>
      <c r="P17" s="34" t="s">
        <v>67</v>
      </c>
      <c r="Q17" s="34" t="s">
        <v>68</v>
      </c>
      <c r="R17" s="34" t="s">
        <v>69</v>
      </c>
      <c r="S17" s="35">
        <v>46064.0</v>
      </c>
      <c r="T17" s="34" t="s">
        <v>67</v>
      </c>
      <c r="U17" s="28" t="s">
        <v>68</v>
      </c>
      <c r="V17" s="28" t="s">
        <v>69</v>
      </c>
      <c r="W17" s="45" t="s">
        <v>76</v>
      </c>
      <c r="X17" s="40"/>
      <c r="Y17" s="47"/>
      <c r="Z17" s="47"/>
    </row>
    <row r="18">
      <c r="A18" s="28">
        <f t="shared" si="1"/>
        <v>16</v>
      </c>
      <c r="B18" s="21"/>
      <c r="C18" s="21"/>
      <c r="D18" s="47" t="s">
        <v>641</v>
      </c>
      <c r="E18" s="21"/>
      <c r="F18" s="21"/>
      <c r="G18" s="47" t="s">
        <v>1021</v>
      </c>
      <c r="H18" s="37" t="s">
        <v>1022</v>
      </c>
      <c r="I18" s="28"/>
      <c r="J18" s="305"/>
      <c r="K18" s="305"/>
      <c r="L18" s="305"/>
      <c r="M18" s="305"/>
      <c r="N18" s="305"/>
      <c r="O18" s="305"/>
      <c r="P18" s="34" t="s">
        <v>67</v>
      </c>
      <c r="Q18" s="34" t="s">
        <v>68</v>
      </c>
      <c r="R18" s="34" t="s">
        <v>69</v>
      </c>
      <c r="S18" s="35">
        <v>46064.0</v>
      </c>
      <c r="T18" s="34" t="s">
        <v>67</v>
      </c>
      <c r="U18" s="28" t="s">
        <v>68</v>
      </c>
      <c r="V18" s="28" t="s">
        <v>69</v>
      </c>
      <c r="W18" s="45" t="s">
        <v>76</v>
      </c>
      <c r="X18" s="40"/>
      <c r="Y18" s="47"/>
      <c r="Z18" s="47"/>
    </row>
    <row r="19">
      <c r="A19" s="28">
        <f t="shared" si="1"/>
        <v>17</v>
      </c>
      <c r="B19" s="29" t="str">
        <f>'参照_ショップ'!$D$21</f>
        <v>Mystic Matrimony◆Special Set</v>
      </c>
      <c r="C19" s="30" t="s">
        <v>997</v>
      </c>
      <c r="D19" s="31" t="s">
        <v>987</v>
      </c>
      <c r="E19" s="29" t="str">
        <f>'参照_ショップ'!$D$21</f>
        <v>Mystic Matrimony◆Special Set</v>
      </c>
      <c r="F19" s="30" t="s">
        <v>998</v>
      </c>
      <c r="G19" s="31" t="s">
        <v>990</v>
      </c>
      <c r="H19" s="33">
        <f>'参照_ショップ'!$J$21</f>
        <v>46074.70833</v>
      </c>
      <c r="I19" s="304"/>
      <c r="J19" s="301" t="s">
        <v>999</v>
      </c>
      <c r="K19" s="306">
        <v>13403.0</v>
      </c>
      <c r="L19" s="307">
        <v>9.0</v>
      </c>
      <c r="M19" s="308">
        <f t="shared" ref="M19:M22" si="5">VLOOKUP(K19,INDIRECT(J19),L19)</f>
        <v>46074.70833</v>
      </c>
      <c r="N19" s="305"/>
      <c r="O19" s="305"/>
      <c r="P19" s="34" t="s">
        <v>67</v>
      </c>
      <c r="Q19" s="34" t="s">
        <v>68</v>
      </c>
      <c r="R19" s="34" t="s">
        <v>69</v>
      </c>
      <c r="S19" s="35">
        <v>46063.0</v>
      </c>
      <c r="T19" s="36"/>
      <c r="U19" s="36"/>
      <c r="V19" s="36"/>
      <c r="W19" s="36"/>
      <c r="X19" s="37"/>
      <c r="Y19" s="47"/>
      <c r="Z19" s="47"/>
    </row>
    <row r="20">
      <c r="A20" s="28">
        <f t="shared" si="1"/>
        <v>18</v>
      </c>
      <c r="B20" s="20"/>
      <c r="C20" s="20"/>
      <c r="D20" s="31" t="s">
        <v>991</v>
      </c>
      <c r="E20" s="20"/>
      <c r="F20" s="20"/>
      <c r="G20" s="31" t="s">
        <v>992</v>
      </c>
      <c r="H20" s="33">
        <f>'参照_ショップ'!$K$21</f>
        <v>46080.70833</v>
      </c>
      <c r="I20" s="304"/>
      <c r="J20" s="301" t="s">
        <v>999</v>
      </c>
      <c r="K20" s="306">
        <v>13403.0</v>
      </c>
      <c r="L20" s="307">
        <v>10.0</v>
      </c>
      <c r="M20" s="308">
        <f t="shared" si="5"/>
        <v>46080.70833</v>
      </c>
      <c r="N20" s="305"/>
      <c r="O20" s="305"/>
      <c r="P20" s="34" t="s">
        <v>67</v>
      </c>
      <c r="Q20" s="34" t="s">
        <v>68</v>
      </c>
      <c r="R20" s="34" t="s">
        <v>69</v>
      </c>
      <c r="S20" s="35">
        <v>46063.0</v>
      </c>
      <c r="T20" s="36"/>
      <c r="U20" s="36"/>
      <c r="V20" s="36"/>
      <c r="W20" s="36"/>
      <c r="X20" s="37"/>
      <c r="Y20" s="47"/>
      <c r="Z20" s="47"/>
    </row>
    <row r="21">
      <c r="A21" s="28">
        <f t="shared" si="1"/>
        <v>19</v>
      </c>
      <c r="B21" s="20"/>
      <c r="C21" s="20"/>
      <c r="D21" s="31" t="s">
        <v>1000</v>
      </c>
      <c r="E21" s="20"/>
      <c r="F21" s="20"/>
      <c r="G21" s="31" t="s">
        <v>1001</v>
      </c>
      <c r="H21" s="31" t="str">
        <f>'参照_ショップ'!$D$21</f>
        <v>Mystic Matrimony◆Special Set</v>
      </c>
      <c r="I21" s="304"/>
      <c r="J21" s="301" t="s">
        <v>1002</v>
      </c>
      <c r="K21" s="306">
        <v>13403.0</v>
      </c>
      <c r="L21" s="301">
        <v>6.0</v>
      </c>
      <c r="M21" s="305" t="str">
        <f t="shared" si="5"/>
        <v>Mystic Matrimony◆Special Set</v>
      </c>
      <c r="N21" s="305"/>
      <c r="O21" s="305"/>
      <c r="P21" s="34" t="s">
        <v>67</v>
      </c>
      <c r="Q21" s="34" t="s">
        <v>68</v>
      </c>
      <c r="R21" s="34" t="s">
        <v>69</v>
      </c>
      <c r="S21" s="35">
        <v>46063.0</v>
      </c>
      <c r="T21" s="36"/>
      <c r="U21" s="36"/>
      <c r="V21" s="36"/>
      <c r="W21" s="36"/>
      <c r="X21" s="37"/>
      <c r="Y21" s="47"/>
      <c r="Z21" s="47"/>
    </row>
    <row r="22">
      <c r="A22" s="28">
        <f t="shared" si="1"/>
        <v>20</v>
      </c>
      <c r="B22" s="20"/>
      <c r="C22" s="20"/>
      <c r="D22" s="31" t="s">
        <v>1003</v>
      </c>
      <c r="E22" s="20"/>
      <c r="F22" s="20"/>
      <c r="G22" s="31" t="s">
        <v>1004</v>
      </c>
      <c r="H22" s="31">
        <f>'参照_ショップ'!$I$21</f>
        <v>1</v>
      </c>
      <c r="I22" s="304">
        <f>'参照_ショップ'!$I$21</f>
        <v>1</v>
      </c>
      <c r="J22" s="301" t="s">
        <v>999</v>
      </c>
      <c r="K22" s="306">
        <v>13403.0</v>
      </c>
      <c r="L22" s="301">
        <v>3.0</v>
      </c>
      <c r="M22" s="305">
        <f t="shared" si="5"/>
        <v>1</v>
      </c>
      <c r="N22" s="301">
        <v>3.0</v>
      </c>
      <c r="O22" s="305">
        <f t="array" ref="O22">VLOOKUP(K22,INDIRECT(J22),N22)</f>
        <v>1</v>
      </c>
      <c r="P22" s="34" t="s">
        <v>67</v>
      </c>
      <c r="Q22" s="34" t="s">
        <v>68</v>
      </c>
      <c r="R22" s="34" t="s">
        <v>69</v>
      </c>
      <c r="S22" s="35">
        <v>46063.0</v>
      </c>
      <c r="T22" s="36"/>
      <c r="U22" s="36"/>
      <c r="V22" s="36"/>
      <c r="W22" s="36"/>
      <c r="X22" s="37"/>
      <c r="Y22" s="47"/>
      <c r="Z22" s="47"/>
    </row>
    <row r="23">
      <c r="A23" s="28">
        <f t="shared" si="1"/>
        <v>21</v>
      </c>
      <c r="B23" s="20"/>
      <c r="C23" s="20"/>
      <c r="D23" s="31" t="s">
        <v>1005</v>
      </c>
      <c r="E23" s="20"/>
      <c r="F23" s="20"/>
      <c r="G23" s="31" t="s">
        <v>1006</v>
      </c>
      <c r="H23" s="31" t="str">
        <f>'参照_ショップ'!$E$21</f>
        <v>32% OFF!
Tons of useful items &amp; great discounts!
*The Limited Items will disappear from your Present Box when the event is over.</v>
      </c>
      <c r="I23" s="304"/>
      <c r="J23" s="311" t="str">
        <f>HYPERLINK("https://common-legacy-app-admin.us.ikemen-sengoku.jp/admin/itemtrial/item_edit/"&amp;K23,"Search")</f>
        <v>Search</v>
      </c>
      <c r="K23" s="306">
        <v>13403.0</v>
      </c>
      <c r="L23" s="305"/>
      <c r="M23" s="317" t="s">
        <v>1023</v>
      </c>
      <c r="N23" s="301"/>
      <c r="O23" s="301"/>
      <c r="P23" s="34" t="s">
        <v>67</v>
      </c>
      <c r="Q23" s="34" t="s">
        <v>68</v>
      </c>
      <c r="R23" s="34" t="s">
        <v>69</v>
      </c>
      <c r="S23" s="35">
        <v>46065.0</v>
      </c>
      <c r="T23" s="36"/>
      <c r="U23" s="36"/>
      <c r="V23" s="36"/>
      <c r="W23" s="36"/>
      <c r="X23" s="37"/>
      <c r="Y23" s="95" t="s">
        <v>1024</v>
      </c>
      <c r="Z23" s="47"/>
    </row>
    <row r="24">
      <c r="A24" s="28">
        <f t="shared" si="1"/>
        <v>22</v>
      </c>
      <c r="B24" s="20"/>
      <c r="C24" s="20"/>
      <c r="D24" s="31" t="s">
        <v>1009</v>
      </c>
      <c r="E24" s="20"/>
      <c r="F24" s="20"/>
      <c r="G24" s="31" t="s">
        <v>1010</v>
      </c>
      <c r="H24" s="31" t="str">
        <f>'参照_ショップ'!F21</f>
        <v>Limited Chapter Ticket</v>
      </c>
      <c r="I24" s="304">
        <f>'参照_ショップ'!G21</f>
        <v>55</v>
      </c>
      <c r="J24" s="301" t="s">
        <v>1011</v>
      </c>
      <c r="K24" s="315">
        <v>163281.0</v>
      </c>
      <c r="L24" s="301">
        <v>3.0</v>
      </c>
      <c r="M24" s="305" t="str">
        <f t="shared" ref="M24:M26" si="6">VLOOKUP(K24,INDIRECT(J24),L24)</f>
        <v>Limited Chapter Ticket</v>
      </c>
      <c r="N24" s="301">
        <v>4.0</v>
      </c>
      <c r="O24" s="305">
        <f t="shared" ref="O24:O26" si="7">VLOOKUP(K24,INDIRECT(J24),N24)</f>
        <v>55</v>
      </c>
      <c r="P24" s="34" t="s">
        <v>67</v>
      </c>
      <c r="Q24" s="34" t="s">
        <v>68</v>
      </c>
      <c r="R24" s="34" t="s">
        <v>69</v>
      </c>
      <c r="S24" s="35">
        <v>46063.0</v>
      </c>
      <c r="T24" s="36"/>
      <c r="U24" s="36"/>
      <c r="V24" s="36"/>
      <c r="W24" s="36"/>
      <c r="X24" s="37"/>
      <c r="Y24" s="47"/>
      <c r="Z24" s="47"/>
    </row>
    <row r="25">
      <c r="A25" s="28">
        <f t="shared" si="1"/>
        <v>23</v>
      </c>
      <c r="B25" s="20"/>
      <c r="C25" s="20"/>
      <c r="D25" s="31" t="s">
        <v>1009</v>
      </c>
      <c r="E25" s="20"/>
      <c r="F25" s="20"/>
      <c r="G25" s="31" t="s">
        <v>1010</v>
      </c>
      <c r="H25" s="31" t="str">
        <f>'参照_ショップ'!F22</f>
        <v>Hearts</v>
      </c>
      <c r="I25" s="304">
        <f>'参照_ショップ'!G22</f>
        <v>30</v>
      </c>
      <c r="J25" s="301" t="s">
        <v>1011</v>
      </c>
      <c r="K25" s="315">
        <v>163282.0</v>
      </c>
      <c r="L25" s="301">
        <v>3.0</v>
      </c>
      <c r="M25" s="305" t="str">
        <f t="shared" si="6"/>
        <v>Hearts</v>
      </c>
      <c r="N25" s="301">
        <v>4.0</v>
      </c>
      <c r="O25" s="305">
        <f t="shared" si="7"/>
        <v>30</v>
      </c>
      <c r="P25" s="34" t="s">
        <v>67</v>
      </c>
      <c r="Q25" s="34" t="s">
        <v>68</v>
      </c>
      <c r="R25" s="34" t="s">
        <v>69</v>
      </c>
      <c r="S25" s="35">
        <v>46063.0</v>
      </c>
      <c r="T25" s="36"/>
      <c r="U25" s="36"/>
      <c r="V25" s="36"/>
      <c r="W25" s="36"/>
      <c r="X25" s="37"/>
      <c r="Y25" s="47"/>
      <c r="Z25" s="47"/>
    </row>
    <row r="26">
      <c r="A26" s="28">
        <f t="shared" si="1"/>
        <v>24</v>
      </c>
      <c r="B26" s="20"/>
      <c r="C26" s="21"/>
      <c r="D26" s="31" t="s">
        <v>1009</v>
      </c>
      <c r="E26" s="20"/>
      <c r="F26" s="21"/>
      <c r="G26" s="31" t="s">
        <v>1010</v>
      </c>
      <c r="H26" s="31" t="str">
        <f>'参照_ショップ'!F23</f>
        <v>Shaved Ice (+100 Stamina)</v>
      </c>
      <c r="I26" s="304">
        <f>'参照_ショップ'!G23</f>
        <v>5</v>
      </c>
      <c r="J26" s="301" t="s">
        <v>1011</v>
      </c>
      <c r="K26" s="315">
        <v>163283.0</v>
      </c>
      <c r="L26" s="301">
        <v>3.0</v>
      </c>
      <c r="M26" s="305" t="str">
        <f t="shared" si="6"/>
        <v>Shaved Ice (+100 Stamina)</v>
      </c>
      <c r="N26" s="301">
        <v>4.0</v>
      </c>
      <c r="O26" s="305">
        <f t="shared" si="7"/>
        <v>5</v>
      </c>
      <c r="P26" s="34" t="s">
        <v>67</v>
      </c>
      <c r="Q26" s="34" t="s">
        <v>68</v>
      </c>
      <c r="R26" s="34" t="s">
        <v>69</v>
      </c>
      <c r="S26" s="35">
        <v>46063.0</v>
      </c>
      <c r="T26" s="36"/>
      <c r="U26" s="36"/>
      <c r="V26" s="36"/>
      <c r="W26" s="36"/>
      <c r="X26" s="37"/>
      <c r="Y26" s="47"/>
      <c r="Z26" s="47"/>
    </row>
    <row r="27">
      <c r="A27" s="28">
        <f t="shared" si="1"/>
        <v>25</v>
      </c>
      <c r="B27" s="20"/>
      <c r="C27" s="316" t="s">
        <v>72</v>
      </c>
      <c r="D27" s="31" t="s">
        <v>1012</v>
      </c>
      <c r="E27" s="20"/>
      <c r="F27" s="316" t="s">
        <v>74</v>
      </c>
      <c r="G27" s="31" t="s">
        <v>1013</v>
      </c>
      <c r="H27" s="31"/>
      <c r="I27" s="304"/>
      <c r="J27" s="305"/>
      <c r="K27" s="305"/>
      <c r="L27" s="305"/>
      <c r="M27" s="305"/>
      <c r="N27" s="305"/>
      <c r="O27" s="305"/>
      <c r="P27" s="34" t="s">
        <v>67</v>
      </c>
      <c r="Q27" s="34" t="s">
        <v>68</v>
      </c>
      <c r="R27" s="34" t="s">
        <v>69</v>
      </c>
      <c r="S27" s="35">
        <v>46064.0</v>
      </c>
      <c r="T27" s="34" t="s">
        <v>67</v>
      </c>
      <c r="U27" s="28" t="s">
        <v>68</v>
      </c>
      <c r="V27" s="28" t="s">
        <v>69</v>
      </c>
      <c r="W27" s="45" t="s">
        <v>76</v>
      </c>
      <c r="X27" s="37"/>
      <c r="Y27" s="47"/>
      <c r="Z27" s="47"/>
    </row>
    <row r="28">
      <c r="A28" s="28">
        <f t="shared" si="1"/>
        <v>26</v>
      </c>
      <c r="B28" s="20"/>
      <c r="C28" s="20"/>
      <c r="D28" s="31" t="s">
        <v>1014</v>
      </c>
      <c r="E28" s="20"/>
      <c r="F28" s="20"/>
      <c r="G28" s="31" t="s">
        <v>1015</v>
      </c>
      <c r="H28" s="304">
        <f>'参照_ショップ'!$H$21</f>
        <v>5300</v>
      </c>
      <c r="I28" s="304">
        <f>'参照_ショップ'!$H$21</f>
        <v>5300</v>
      </c>
      <c r="J28" s="301" t="s">
        <v>1016</v>
      </c>
      <c r="K28" s="305">
        <v>11886.0</v>
      </c>
      <c r="L28" s="301">
        <v>8.0</v>
      </c>
      <c r="M28" s="305">
        <f t="array" ref="M28">VLOOKUP(K28,INDIRECT(J28),L28)</f>
        <v>5300</v>
      </c>
      <c r="N28" s="301"/>
      <c r="O28" s="305">
        <f>M28</f>
        <v>5300</v>
      </c>
      <c r="P28" s="34" t="s">
        <v>67</v>
      </c>
      <c r="Q28" s="34" t="s">
        <v>68</v>
      </c>
      <c r="R28" s="34" t="s">
        <v>69</v>
      </c>
      <c r="S28" s="35">
        <v>46063.0</v>
      </c>
      <c r="T28" s="36"/>
      <c r="U28" s="36"/>
      <c r="V28" s="36"/>
      <c r="W28" s="36"/>
      <c r="X28" s="37"/>
      <c r="Y28" s="47"/>
      <c r="Z28" s="47"/>
    </row>
    <row r="29">
      <c r="A29" s="28">
        <f t="shared" si="1"/>
        <v>27</v>
      </c>
      <c r="B29" s="20"/>
      <c r="C29" s="20"/>
      <c r="D29" s="42" t="s">
        <v>1017</v>
      </c>
      <c r="E29" s="20"/>
      <c r="F29" s="20"/>
      <c r="G29" s="42" t="s">
        <v>1018</v>
      </c>
      <c r="H29" s="31"/>
      <c r="I29" s="31"/>
      <c r="J29" s="305"/>
      <c r="K29" s="305"/>
      <c r="L29" s="305"/>
      <c r="M29" s="305"/>
      <c r="N29" s="305"/>
      <c r="O29" s="305"/>
      <c r="P29" s="34" t="s">
        <v>67</v>
      </c>
      <c r="Q29" s="34" t="s">
        <v>68</v>
      </c>
      <c r="R29" s="34" t="s">
        <v>69</v>
      </c>
      <c r="S29" s="35">
        <v>46064.0</v>
      </c>
      <c r="T29" s="34" t="s">
        <v>67</v>
      </c>
      <c r="U29" s="28" t="s">
        <v>68</v>
      </c>
      <c r="V29" s="28" t="s">
        <v>69</v>
      </c>
      <c r="W29" s="45" t="s">
        <v>76</v>
      </c>
      <c r="X29" s="37"/>
      <c r="Y29" s="47"/>
      <c r="Z29" s="47"/>
    </row>
    <row r="30">
      <c r="A30" s="28">
        <f t="shared" si="1"/>
        <v>28</v>
      </c>
      <c r="B30" s="20"/>
      <c r="C30" s="20"/>
      <c r="D30" s="42" t="s">
        <v>1019</v>
      </c>
      <c r="E30" s="20"/>
      <c r="F30" s="20"/>
      <c r="G30" s="42" t="s">
        <v>1020</v>
      </c>
      <c r="H30" s="31"/>
      <c r="I30" s="304"/>
      <c r="J30" s="305"/>
      <c r="K30" s="305"/>
      <c r="L30" s="305"/>
      <c r="M30" s="305"/>
      <c r="N30" s="305"/>
      <c r="O30" s="305"/>
      <c r="P30" s="34" t="s">
        <v>67</v>
      </c>
      <c r="Q30" s="34" t="s">
        <v>68</v>
      </c>
      <c r="R30" s="34" t="s">
        <v>69</v>
      </c>
      <c r="S30" s="35">
        <v>46064.0</v>
      </c>
      <c r="T30" s="34" t="s">
        <v>67</v>
      </c>
      <c r="U30" s="28" t="s">
        <v>68</v>
      </c>
      <c r="V30" s="28" t="s">
        <v>69</v>
      </c>
      <c r="W30" s="45" t="s">
        <v>76</v>
      </c>
      <c r="X30" s="37"/>
      <c r="Y30" s="47"/>
      <c r="Z30" s="47"/>
    </row>
    <row r="31">
      <c r="A31" s="28">
        <f t="shared" si="1"/>
        <v>29</v>
      </c>
      <c r="B31" s="21"/>
      <c r="C31" s="21"/>
      <c r="D31" s="42" t="s">
        <v>641</v>
      </c>
      <c r="E31" s="21"/>
      <c r="F31" s="21"/>
      <c r="G31" s="42" t="s">
        <v>1021</v>
      </c>
      <c r="H31" s="42" t="s">
        <v>1025</v>
      </c>
      <c r="I31" s="304"/>
      <c r="J31" s="305"/>
      <c r="K31" s="305"/>
      <c r="L31" s="305"/>
      <c r="M31" s="305"/>
      <c r="N31" s="305"/>
      <c r="O31" s="305"/>
      <c r="P31" s="34" t="s">
        <v>67</v>
      </c>
      <c r="Q31" s="34" t="s">
        <v>68</v>
      </c>
      <c r="R31" s="34" t="s">
        <v>69</v>
      </c>
      <c r="S31" s="35">
        <v>46064.0</v>
      </c>
      <c r="T31" s="34" t="s">
        <v>67</v>
      </c>
      <c r="U31" s="28" t="s">
        <v>68</v>
      </c>
      <c r="V31" s="28" t="s">
        <v>69</v>
      </c>
      <c r="W31" s="45" t="s">
        <v>76</v>
      </c>
      <c r="X31" s="40"/>
      <c r="Y31" s="47"/>
      <c r="Z31" s="47"/>
    </row>
    <row r="32">
      <c r="A32" s="28">
        <f t="shared" si="1"/>
        <v>30</v>
      </c>
      <c r="B32" s="59" t="str">
        <f>'参照_ショップ'!$D$51</f>
        <v>Mystic Matrimony◆Early Bird Set</v>
      </c>
      <c r="C32" s="30" t="s">
        <v>997</v>
      </c>
      <c r="D32" s="37" t="s">
        <v>987</v>
      </c>
      <c r="E32" s="59" t="str">
        <f>'参照_ショップ'!$D$51</f>
        <v>Mystic Matrimony◆Early Bird Set</v>
      </c>
      <c r="F32" s="30" t="s">
        <v>998</v>
      </c>
      <c r="G32" s="37" t="s">
        <v>990</v>
      </c>
      <c r="H32" s="49">
        <f>'参照_ショップ'!$J$51</f>
        <v>46074.70833</v>
      </c>
      <c r="I32" s="28"/>
      <c r="J32" s="301" t="s">
        <v>999</v>
      </c>
      <c r="K32" s="306">
        <v>13404.0</v>
      </c>
      <c r="L32" s="307">
        <v>9.0</v>
      </c>
      <c r="M32" s="308">
        <f t="shared" ref="M32:M35" si="8">VLOOKUP(K32,INDIRECT(J32),L32)</f>
        <v>46074.70833</v>
      </c>
      <c r="N32" s="305"/>
      <c r="O32" s="305"/>
      <c r="P32" s="34" t="s">
        <v>67</v>
      </c>
      <c r="Q32" s="34" t="s">
        <v>68</v>
      </c>
      <c r="R32" s="34" t="s">
        <v>69</v>
      </c>
      <c r="S32" s="35">
        <v>46063.0</v>
      </c>
      <c r="T32" s="36"/>
      <c r="U32" s="36"/>
      <c r="V32" s="36"/>
      <c r="W32" s="36"/>
      <c r="X32" s="40"/>
      <c r="Y32" s="47"/>
      <c r="Z32" s="47"/>
    </row>
    <row r="33">
      <c r="A33" s="28">
        <f t="shared" si="1"/>
        <v>31</v>
      </c>
      <c r="B33" s="20"/>
      <c r="C33" s="20"/>
      <c r="D33" s="37" t="s">
        <v>991</v>
      </c>
      <c r="E33" s="20"/>
      <c r="F33" s="20"/>
      <c r="G33" s="37" t="s">
        <v>992</v>
      </c>
      <c r="H33" s="49">
        <f>'参照_ショップ'!$K$51</f>
        <v>46077.70833</v>
      </c>
      <c r="I33" s="28"/>
      <c r="J33" s="301" t="s">
        <v>999</v>
      </c>
      <c r="K33" s="306">
        <v>13404.0</v>
      </c>
      <c r="L33" s="307">
        <v>10.0</v>
      </c>
      <c r="M33" s="308">
        <f t="shared" si="8"/>
        <v>46077.70833</v>
      </c>
      <c r="N33" s="305"/>
      <c r="O33" s="305"/>
      <c r="P33" s="34" t="s">
        <v>67</v>
      </c>
      <c r="Q33" s="34" t="s">
        <v>68</v>
      </c>
      <c r="R33" s="34" t="s">
        <v>69</v>
      </c>
      <c r="S33" s="35">
        <v>46063.0</v>
      </c>
      <c r="T33" s="36"/>
      <c r="U33" s="36"/>
      <c r="V33" s="36"/>
      <c r="W33" s="36"/>
      <c r="X33" s="40"/>
      <c r="Y33" s="47"/>
      <c r="Z33" s="47"/>
    </row>
    <row r="34">
      <c r="A34" s="28">
        <f t="shared" si="1"/>
        <v>32</v>
      </c>
      <c r="B34" s="20"/>
      <c r="C34" s="20"/>
      <c r="D34" s="37" t="s">
        <v>1000</v>
      </c>
      <c r="E34" s="20"/>
      <c r="F34" s="20"/>
      <c r="G34" s="37" t="s">
        <v>1001</v>
      </c>
      <c r="H34" s="37" t="str">
        <f>'参照_ショップ'!$D$51</f>
        <v>Mystic Matrimony◆Early Bird Set</v>
      </c>
      <c r="I34" s="28"/>
      <c r="J34" s="301" t="s">
        <v>1002</v>
      </c>
      <c r="K34" s="306">
        <v>13404.0</v>
      </c>
      <c r="L34" s="301">
        <v>6.0</v>
      </c>
      <c r="M34" s="305" t="str">
        <f t="shared" si="8"/>
        <v>Mystic Matrimony◆Early Bird Set</v>
      </c>
      <c r="N34" s="305"/>
      <c r="O34" s="305"/>
      <c r="P34" s="34" t="s">
        <v>67</v>
      </c>
      <c r="Q34" s="34" t="s">
        <v>68</v>
      </c>
      <c r="R34" s="34" t="s">
        <v>69</v>
      </c>
      <c r="S34" s="35">
        <v>46063.0</v>
      </c>
      <c r="T34" s="36"/>
      <c r="U34" s="36"/>
      <c r="V34" s="36"/>
      <c r="W34" s="36"/>
      <c r="X34" s="40"/>
      <c r="Y34" s="47"/>
      <c r="Z34" s="47"/>
    </row>
    <row r="35">
      <c r="A35" s="28">
        <f t="shared" si="1"/>
        <v>33</v>
      </c>
      <c r="B35" s="20"/>
      <c r="C35" s="20"/>
      <c r="D35" s="37" t="s">
        <v>1003</v>
      </c>
      <c r="E35" s="20"/>
      <c r="F35" s="20"/>
      <c r="G35" s="37" t="s">
        <v>1004</v>
      </c>
      <c r="H35" s="37">
        <f>'参照_ショップ'!$I$51</f>
        <v>2</v>
      </c>
      <c r="I35" s="28">
        <f>'参照_ショップ'!$I$51</f>
        <v>2</v>
      </c>
      <c r="J35" s="301" t="s">
        <v>999</v>
      </c>
      <c r="K35" s="306">
        <v>13404.0</v>
      </c>
      <c r="L35" s="301">
        <v>3.0</v>
      </c>
      <c r="M35" s="305">
        <f t="shared" si="8"/>
        <v>2</v>
      </c>
      <c r="N35" s="301">
        <v>3.0</v>
      </c>
      <c r="O35" s="305">
        <f t="array" ref="O35">VLOOKUP(K35,INDIRECT(J35),N35)</f>
        <v>2</v>
      </c>
      <c r="P35" s="34" t="s">
        <v>67</v>
      </c>
      <c r="Q35" s="34" t="s">
        <v>68</v>
      </c>
      <c r="R35" s="34" t="s">
        <v>69</v>
      </c>
      <c r="S35" s="35">
        <v>46063.0</v>
      </c>
      <c r="T35" s="36"/>
      <c r="U35" s="36"/>
      <c r="V35" s="36"/>
      <c r="W35" s="36"/>
      <c r="X35" s="40"/>
      <c r="Y35" s="47"/>
      <c r="Z35" s="47"/>
    </row>
    <row r="36">
      <c r="A36" s="28">
        <f t="shared" si="1"/>
        <v>34</v>
      </c>
      <c r="B36" s="20"/>
      <c r="C36" s="20"/>
      <c r="D36" s="37" t="s">
        <v>1005</v>
      </c>
      <c r="E36" s="20"/>
      <c r="F36" s="20"/>
      <c r="G36" s="37" t="s">
        <v>1006</v>
      </c>
      <c r="H36" s="37" t="str">
        <f>'参照_ショップ'!$E$51</f>
        <v>Limited 2 per Player! 
Available for the first 72 hours of the event!
*The Limited Items will disappear from your Present Box when the event is over.</v>
      </c>
      <c r="I36" s="28"/>
      <c r="J36" s="311" t="str">
        <f>HYPERLINK("https://common-legacy-app-admin.us.ikemen-sengoku.jp/admin/itemtrial/item_edit/"&amp;K36,"Search")</f>
        <v>Search</v>
      </c>
      <c r="K36" s="306">
        <v>13404.0</v>
      </c>
      <c r="L36" s="305"/>
      <c r="M36" s="307" t="s">
        <v>1026</v>
      </c>
      <c r="N36" s="301"/>
      <c r="O36" s="301"/>
      <c r="P36" s="34" t="s">
        <v>67</v>
      </c>
      <c r="Q36" s="34" t="s">
        <v>68</v>
      </c>
      <c r="R36" s="34" t="s">
        <v>69</v>
      </c>
      <c r="S36" s="35">
        <v>46063.0</v>
      </c>
      <c r="T36" s="36"/>
      <c r="U36" s="36"/>
      <c r="V36" s="36"/>
      <c r="W36" s="36"/>
      <c r="X36" s="40"/>
      <c r="Y36" s="47"/>
      <c r="Z36" s="47"/>
    </row>
    <row r="37">
      <c r="A37" s="28">
        <f t="shared" si="1"/>
        <v>35</v>
      </c>
      <c r="B37" s="20"/>
      <c r="C37" s="20"/>
      <c r="D37" s="37" t="s">
        <v>1009</v>
      </c>
      <c r="E37" s="20"/>
      <c r="F37" s="20"/>
      <c r="G37" s="37" t="s">
        <v>1010</v>
      </c>
      <c r="H37" s="37" t="str">
        <f>'参照_ショップ'!F51</f>
        <v>Limited Chapter Ticket</v>
      </c>
      <c r="I37" s="28">
        <f>'参照_ショップ'!G51</f>
        <v>55</v>
      </c>
      <c r="J37" s="301" t="s">
        <v>1011</v>
      </c>
      <c r="K37" s="315">
        <v>163284.0</v>
      </c>
      <c r="L37" s="301">
        <v>3.0</v>
      </c>
      <c r="M37" s="305" t="str">
        <f t="shared" ref="M37:M39" si="9">VLOOKUP(K37,INDIRECT(J37),L37)</f>
        <v>Limited Chapter Ticket</v>
      </c>
      <c r="N37" s="301">
        <v>4.0</v>
      </c>
      <c r="O37" s="305">
        <f t="shared" ref="O37:O39" si="10">VLOOKUP(K37,INDIRECT(J37),N37)</f>
        <v>55</v>
      </c>
      <c r="P37" s="34" t="s">
        <v>67</v>
      </c>
      <c r="Q37" s="34" t="s">
        <v>68</v>
      </c>
      <c r="R37" s="34" t="s">
        <v>69</v>
      </c>
      <c r="S37" s="35">
        <v>46063.0</v>
      </c>
      <c r="T37" s="36"/>
      <c r="U37" s="36"/>
      <c r="V37" s="36"/>
      <c r="W37" s="36"/>
      <c r="X37" s="40"/>
      <c r="Y37" s="47"/>
      <c r="Z37" s="47"/>
    </row>
    <row r="38">
      <c r="A38" s="28">
        <f t="shared" si="1"/>
        <v>36</v>
      </c>
      <c r="B38" s="20"/>
      <c r="C38" s="20"/>
      <c r="D38" s="37" t="s">
        <v>1009</v>
      </c>
      <c r="E38" s="20"/>
      <c r="F38" s="20"/>
      <c r="G38" s="37" t="s">
        <v>1010</v>
      </c>
      <c r="H38" s="37" t="str">
        <f>'参照_ショップ'!F52</f>
        <v>Hearts</v>
      </c>
      <c r="I38" s="28">
        <f>'参照_ショップ'!G52</f>
        <v>30</v>
      </c>
      <c r="J38" s="301" t="s">
        <v>1011</v>
      </c>
      <c r="K38" s="315">
        <v>163285.0</v>
      </c>
      <c r="L38" s="301">
        <v>3.0</v>
      </c>
      <c r="M38" s="305" t="str">
        <f t="shared" si="9"/>
        <v>Hearts</v>
      </c>
      <c r="N38" s="301">
        <v>4.0</v>
      </c>
      <c r="O38" s="305">
        <f t="shared" si="10"/>
        <v>30</v>
      </c>
      <c r="P38" s="34" t="s">
        <v>67</v>
      </c>
      <c r="Q38" s="34" t="s">
        <v>68</v>
      </c>
      <c r="R38" s="34" t="s">
        <v>69</v>
      </c>
      <c r="S38" s="35">
        <v>46063.0</v>
      </c>
      <c r="T38" s="36"/>
      <c r="U38" s="36"/>
      <c r="V38" s="36"/>
      <c r="W38" s="36"/>
      <c r="X38" s="40"/>
      <c r="Y38" s="47"/>
      <c r="Z38" s="47"/>
    </row>
    <row r="39">
      <c r="A39" s="28">
        <f t="shared" si="1"/>
        <v>37</v>
      </c>
      <c r="B39" s="20"/>
      <c r="C39" s="21"/>
      <c r="D39" s="37" t="s">
        <v>1009</v>
      </c>
      <c r="E39" s="20"/>
      <c r="F39" s="21"/>
      <c r="G39" s="37" t="s">
        <v>1010</v>
      </c>
      <c r="H39" s="37" t="str">
        <f>'参照_ショップ'!F53</f>
        <v>Shaved Ice (+100 Stamina)</v>
      </c>
      <c r="I39" s="28">
        <f>'参照_ショップ'!G53</f>
        <v>5</v>
      </c>
      <c r="J39" s="301" t="s">
        <v>1011</v>
      </c>
      <c r="K39" s="315">
        <v>163286.0</v>
      </c>
      <c r="L39" s="301">
        <v>3.0</v>
      </c>
      <c r="M39" s="305" t="str">
        <f t="shared" si="9"/>
        <v>Shaved Ice (+100 Stamina)</v>
      </c>
      <c r="N39" s="301">
        <v>4.0</v>
      </c>
      <c r="O39" s="305">
        <f t="shared" si="10"/>
        <v>5</v>
      </c>
      <c r="P39" s="34" t="s">
        <v>67</v>
      </c>
      <c r="Q39" s="34" t="s">
        <v>68</v>
      </c>
      <c r="R39" s="34" t="s">
        <v>69</v>
      </c>
      <c r="S39" s="35">
        <v>46063.0</v>
      </c>
      <c r="T39" s="36"/>
      <c r="U39" s="36"/>
      <c r="V39" s="36"/>
      <c r="W39" s="36"/>
      <c r="X39" s="40"/>
      <c r="Y39" s="47"/>
      <c r="Z39" s="47"/>
    </row>
    <row r="40">
      <c r="A40" s="28">
        <f t="shared" si="1"/>
        <v>38</v>
      </c>
      <c r="B40" s="20"/>
      <c r="C40" s="316" t="s">
        <v>72</v>
      </c>
      <c r="D40" s="37" t="s">
        <v>1012</v>
      </c>
      <c r="E40" s="20"/>
      <c r="F40" s="316" t="s">
        <v>74</v>
      </c>
      <c r="G40" s="37" t="s">
        <v>1013</v>
      </c>
      <c r="H40" s="37"/>
      <c r="I40" s="28"/>
      <c r="J40" s="305"/>
      <c r="K40" s="305"/>
      <c r="L40" s="305"/>
      <c r="M40" s="305"/>
      <c r="N40" s="305"/>
      <c r="O40" s="305"/>
      <c r="P40" s="34" t="s">
        <v>67</v>
      </c>
      <c r="Q40" s="34" t="s">
        <v>68</v>
      </c>
      <c r="R40" s="34" t="s">
        <v>69</v>
      </c>
      <c r="S40" s="35">
        <v>46064.0</v>
      </c>
      <c r="T40" s="34" t="s">
        <v>67</v>
      </c>
      <c r="U40" s="28" t="s">
        <v>68</v>
      </c>
      <c r="V40" s="28" t="s">
        <v>69</v>
      </c>
      <c r="W40" s="45" t="s">
        <v>76</v>
      </c>
      <c r="X40" s="40"/>
      <c r="Y40" s="47"/>
      <c r="Z40" s="47"/>
    </row>
    <row r="41">
      <c r="A41" s="28">
        <f t="shared" si="1"/>
        <v>39</v>
      </c>
      <c r="B41" s="20"/>
      <c r="C41" s="20"/>
      <c r="D41" s="37" t="s">
        <v>1014</v>
      </c>
      <c r="E41" s="20"/>
      <c r="F41" s="20"/>
      <c r="G41" s="37" t="s">
        <v>1015</v>
      </c>
      <c r="H41" s="28">
        <f>'参照_ショップ'!$H$51</f>
        <v>5300</v>
      </c>
      <c r="I41" s="28">
        <f>'参照_ショップ'!$H$51</f>
        <v>5300</v>
      </c>
      <c r="J41" s="301" t="s">
        <v>1016</v>
      </c>
      <c r="K41" s="305">
        <v>11887.0</v>
      </c>
      <c r="L41" s="301">
        <v>8.0</v>
      </c>
      <c r="M41" s="305">
        <f t="array" ref="M41">VLOOKUP(K41,INDIRECT(J41),L41)</f>
        <v>5300</v>
      </c>
      <c r="N41" s="301"/>
      <c r="O41" s="305">
        <f>M41</f>
        <v>5300</v>
      </c>
      <c r="P41" s="34" t="s">
        <v>67</v>
      </c>
      <c r="Q41" s="34" t="s">
        <v>68</v>
      </c>
      <c r="R41" s="34" t="s">
        <v>69</v>
      </c>
      <c r="S41" s="35">
        <v>46063.0</v>
      </c>
      <c r="T41" s="36"/>
      <c r="U41" s="36"/>
      <c r="V41" s="36"/>
      <c r="W41" s="36"/>
      <c r="X41" s="40"/>
      <c r="Y41" s="47"/>
      <c r="Z41" s="47"/>
    </row>
    <row r="42">
      <c r="A42" s="28">
        <f t="shared" si="1"/>
        <v>40</v>
      </c>
      <c r="B42" s="20"/>
      <c r="C42" s="20"/>
      <c r="D42" s="47" t="s">
        <v>1017</v>
      </c>
      <c r="E42" s="20"/>
      <c r="F42" s="20"/>
      <c r="G42" s="47" t="s">
        <v>1018</v>
      </c>
      <c r="H42" s="37"/>
      <c r="I42" s="28"/>
      <c r="J42" s="305"/>
      <c r="K42" s="305"/>
      <c r="L42" s="305"/>
      <c r="M42" s="305"/>
      <c r="N42" s="305"/>
      <c r="O42" s="305"/>
      <c r="P42" s="34" t="s">
        <v>67</v>
      </c>
      <c r="Q42" s="34" t="s">
        <v>68</v>
      </c>
      <c r="R42" s="34" t="s">
        <v>69</v>
      </c>
      <c r="S42" s="35">
        <v>46064.0</v>
      </c>
      <c r="T42" s="34" t="s">
        <v>67</v>
      </c>
      <c r="U42" s="28" t="s">
        <v>68</v>
      </c>
      <c r="V42" s="28" t="s">
        <v>69</v>
      </c>
      <c r="W42" s="45" t="s">
        <v>76</v>
      </c>
      <c r="X42" s="40"/>
      <c r="Y42" s="47"/>
      <c r="Z42" s="47"/>
    </row>
    <row r="43">
      <c r="A43" s="28">
        <f t="shared" si="1"/>
        <v>41</v>
      </c>
      <c r="B43" s="20"/>
      <c r="C43" s="20"/>
      <c r="D43" s="47" t="s">
        <v>1019</v>
      </c>
      <c r="E43" s="20"/>
      <c r="F43" s="20"/>
      <c r="G43" s="47" t="s">
        <v>1020</v>
      </c>
      <c r="H43" s="37"/>
      <c r="I43" s="28"/>
      <c r="J43" s="305"/>
      <c r="K43" s="305"/>
      <c r="L43" s="305"/>
      <c r="M43" s="305"/>
      <c r="N43" s="305"/>
      <c r="O43" s="305"/>
      <c r="P43" s="34" t="s">
        <v>67</v>
      </c>
      <c r="Q43" s="34" t="s">
        <v>68</v>
      </c>
      <c r="R43" s="34" t="s">
        <v>69</v>
      </c>
      <c r="S43" s="35">
        <v>46064.0</v>
      </c>
      <c r="T43" s="34" t="s">
        <v>67</v>
      </c>
      <c r="U43" s="28" t="s">
        <v>68</v>
      </c>
      <c r="V43" s="28" t="s">
        <v>69</v>
      </c>
      <c r="W43" s="45" t="s">
        <v>76</v>
      </c>
      <c r="X43" s="40"/>
      <c r="Y43" s="47"/>
      <c r="Z43" s="47"/>
    </row>
    <row r="44">
      <c r="A44" s="28">
        <f t="shared" si="1"/>
        <v>42</v>
      </c>
      <c r="B44" s="21"/>
      <c r="C44" s="21"/>
      <c r="D44" s="47" t="s">
        <v>641</v>
      </c>
      <c r="E44" s="21"/>
      <c r="F44" s="21"/>
      <c r="G44" s="47" t="s">
        <v>1021</v>
      </c>
      <c r="H44" s="47" t="s">
        <v>1025</v>
      </c>
      <c r="I44" s="40"/>
      <c r="J44" s="305"/>
      <c r="K44" s="305"/>
      <c r="L44" s="305"/>
      <c r="M44" s="305"/>
      <c r="N44" s="305"/>
      <c r="O44" s="305"/>
      <c r="P44" s="34" t="s">
        <v>67</v>
      </c>
      <c r="Q44" s="34" t="s">
        <v>68</v>
      </c>
      <c r="R44" s="34" t="s">
        <v>69</v>
      </c>
      <c r="S44" s="35">
        <v>46064.0</v>
      </c>
      <c r="T44" s="34" t="s">
        <v>67</v>
      </c>
      <c r="U44" s="28" t="s">
        <v>68</v>
      </c>
      <c r="V44" s="28" t="s">
        <v>69</v>
      </c>
      <c r="W44" s="45" t="s">
        <v>76</v>
      </c>
      <c r="X44" s="40"/>
      <c r="Y44" s="47"/>
      <c r="Z44" s="47"/>
    </row>
    <row r="45">
      <c r="A45" s="28">
        <f t="shared" si="1"/>
        <v>43</v>
      </c>
      <c r="B45" s="29" t="str">
        <f>'参照_ショップ'!$D$61</f>
        <v>Mystic Matrimony◆Last Dash Set</v>
      </c>
      <c r="C45" s="30" t="s">
        <v>997</v>
      </c>
      <c r="D45" s="31" t="s">
        <v>987</v>
      </c>
      <c r="E45" s="29" t="str">
        <f>'参照_ショップ'!$D$61</f>
        <v>Mystic Matrimony◆Last Dash Set</v>
      </c>
      <c r="F45" s="30" t="s">
        <v>998</v>
      </c>
      <c r="G45" s="31" t="s">
        <v>990</v>
      </c>
      <c r="H45" s="33">
        <f>'参照_ショップ'!$J$61</f>
        <v>46079.70833</v>
      </c>
      <c r="I45" s="304"/>
      <c r="J45" s="301" t="s">
        <v>999</v>
      </c>
      <c r="K45" s="306">
        <v>13405.0</v>
      </c>
      <c r="L45" s="307">
        <v>9.0</v>
      </c>
      <c r="M45" s="308">
        <f t="shared" ref="M45:M48" si="11">VLOOKUP(K45,INDIRECT(J45),L45)</f>
        <v>46079.70833</v>
      </c>
      <c r="N45" s="305"/>
      <c r="O45" s="305"/>
      <c r="P45" s="34" t="s">
        <v>67</v>
      </c>
      <c r="Q45" s="34" t="s">
        <v>68</v>
      </c>
      <c r="R45" s="34" t="s">
        <v>69</v>
      </c>
      <c r="S45" s="35">
        <v>46063.0</v>
      </c>
      <c r="T45" s="36"/>
      <c r="U45" s="36"/>
      <c r="V45" s="36"/>
      <c r="W45" s="36"/>
      <c r="X45" s="37"/>
      <c r="Y45" s="47"/>
      <c r="Z45" s="47"/>
    </row>
    <row r="46">
      <c r="A46" s="28">
        <f t="shared" si="1"/>
        <v>44</v>
      </c>
      <c r="B46" s="20"/>
      <c r="C46" s="20"/>
      <c r="D46" s="31" t="s">
        <v>991</v>
      </c>
      <c r="E46" s="20"/>
      <c r="F46" s="20"/>
      <c r="G46" s="31" t="s">
        <v>992</v>
      </c>
      <c r="H46" s="33">
        <f>'参照_ショップ'!$K$61</f>
        <v>46080.70833</v>
      </c>
      <c r="I46" s="304"/>
      <c r="J46" s="301" t="s">
        <v>999</v>
      </c>
      <c r="K46" s="306">
        <v>13405.0</v>
      </c>
      <c r="L46" s="307">
        <v>10.0</v>
      </c>
      <c r="M46" s="308">
        <f t="shared" si="11"/>
        <v>46080.70833</v>
      </c>
      <c r="N46" s="305"/>
      <c r="O46" s="305"/>
      <c r="P46" s="34" t="s">
        <v>67</v>
      </c>
      <c r="Q46" s="34" t="s">
        <v>68</v>
      </c>
      <c r="R46" s="34" t="s">
        <v>69</v>
      </c>
      <c r="S46" s="35">
        <v>46063.0</v>
      </c>
      <c r="T46" s="36"/>
      <c r="U46" s="36"/>
      <c r="V46" s="36"/>
      <c r="W46" s="36"/>
      <c r="X46" s="40"/>
      <c r="Y46" s="47"/>
      <c r="Z46" s="47"/>
    </row>
    <row r="47">
      <c r="A47" s="28">
        <f t="shared" si="1"/>
        <v>45</v>
      </c>
      <c r="B47" s="20"/>
      <c r="C47" s="20"/>
      <c r="D47" s="31" t="s">
        <v>1000</v>
      </c>
      <c r="E47" s="20"/>
      <c r="F47" s="20"/>
      <c r="G47" s="31" t="s">
        <v>1001</v>
      </c>
      <c r="H47" s="31" t="str">
        <f>'参照_ショップ'!$D$61</f>
        <v>Mystic Matrimony◆Last Dash Set</v>
      </c>
      <c r="I47" s="304"/>
      <c r="J47" s="301" t="s">
        <v>1002</v>
      </c>
      <c r="K47" s="306">
        <v>13405.0</v>
      </c>
      <c r="L47" s="301">
        <v>6.0</v>
      </c>
      <c r="M47" s="305" t="str">
        <f t="shared" si="11"/>
        <v>Mystic Matrimony◆Last Dash Set</v>
      </c>
      <c r="N47" s="305"/>
      <c r="O47" s="305"/>
      <c r="P47" s="34" t="s">
        <v>67</v>
      </c>
      <c r="Q47" s="34" t="s">
        <v>68</v>
      </c>
      <c r="R47" s="34" t="s">
        <v>69</v>
      </c>
      <c r="S47" s="35">
        <v>46063.0</v>
      </c>
      <c r="T47" s="36"/>
      <c r="U47" s="36"/>
      <c r="V47" s="36"/>
      <c r="W47" s="36"/>
      <c r="X47" s="40"/>
      <c r="Y47" s="47"/>
      <c r="Z47" s="47"/>
    </row>
    <row r="48">
      <c r="A48" s="28">
        <f t="shared" si="1"/>
        <v>46</v>
      </c>
      <c r="B48" s="20"/>
      <c r="C48" s="20"/>
      <c r="D48" s="31" t="s">
        <v>1003</v>
      </c>
      <c r="E48" s="20"/>
      <c r="F48" s="20"/>
      <c r="G48" s="31" t="s">
        <v>1004</v>
      </c>
      <c r="H48" s="31">
        <f>'参照_ショップ'!$I$61</f>
        <v>3</v>
      </c>
      <c r="I48" s="304">
        <f>'参照_ショップ'!$I$61</f>
        <v>3</v>
      </c>
      <c r="J48" s="301" t="s">
        <v>999</v>
      </c>
      <c r="K48" s="306">
        <v>13405.0</v>
      </c>
      <c r="L48" s="301">
        <v>3.0</v>
      </c>
      <c r="M48" s="305">
        <f t="shared" si="11"/>
        <v>3</v>
      </c>
      <c r="N48" s="301">
        <v>3.0</v>
      </c>
      <c r="O48" s="305">
        <f t="array" ref="O48">VLOOKUP(K48,INDIRECT(J48),N48)</f>
        <v>3</v>
      </c>
      <c r="P48" s="34" t="s">
        <v>67</v>
      </c>
      <c r="Q48" s="34" t="s">
        <v>68</v>
      </c>
      <c r="R48" s="34" t="s">
        <v>69</v>
      </c>
      <c r="S48" s="35">
        <v>46063.0</v>
      </c>
      <c r="T48" s="36"/>
      <c r="U48" s="36"/>
      <c r="V48" s="36"/>
      <c r="W48" s="36"/>
      <c r="X48" s="40"/>
      <c r="Y48" s="47"/>
      <c r="Z48" s="47"/>
    </row>
    <row r="49">
      <c r="A49" s="28">
        <f t="shared" si="1"/>
        <v>47</v>
      </c>
      <c r="B49" s="20"/>
      <c r="C49" s="20"/>
      <c r="D49" s="31" t="s">
        <v>1005</v>
      </c>
      <c r="E49" s="20"/>
      <c r="F49" s="20"/>
      <c r="G49" s="31" t="s">
        <v>1006</v>
      </c>
      <c r="H49" s="31" t="str">
        <f>'参照_ショップ'!$E$61</f>
        <v>Only 24 hours left! Reach your goal with this special set!
*The Limited Items will disappear from your Present Box when the event is over.</v>
      </c>
      <c r="I49" s="304"/>
      <c r="J49" s="311" t="str">
        <f>HYPERLINK("https://common-legacy-app-admin.us.ikemen-sengoku.jp/admin/itemtrial/item_edit/"&amp;K49,"Search")</f>
        <v>Search</v>
      </c>
      <c r="K49" s="306">
        <v>13405.0</v>
      </c>
      <c r="L49" s="305"/>
      <c r="M49" s="307" t="s">
        <v>1027</v>
      </c>
      <c r="N49" s="301"/>
      <c r="O49" s="301"/>
      <c r="P49" s="34" t="s">
        <v>67</v>
      </c>
      <c r="Q49" s="34" t="s">
        <v>68</v>
      </c>
      <c r="R49" s="34" t="s">
        <v>69</v>
      </c>
      <c r="S49" s="35">
        <v>46063.0</v>
      </c>
      <c r="T49" s="36"/>
      <c r="U49" s="36"/>
      <c r="V49" s="36"/>
      <c r="W49" s="36"/>
      <c r="X49" s="40"/>
      <c r="Y49" s="47"/>
      <c r="Z49" s="47"/>
    </row>
    <row r="50">
      <c r="A50" s="28">
        <f t="shared" si="1"/>
        <v>48</v>
      </c>
      <c r="B50" s="20"/>
      <c r="C50" s="20"/>
      <c r="D50" s="31" t="s">
        <v>1009</v>
      </c>
      <c r="E50" s="20"/>
      <c r="F50" s="20"/>
      <c r="G50" s="31" t="s">
        <v>1010</v>
      </c>
      <c r="H50" s="31" t="str">
        <f>'参照_ショップ'!F61</f>
        <v>Hearts</v>
      </c>
      <c r="I50" s="304">
        <f>'参照_ショップ'!G61</f>
        <v>50</v>
      </c>
      <c r="J50" s="301" t="s">
        <v>1011</v>
      </c>
      <c r="K50" s="315">
        <v>163287.0</v>
      </c>
      <c r="L50" s="301">
        <v>3.0</v>
      </c>
      <c r="M50" s="305" t="str">
        <f t="shared" ref="M50:M51" si="12">VLOOKUP(K50,INDIRECT(J50),L50)</f>
        <v>Hearts</v>
      </c>
      <c r="N50" s="301">
        <v>4.0</v>
      </c>
      <c r="O50" s="305">
        <f t="shared" ref="O50:O51" si="13">VLOOKUP(K50,INDIRECT(J50),N50)</f>
        <v>50</v>
      </c>
      <c r="P50" s="34" t="s">
        <v>67</v>
      </c>
      <c r="Q50" s="34" t="s">
        <v>68</v>
      </c>
      <c r="R50" s="34" t="s">
        <v>69</v>
      </c>
      <c r="S50" s="35">
        <v>46063.0</v>
      </c>
      <c r="T50" s="36"/>
      <c r="U50" s="36"/>
      <c r="V50" s="36"/>
      <c r="W50" s="36"/>
      <c r="X50" s="40"/>
      <c r="Y50" s="47"/>
      <c r="Z50" s="47"/>
    </row>
    <row r="51">
      <c r="A51" s="28">
        <f t="shared" si="1"/>
        <v>49</v>
      </c>
      <c r="B51" s="20"/>
      <c r="C51" s="21"/>
      <c r="D51" s="31" t="s">
        <v>1009</v>
      </c>
      <c r="E51" s="20"/>
      <c r="F51" s="21"/>
      <c r="G51" s="31" t="s">
        <v>1010</v>
      </c>
      <c r="H51" s="31" t="str">
        <f>'参照_ショップ'!F62</f>
        <v>Shaved Ice (+100 Stamina)</v>
      </c>
      <c r="I51" s="304">
        <f>'参照_ショップ'!G62</f>
        <v>10</v>
      </c>
      <c r="J51" s="301" t="s">
        <v>1011</v>
      </c>
      <c r="K51" s="315">
        <v>163288.0</v>
      </c>
      <c r="L51" s="301">
        <v>3.0</v>
      </c>
      <c r="M51" s="305" t="str">
        <f t="shared" si="12"/>
        <v>Shaved Ice (+100 Stamina)</v>
      </c>
      <c r="N51" s="301">
        <v>4.0</v>
      </c>
      <c r="O51" s="305">
        <f t="shared" si="13"/>
        <v>10</v>
      </c>
      <c r="P51" s="34" t="s">
        <v>67</v>
      </c>
      <c r="Q51" s="34" t="s">
        <v>68</v>
      </c>
      <c r="R51" s="34" t="s">
        <v>69</v>
      </c>
      <c r="S51" s="35">
        <v>46063.0</v>
      </c>
      <c r="T51" s="36"/>
      <c r="U51" s="36"/>
      <c r="V51" s="36"/>
      <c r="W51" s="36"/>
      <c r="X51" s="40"/>
      <c r="Y51" s="47"/>
      <c r="Z51" s="47"/>
    </row>
    <row r="52">
      <c r="A52" s="28">
        <f t="shared" si="1"/>
        <v>50</v>
      </c>
      <c r="B52" s="20"/>
      <c r="C52" s="316" t="s">
        <v>72</v>
      </c>
      <c r="D52" s="31" t="s">
        <v>1012</v>
      </c>
      <c r="E52" s="20"/>
      <c r="F52" s="316" t="s">
        <v>74</v>
      </c>
      <c r="G52" s="31" t="s">
        <v>1013</v>
      </c>
      <c r="H52" s="31"/>
      <c r="I52" s="304"/>
      <c r="J52" s="305"/>
      <c r="K52" s="305"/>
      <c r="L52" s="305"/>
      <c r="M52" s="305"/>
      <c r="N52" s="305"/>
      <c r="O52" s="305"/>
      <c r="P52" s="34" t="s">
        <v>67</v>
      </c>
      <c r="Q52" s="34" t="s">
        <v>68</v>
      </c>
      <c r="R52" s="34" t="s">
        <v>69</v>
      </c>
      <c r="S52" s="35">
        <v>46064.0</v>
      </c>
      <c r="T52" s="34" t="s">
        <v>67</v>
      </c>
      <c r="U52" s="28" t="s">
        <v>68</v>
      </c>
      <c r="V52" s="28" t="s">
        <v>69</v>
      </c>
      <c r="W52" s="45" t="s">
        <v>76</v>
      </c>
      <c r="X52" s="40"/>
      <c r="Y52" s="47"/>
      <c r="Z52" s="47"/>
    </row>
    <row r="53">
      <c r="A53" s="28">
        <f t="shared" si="1"/>
        <v>51</v>
      </c>
      <c r="B53" s="20"/>
      <c r="C53" s="20"/>
      <c r="D53" s="31" t="s">
        <v>1014</v>
      </c>
      <c r="E53" s="20"/>
      <c r="F53" s="20"/>
      <c r="G53" s="31" t="s">
        <v>1015</v>
      </c>
      <c r="H53" s="304">
        <f>'参照_ショップ'!$H$61</f>
        <v>3500</v>
      </c>
      <c r="I53" s="304">
        <f>'参照_ショップ'!$H$61</f>
        <v>3500</v>
      </c>
      <c r="J53" s="301" t="s">
        <v>1016</v>
      </c>
      <c r="K53" s="305">
        <v>11888.0</v>
      </c>
      <c r="L53" s="301">
        <v>8.0</v>
      </c>
      <c r="M53" s="305">
        <f t="array" ref="M53">VLOOKUP(K53,INDIRECT(J53),L53)</f>
        <v>3500</v>
      </c>
      <c r="N53" s="301"/>
      <c r="O53" s="305">
        <f>M53</f>
        <v>3500</v>
      </c>
      <c r="P53" s="34" t="s">
        <v>67</v>
      </c>
      <c r="Q53" s="34" t="s">
        <v>68</v>
      </c>
      <c r="R53" s="34" t="s">
        <v>69</v>
      </c>
      <c r="S53" s="35">
        <v>46063.0</v>
      </c>
      <c r="T53" s="36"/>
      <c r="U53" s="36"/>
      <c r="V53" s="36"/>
      <c r="W53" s="36"/>
      <c r="X53" s="40"/>
      <c r="Y53" s="47"/>
      <c r="Z53" s="47"/>
    </row>
    <row r="54">
      <c r="A54" s="28">
        <f t="shared" si="1"/>
        <v>52</v>
      </c>
      <c r="B54" s="20"/>
      <c r="C54" s="20"/>
      <c r="D54" s="42" t="s">
        <v>1017</v>
      </c>
      <c r="E54" s="20"/>
      <c r="F54" s="20"/>
      <c r="G54" s="42" t="s">
        <v>1018</v>
      </c>
      <c r="H54" s="31"/>
      <c r="I54" s="304"/>
      <c r="J54" s="305"/>
      <c r="K54" s="305"/>
      <c r="L54" s="305"/>
      <c r="M54" s="305"/>
      <c r="N54" s="305"/>
      <c r="O54" s="305"/>
      <c r="P54" s="34" t="s">
        <v>67</v>
      </c>
      <c r="Q54" s="34" t="s">
        <v>68</v>
      </c>
      <c r="R54" s="34" t="s">
        <v>69</v>
      </c>
      <c r="S54" s="35">
        <v>46064.0</v>
      </c>
      <c r="T54" s="34" t="s">
        <v>67</v>
      </c>
      <c r="U54" s="28" t="s">
        <v>68</v>
      </c>
      <c r="V54" s="28" t="s">
        <v>69</v>
      </c>
      <c r="W54" s="45" t="s">
        <v>76</v>
      </c>
      <c r="X54" s="40"/>
      <c r="Y54" s="47"/>
      <c r="Z54" s="47"/>
    </row>
    <row r="55">
      <c r="A55" s="28">
        <f t="shared" si="1"/>
        <v>53</v>
      </c>
      <c r="B55" s="20"/>
      <c r="C55" s="20"/>
      <c r="D55" s="42" t="s">
        <v>1019</v>
      </c>
      <c r="E55" s="20"/>
      <c r="F55" s="20"/>
      <c r="G55" s="42" t="s">
        <v>1020</v>
      </c>
      <c r="H55" s="31"/>
      <c r="I55" s="304"/>
      <c r="J55" s="305"/>
      <c r="K55" s="305"/>
      <c r="L55" s="305"/>
      <c r="M55" s="305"/>
      <c r="N55" s="305"/>
      <c r="O55" s="305"/>
      <c r="P55" s="34" t="s">
        <v>67</v>
      </c>
      <c r="Q55" s="34" t="s">
        <v>68</v>
      </c>
      <c r="R55" s="34" t="s">
        <v>69</v>
      </c>
      <c r="S55" s="35">
        <v>46064.0</v>
      </c>
      <c r="T55" s="34" t="s">
        <v>67</v>
      </c>
      <c r="U55" s="28" t="s">
        <v>68</v>
      </c>
      <c r="V55" s="28" t="s">
        <v>69</v>
      </c>
      <c r="W55" s="45" t="s">
        <v>76</v>
      </c>
      <c r="X55" s="40"/>
      <c r="Y55" s="47"/>
      <c r="Z55" s="47"/>
    </row>
    <row r="56">
      <c r="A56" s="28">
        <f t="shared" si="1"/>
        <v>54</v>
      </c>
      <c r="B56" s="21"/>
      <c r="C56" s="21"/>
      <c r="D56" s="42" t="s">
        <v>641</v>
      </c>
      <c r="E56" s="21"/>
      <c r="F56" s="21"/>
      <c r="G56" s="42" t="s">
        <v>1021</v>
      </c>
      <c r="H56" s="42" t="s">
        <v>1025</v>
      </c>
      <c r="I56" s="318"/>
      <c r="J56" s="305"/>
      <c r="K56" s="305"/>
      <c r="L56" s="305"/>
      <c r="M56" s="305"/>
      <c r="N56" s="305"/>
      <c r="O56" s="305"/>
      <c r="P56" s="34" t="s">
        <v>67</v>
      </c>
      <c r="Q56" s="34" t="s">
        <v>68</v>
      </c>
      <c r="R56" s="34" t="s">
        <v>69</v>
      </c>
      <c r="S56" s="35">
        <v>46064.0</v>
      </c>
      <c r="T56" s="34" t="s">
        <v>67</v>
      </c>
      <c r="U56" s="28" t="s">
        <v>68</v>
      </c>
      <c r="V56" s="28" t="s">
        <v>69</v>
      </c>
      <c r="W56" s="45" t="s">
        <v>76</v>
      </c>
      <c r="X56" s="40"/>
      <c r="Y56" s="47"/>
      <c r="Z56" s="47"/>
    </row>
    <row r="57">
      <c r="A57" s="28">
        <f t="shared" si="1"/>
        <v>55</v>
      </c>
      <c r="B57" s="59" t="str">
        <f>'参照_ショップ'!$D$71</f>
        <v>Mystic Matrimony◆Lucky Story Set</v>
      </c>
      <c r="C57" s="30" t="s">
        <v>997</v>
      </c>
      <c r="D57" s="37" t="s">
        <v>987</v>
      </c>
      <c r="E57" s="59" t="str">
        <f>'参照_ショップ'!$D$71</f>
        <v>Mystic Matrimony◆Lucky Story Set</v>
      </c>
      <c r="F57" s="30" t="s">
        <v>998</v>
      </c>
      <c r="G57" s="37" t="s">
        <v>990</v>
      </c>
      <c r="H57" s="49">
        <f>'参照_ショップ'!$J$71</f>
        <v>46074.70833</v>
      </c>
      <c r="I57" s="28"/>
      <c r="J57" s="301" t="s">
        <v>999</v>
      </c>
      <c r="K57" s="306">
        <v>13406.0</v>
      </c>
      <c r="L57" s="307">
        <v>9.0</v>
      </c>
      <c r="M57" s="308">
        <f t="shared" ref="M57:M60" si="14">VLOOKUP(K57,INDIRECT(J57),L57)</f>
        <v>46074.70833</v>
      </c>
      <c r="N57" s="305"/>
      <c r="O57" s="305"/>
      <c r="P57" s="34" t="s">
        <v>67</v>
      </c>
      <c r="Q57" s="34" t="s">
        <v>68</v>
      </c>
      <c r="R57" s="34" t="s">
        <v>69</v>
      </c>
      <c r="S57" s="35">
        <v>46063.0</v>
      </c>
      <c r="T57" s="36"/>
      <c r="U57" s="36"/>
      <c r="V57" s="36"/>
      <c r="W57" s="36"/>
      <c r="X57" s="37"/>
      <c r="Y57" s="47"/>
      <c r="Z57" s="47"/>
    </row>
    <row r="58">
      <c r="A58" s="28">
        <f t="shared" si="1"/>
        <v>56</v>
      </c>
      <c r="B58" s="20"/>
      <c r="C58" s="20"/>
      <c r="D58" s="37" t="s">
        <v>991</v>
      </c>
      <c r="E58" s="20"/>
      <c r="F58" s="20"/>
      <c r="G58" s="37" t="s">
        <v>992</v>
      </c>
      <c r="H58" s="49">
        <f>'参照_ショップ'!$K$71</f>
        <v>46075.20833</v>
      </c>
      <c r="I58" s="28"/>
      <c r="J58" s="301" t="s">
        <v>999</v>
      </c>
      <c r="K58" s="306">
        <v>13406.0</v>
      </c>
      <c r="L58" s="307">
        <v>10.0</v>
      </c>
      <c r="M58" s="308">
        <f t="shared" si="14"/>
        <v>46075.20833</v>
      </c>
      <c r="N58" s="305"/>
      <c r="O58" s="305"/>
      <c r="P58" s="34" t="s">
        <v>67</v>
      </c>
      <c r="Q58" s="34" t="s">
        <v>68</v>
      </c>
      <c r="R58" s="34" t="s">
        <v>69</v>
      </c>
      <c r="S58" s="35">
        <v>46063.0</v>
      </c>
      <c r="T58" s="36"/>
      <c r="U58" s="36"/>
      <c r="V58" s="36"/>
      <c r="W58" s="36"/>
      <c r="X58" s="40"/>
      <c r="Y58" s="47"/>
      <c r="Z58" s="47"/>
    </row>
    <row r="59">
      <c r="A59" s="28">
        <f t="shared" si="1"/>
        <v>57</v>
      </c>
      <c r="B59" s="20"/>
      <c r="C59" s="20"/>
      <c r="D59" s="37" t="s">
        <v>1000</v>
      </c>
      <c r="E59" s="20"/>
      <c r="F59" s="20"/>
      <c r="G59" s="37" t="s">
        <v>1001</v>
      </c>
      <c r="H59" s="37" t="str">
        <f>'参照_ショップ'!$D$71</f>
        <v>Mystic Matrimony◆Lucky Story Set</v>
      </c>
      <c r="I59" s="28"/>
      <c r="J59" s="301" t="s">
        <v>1002</v>
      </c>
      <c r="K59" s="306">
        <v>13406.0</v>
      </c>
      <c r="L59" s="301">
        <v>6.0</v>
      </c>
      <c r="M59" s="305" t="str">
        <f t="shared" si="14"/>
        <v>Mystic Matrimony◆Lucky Story Set</v>
      </c>
      <c r="N59" s="305"/>
      <c r="O59" s="305"/>
      <c r="P59" s="34" t="s">
        <v>67</v>
      </c>
      <c r="Q59" s="34" t="s">
        <v>68</v>
      </c>
      <c r="R59" s="34" t="s">
        <v>69</v>
      </c>
      <c r="S59" s="35">
        <v>46063.0</v>
      </c>
      <c r="T59" s="36"/>
      <c r="U59" s="36"/>
      <c r="V59" s="36"/>
      <c r="W59" s="36"/>
      <c r="X59" s="40"/>
      <c r="Y59" s="47"/>
      <c r="Z59" s="47"/>
    </row>
    <row r="60">
      <c r="A60" s="28">
        <f t="shared" si="1"/>
        <v>58</v>
      </c>
      <c r="B60" s="20"/>
      <c r="C60" s="20"/>
      <c r="D60" s="37" t="s">
        <v>1003</v>
      </c>
      <c r="E60" s="20"/>
      <c r="F60" s="20"/>
      <c r="G60" s="37" t="s">
        <v>1004</v>
      </c>
      <c r="H60" s="37">
        <f>'参照_ショップ'!$I$71</f>
        <v>3</v>
      </c>
      <c r="I60" s="28">
        <f>'参照_ショップ'!$I$71</f>
        <v>3</v>
      </c>
      <c r="J60" s="301" t="s">
        <v>999</v>
      </c>
      <c r="K60" s="306">
        <v>13406.0</v>
      </c>
      <c r="L60" s="301">
        <v>3.0</v>
      </c>
      <c r="M60" s="305">
        <f t="shared" si="14"/>
        <v>3</v>
      </c>
      <c r="N60" s="301">
        <v>3.0</v>
      </c>
      <c r="O60" s="305">
        <f t="array" ref="O60">VLOOKUP(K60,INDIRECT(J60),N60)</f>
        <v>3</v>
      </c>
      <c r="P60" s="34" t="s">
        <v>67</v>
      </c>
      <c r="Q60" s="34" t="s">
        <v>68</v>
      </c>
      <c r="R60" s="34" t="s">
        <v>69</v>
      </c>
      <c r="S60" s="35">
        <v>46063.0</v>
      </c>
      <c r="T60" s="36"/>
      <c r="U60" s="36"/>
      <c r="V60" s="36"/>
      <c r="W60" s="36"/>
      <c r="X60" s="40"/>
      <c r="Y60" s="47"/>
      <c r="Z60" s="47"/>
    </row>
    <row r="61">
      <c r="A61" s="28">
        <f t="shared" si="1"/>
        <v>59</v>
      </c>
      <c r="B61" s="20"/>
      <c r="C61" s="20"/>
      <c r="D61" s="37" t="s">
        <v>1005</v>
      </c>
      <c r="E61" s="20"/>
      <c r="F61" s="20"/>
      <c r="G61" s="37" t="s">
        <v>1006</v>
      </c>
      <c r="H61" s="37" t="str">
        <f>'参照_ショップ'!$E$71</f>
        <v>Limited to 3 per each Lucky Time! Get 20 Chapter Tickets at a great discount!
*The Limited Chapter Tickets will disappear from your Present Box when the event is over.</v>
      </c>
      <c r="I61" s="28"/>
      <c r="J61" s="311" t="str">
        <f>HYPERLINK("https://common-legacy-app-admin.us.ikemen-sengoku.jp/admin/itemtrial/item_edit/"&amp;K61,"Search")</f>
        <v>Search</v>
      </c>
      <c r="K61" s="306">
        <v>13406.0</v>
      </c>
      <c r="L61" s="305"/>
      <c r="M61" s="307" t="s">
        <v>1028</v>
      </c>
      <c r="N61" s="301"/>
      <c r="O61" s="301"/>
      <c r="P61" s="34" t="s">
        <v>67</v>
      </c>
      <c r="Q61" s="34" t="s">
        <v>68</v>
      </c>
      <c r="R61" s="34" t="s">
        <v>69</v>
      </c>
      <c r="S61" s="35">
        <v>46063.0</v>
      </c>
      <c r="T61" s="36"/>
      <c r="U61" s="36"/>
      <c r="V61" s="36"/>
      <c r="W61" s="36"/>
      <c r="X61" s="40"/>
      <c r="Y61" s="47"/>
      <c r="Z61" s="47"/>
    </row>
    <row r="62">
      <c r="A62" s="28">
        <f t="shared" si="1"/>
        <v>60</v>
      </c>
      <c r="B62" s="20"/>
      <c r="C62" s="21"/>
      <c r="D62" s="37" t="s">
        <v>1009</v>
      </c>
      <c r="E62" s="20"/>
      <c r="F62" s="21"/>
      <c r="G62" s="37" t="s">
        <v>1010</v>
      </c>
      <c r="H62" s="37" t="str">
        <f>'参照_ショップ'!F71</f>
        <v>Limited Chapter Ticket</v>
      </c>
      <c r="I62" s="28">
        <f>'参照_ショップ'!G71</f>
        <v>20</v>
      </c>
      <c r="J62" s="301" t="s">
        <v>1011</v>
      </c>
      <c r="K62" s="315">
        <v>163289.0</v>
      </c>
      <c r="L62" s="301">
        <v>3.0</v>
      </c>
      <c r="M62" s="305" t="str">
        <f t="array" ref="M62">VLOOKUP(K62,INDIRECT(J62),L62)</f>
        <v>Limited Chapter Ticket</v>
      </c>
      <c r="N62" s="301">
        <v>4.0</v>
      </c>
      <c r="O62" s="305">
        <f t="array" ref="O62">VLOOKUP(K62,INDIRECT(J62),N62)</f>
        <v>20</v>
      </c>
      <c r="P62" s="34" t="s">
        <v>67</v>
      </c>
      <c r="Q62" s="34" t="s">
        <v>68</v>
      </c>
      <c r="R62" s="34" t="s">
        <v>69</v>
      </c>
      <c r="S62" s="35">
        <v>46063.0</v>
      </c>
      <c r="T62" s="36"/>
      <c r="U62" s="36"/>
      <c r="V62" s="36"/>
      <c r="W62" s="36"/>
      <c r="X62" s="40"/>
      <c r="Y62" s="47"/>
      <c r="Z62" s="47"/>
    </row>
    <row r="63">
      <c r="A63" s="28">
        <f t="shared" si="1"/>
        <v>61</v>
      </c>
      <c r="B63" s="20"/>
      <c r="C63" s="316" t="s">
        <v>72</v>
      </c>
      <c r="D63" s="37" t="s">
        <v>1012</v>
      </c>
      <c r="E63" s="20"/>
      <c r="F63" s="316" t="s">
        <v>74</v>
      </c>
      <c r="G63" s="37" t="s">
        <v>1013</v>
      </c>
      <c r="H63" s="37"/>
      <c r="I63" s="28"/>
      <c r="J63" s="305"/>
      <c r="K63" s="305"/>
      <c r="L63" s="305"/>
      <c r="M63" s="305"/>
      <c r="N63" s="305"/>
      <c r="O63" s="305"/>
      <c r="P63" s="34" t="s">
        <v>67</v>
      </c>
      <c r="Q63" s="34" t="s">
        <v>68</v>
      </c>
      <c r="R63" s="34" t="s">
        <v>69</v>
      </c>
      <c r="S63" s="35">
        <v>46064.0</v>
      </c>
      <c r="T63" s="34" t="s">
        <v>67</v>
      </c>
      <c r="U63" s="28" t="s">
        <v>68</v>
      </c>
      <c r="V63" s="28" t="s">
        <v>69</v>
      </c>
      <c r="W63" s="45" t="s">
        <v>76</v>
      </c>
      <c r="X63" s="40"/>
      <c r="Y63" s="47"/>
      <c r="Z63" s="47"/>
    </row>
    <row r="64">
      <c r="A64" s="28">
        <f t="shared" si="1"/>
        <v>62</v>
      </c>
      <c r="B64" s="20"/>
      <c r="C64" s="20"/>
      <c r="D64" s="37" t="s">
        <v>1014</v>
      </c>
      <c r="E64" s="20"/>
      <c r="F64" s="20"/>
      <c r="G64" s="37" t="s">
        <v>1015</v>
      </c>
      <c r="H64" s="28">
        <f>'参照_ショップ'!$H$71</f>
        <v>1500</v>
      </c>
      <c r="I64" s="28">
        <f>'参照_ショップ'!$H$71</f>
        <v>1500</v>
      </c>
      <c r="J64" s="301" t="s">
        <v>1016</v>
      </c>
      <c r="K64" s="305">
        <v>11889.0</v>
      </c>
      <c r="L64" s="301">
        <v>8.0</v>
      </c>
      <c r="M64" s="305">
        <f t="array" ref="M64">VLOOKUP(K64,INDIRECT(J64),L64)</f>
        <v>1500</v>
      </c>
      <c r="N64" s="301"/>
      <c r="O64" s="305">
        <f>M64</f>
        <v>1500</v>
      </c>
      <c r="P64" s="34" t="s">
        <v>67</v>
      </c>
      <c r="Q64" s="34" t="s">
        <v>68</v>
      </c>
      <c r="R64" s="34" t="s">
        <v>69</v>
      </c>
      <c r="S64" s="35">
        <v>46063.0</v>
      </c>
      <c r="T64" s="36"/>
      <c r="U64" s="36"/>
      <c r="V64" s="36"/>
      <c r="W64" s="36"/>
      <c r="X64" s="40"/>
      <c r="Y64" s="47"/>
      <c r="Z64" s="47"/>
    </row>
    <row r="65">
      <c r="A65" s="28">
        <f t="shared" si="1"/>
        <v>63</v>
      </c>
      <c r="B65" s="20"/>
      <c r="C65" s="20"/>
      <c r="D65" s="47" t="s">
        <v>1017</v>
      </c>
      <c r="E65" s="20"/>
      <c r="F65" s="20"/>
      <c r="G65" s="47" t="s">
        <v>1018</v>
      </c>
      <c r="H65" s="37"/>
      <c r="I65" s="28"/>
      <c r="J65" s="305"/>
      <c r="K65" s="305"/>
      <c r="L65" s="305"/>
      <c r="M65" s="305"/>
      <c r="N65" s="305"/>
      <c r="O65" s="305"/>
      <c r="P65" s="34" t="s">
        <v>67</v>
      </c>
      <c r="Q65" s="34" t="s">
        <v>68</v>
      </c>
      <c r="R65" s="34" t="s">
        <v>69</v>
      </c>
      <c r="S65" s="35">
        <v>46064.0</v>
      </c>
      <c r="T65" s="34" t="s">
        <v>67</v>
      </c>
      <c r="U65" s="28" t="s">
        <v>68</v>
      </c>
      <c r="V65" s="28" t="s">
        <v>69</v>
      </c>
      <c r="W65" s="45" t="s">
        <v>76</v>
      </c>
      <c r="X65" s="40"/>
      <c r="Y65" s="47"/>
      <c r="Z65" s="47"/>
    </row>
    <row r="66">
      <c r="A66" s="28">
        <f t="shared" si="1"/>
        <v>64</v>
      </c>
      <c r="B66" s="20"/>
      <c r="C66" s="20"/>
      <c r="D66" s="47" t="s">
        <v>1019</v>
      </c>
      <c r="E66" s="20"/>
      <c r="F66" s="20"/>
      <c r="G66" s="47" t="s">
        <v>1020</v>
      </c>
      <c r="H66" s="37"/>
      <c r="I66" s="28"/>
      <c r="J66" s="305"/>
      <c r="K66" s="305"/>
      <c r="L66" s="305"/>
      <c r="M66" s="305"/>
      <c r="N66" s="305"/>
      <c r="O66" s="305"/>
      <c r="P66" s="34" t="s">
        <v>67</v>
      </c>
      <c r="Q66" s="34" t="s">
        <v>68</v>
      </c>
      <c r="R66" s="34" t="s">
        <v>69</v>
      </c>
      <c r="S66" s="35">
        <v>46064.0</v>
      </c>
      <c r="T66" s="34" t="s">
        <v>67</v>
      </c>
      <c r="U66" s="28" t="s">
        <v>68</v>
      </c>
      <c r="V66" s="28" t="s">
        <v>69</v>
      </c>
      <c r="W66" s="45" t="s">
        <v>76</v>
      </c>
      <c r="X66" s="40"/>
      <c r="Y66" s="47"/>
      <c r="Z66" s="47"/>
    </row>
    <row r="67">
      <c r="A67" s="28">
        <f t="shared" si="1"/>
        <v>65</v>
      </c>
      <c r="B67" s="21"/>
      <c r="C67" s="21"/>
      <c r="D67" s="47" t="s">
        <v>641</v>
      </c>
      <c r="E67" s="21"/>
      <c r="F67" s="21"/>
      <c r="G67" s="47" t="s">
        <v>1021</v>
      </c>
      <c r="H67" s="47" t="s">
        <v>1025</v>
      </c>
      <c r="I67" s="40"/>
      <c r="J67" s="305"/>
      <c r="K67" s="305"/>
      <c r="L67" s="305"/>
      <c r="M67" s="305"/>
      <c r="N67" s="305"/>
      <c r="O67" s="305"/>
      <c r="P67" s="34" t="s">
        <v>67</v>
      </c>
      <c r="Q67" s="34" t="s">
        <v>68</v>
      </c>
      <c r="R67" s="34" t="s">
        <v>69</v>
      </c>
      <c r="S67" s="35">
        <v>46064.0</v>
      </c>
      <c r="T67" s="34" t="s">
        <v>67</v>
      </c>
      <c r="U67" s="28" t="s">
        <v>68</v>
      </c>
      <c r="V67" s="28" t="s">
        <v>69</v>
      </c>
      <c r="W67" s="45" t="s">
        <v>76</v>
      </c>
      <c r="X67" s="40"/>
      <c r="Y67" s="47"/>
      <c r="Z67" s="47"/>
    </row>
    <row r="68">
      <c r="A68" s="28">
        <f t="shared" si="1"/>
        <v>66</v>
      </c>
      <c r="B68" s="29" t="str">
        <f>'参照_ショップ'!$D$81</f>
        <v>Mystic Matrimony◆Lucky Lesson Set</v>
      </c>
      <c r="C68" s="30" t="s">
        <v>997</v>
      </c>
      <c r="D68" s="31" t="s">
        <v>987</v>
      </c>
      <c r="E68" s="29" t="str">
        <f>'参照_ショップ'!$D$81</f>
        <v>Mystic Matrimony◆Lucky Lesson Set</v>
      </c>
      <c r="F68" s="30" t="s">
        <v>998</v>
      </c>
      <c r="G68" s="31" t="s">
        <v>990</v>
      </c>
      <c r="H68" s="33">
        <f>'参照_ショップ'!$J$81</f>
        <v>46075.45833</v>
      </c>
      <c r="I68" s="304"/>
      <c r="J68" s="301" t="s">
        <v>999</v>
      </c>
      <c r="K68" s="306">
        <v>13407.0</v>
      </c>
      <c r="L68" s="307">
        <v>9.0</v>
      </c>
      <c r="M68" s="308">
        <f t="shared" ref="M68:M71" si="15">VLOOKUP(K68,INDIRECT(J68),L68)</f>
        <v>46075.45833</v>
      </c>
      <c r="N68" s="305"/>
      <c r="O68" s="305"/>
      <c r="P68" s="34" t="s">
        <v>67</v>
      </c>
      <c r="Q68" s="34" t="s">
        <v>68</v>
      </c>
      <c r="R68" s="34" t="s">
        <v>69</v>
      </c>
      <c r="S68" s="35">
        <v>46063.0</v>
      </c>
      <c r="T68" s="36"/>
      <c r="U68" s="36"/>
      <c r="V68" s="36"/>
      <c r="W68" s="36"/>
      <c r="X68" s="37"/>
      <c r="Y68" s="47"/>
      <c r="Z68" s="47"/>
    </row>
    <row r="69">
      <c r="A69" s="28">
        <f t="shared" si="1"/>
        <v>67</v>
      </c>
      <c r="B69" s="20"/>
      <c r="C69" s="20"/>
      <c r="D69" s="31" t="s">
        <v>991</v>
      </c>
      <c r="E69" s="20"/>
      <c r="F69" s="20"/>
      <c r="G69" s="31" t="s">
        <v>992</v>
      </c>
      <c r="H69" s="33">
        <f>'参照_ショップ'!$K$81</f>
        <v>46076.20833</v>
      </c>
      <c r="I69" s="304"/>
      <c r="J69" s="301" t="s">
        <v>999</v>
      </c>
      <c r="K69" s="306">
        <v>13407.0</v>
      </c>
      <c r="L69" s="307">
        <v>10.0</v>
      </c>
      <c r="M69" s="308">
        <f t="shared" si="15"/>
        <v>46076.20833</v>
      </c>
      <c r="N69" s="305"/>
      <c r="O69" s="305"/>
      <c r="P69" s="34" t="s">
        <v>67</v>
      </c>
      <c r="Q69" s="34" t="s">
        <v>68</v>
      </c>
      <c r="R69" s="34" t="s">
        <v>69</v>
      </c>
      <c r="S69" s="35">
        <v>46063.0</v>
      </c>
      <c r="T69" s="36"/>
      <c r="U69" s="36"/>
      <c r="V69" s="36"/>
      <c r="W69" s="36"/>
      <c r="X69" s="40"/>
      <c r="Y69" s="47"/>
      <c r="Z69" s="47"/>
    </row>
    <row r="70">
      <c r="A70" s="28">
        <f t="shared" si="1"/>
        <v>68</v>
      </c>
      <c r="B70" s="20"/>
      <c r="C70" s="20"/>
      <c r="D70" s="31" t="s">
        <v>1000</v>
      </c>
      <c r="E70" s="20"/>
      <c r="F70" s="20"/>
      <c r="G70" s="31" t="s">
        <v>1001</v>
      </c>
      <c r="H70" s="31" t="str">
        <f>'参照_ショップ'!$D$81</f>
        <v>Mystic Matrimony◆Lucky Lesson Set</v>
      </c>
      <c r="I70" s="304"/>
      <c r="J70" s="301" t="s">
        <v>1002</v>
      </c>
      <c r="K70" s="306">
        <v>13407.0</v>
      </c>
      <c r="L70" s="301">
        <v>6.0</v>
      </c>
      <c r="M70" s="305" t="str">
        <f t="shared" si="15"/>
        <v>Mystic Matrimony◆Lucky Lesson Set</v>
      </c>
      <c r="N70" s="305"/>
      <c r="O70" s="305"/>
      <c r="P70" s="34" t="s">
        <v>67</v>
      </c>
      <c r="Q70" s="34" t="s">
        <v>68</v>
      </c>
      <c r="R70" s="34" t="s">
        <v>69</v>
      </c>
      <c r="S70" s="35">
        <v>46063.0</v>
      </c>
      <c r="T70" s="36"/>
      <c r="U70" s="36"/>
      <c r="V70" s="36"/>
      <c r="W70" s="36"/>
      <c r="X70" s="40"/>
      <c r="Y70" s="47"/>
      <c r="Z70" s="47"/>
    </row>
    <row r="71">
      <c r="A71" s="28">
        <f t="shared" si="1"/>
        <v>69</v>
      </c>
      <c r="B71" s="20"/>
      <c r="C71" s="20"/>
      <c r="D71" s="31" t="s">
        <v>1003</v>
      </c>
      <c r="E71" s="20"/>
      <c r="F71" s="20"/>
      <c r="G71" s="31" t="s">
        <v>1004</v>
      </c>
      <c r="H71" s="31">
        <f>'参照_ショップ'!$I$81</f>
        <v>3</v>
      </c>
      <c r="I71" s="304">
        <f>'参照_ショップ'!$I$81</f>
        <v>3</v>
      </c>
      <c r="J71" s="301" t="s">
        <v>999</v>
      </c>
      <c r="K71" s="306">
        <v>13407.0</v>
      </c>
      <c r="L71" s="301">
        <v>3.0</v>
      </c>
      <c r="M71" s="305">
        <f t="shared" si="15"/>
        <v>3</v>
      </c>
      <c r="N71" s="301">
        <v>3.0</v>
      </c>
      <c r="O71" s="305">
        <f t="array" ref="O71">VLOOKUP(K71,INDIRECT(J71),N71)</f>
        <v>3</v>
      </c>
      <c r="P71" s="34" t="s">
        <v>67</v>
      </c>
      <c r="Q71" s="34" t="s">
        <v>68</v>
      </c>
      <c r="R71" s="34" t="s">
        <v>69</v>
      </c>
      <c r="S71" s="35">
        <v>46063.0</v>
      </c>
      <c r="T71" s="36"/>
      <c r="U71" s="36"/>
      <c r="V71" s="36"/>
      <c r="W71" s="36"/>
      <c r="X71" s="40"/>
      <c r="Y71" s="47"/>
      <c r="Z71" s="47"/>
    </row>
    <row r="72">
      <c r="A72" s="28">
        <f t="shared" si="1"/>
        <v>70</v>
      </c>
      <c r="B72" s="20"/>
      <c r="C72" s="20"/>
      <c r="D72" s="31" t="s">
        <v>1005</v>
      </c>
      <c r="E72" s="20"/>
      <c r="F72" s="20"/>
      <c r="G72" s="31" t="s">
        <v>1006</v>
      </c>
      <c r="H72" s="31" t="str">
        <f>'参照_ショップ'!$E$81</f>
        <v>Limited to 3 per each Lucky Time! Chock full of stamina items to help you during Princess Lessons!
*The Shaved Ice will disappear from your Present Box when the event is over.</v>
      </c>
      <c r="I72" s="304"/>
      <c r="J72" s="311" t="str">
        <f>HYPERLINK("https://common-legacy-app-admin.us.ikemen-sengoku.jp/admin/itemtrial/item_edit/"&amp;K72,"Search")</f>
        <v>Search</v>
      </c>
      <c r="K72" s="306">
        <v>13407.0</v>
      </c>
      <c r="L72" s="305"/>
      <c r="M72" s="307" t="s">
        <v>1029</v>
      </c>
      <c r="N72" s="301"/>
      <c r="O72" s="301"/>
      <c r="P72" s="34" t="s">
        <v>67</v>
      </c>
      <c r="Q72" s="34" t="s">
        <v>68</v>
      </c>
      <c r="R72" s="34" t="s">
        <v>69</v>
      </c>
      <c r="S72" s="35">
        <v>46063.0</v>
      </c>
      <c r="T72" s="36"/>
      <c r="U72" s="36"/>
      <c r="V72" s="36"/>
      <c r="W72" s="36"/>
      <c r="X72" s="40"/>
      <c r="Y72" s="47"/>
      <c r="Z72" s="47"/>
    </row>
    <row r="73">
      <c r="A73" s="28">
        <f t="shared" si="1"/>
        <v>71</v>
      </c>
      <c r="B73" s="20"/>
      <c r="C73" s="21"/>
      <c r="D73" s="31" t="s">
        <v>1009</v>
      </c>
      <c r="E73" s="20"/>
      <c r="F73" s="21"/>
      <c r="G73" s="31" t="s">
        <v>1010</v>
      </c>
      <c r="H73" s="31" t="str">
        <f>'参照_ショップ'!F81</f>
        <v>Shaved Ice (+100 Stamina)</v>
      </c>
      <c r="I73" s="304">
        <f>'参照_ショップ'!G81</f>
        <v>12</v>
      </c>
      <c r="J73" s="301" t="s">
        <v>1011</v>
      </c>
      <c r="K73" s="315">
        <v>163290.0</v>
      </c>
      <c r="L73" s="301">
        <v>3.0</v>
      </c>
      <c r="M73" s="305" t="str">
        <f t="array" ref="M73">VLOOKUP(K73,INDIRECT(J73),L73)</f>
        <v>Shaved Ice (+100 Stamina)</v>
      </c>
      <c r="N73" s="301">
        <v>4.0</v>
      </c>
      <c r="O73" s="305">
        <f t="array" ref="O73">VLOOKUP(K73,INDIRECT(J73),N73)</f>
        <v>12</v>
      </c>
      <c r="P73" s="34" t="s">
        <v>67</v>
      </c>
      <c r="Q73" s="34" t="s">
        <v>68</v>
      </c>
      <c r="R73" s="34" t="s">
        <v>69</v>
      </c>
      <c r="S73" s="35">
        <v>46063.0</v>
      </c>
      <c r="T73" s="36"/>
      <c r="U73" s="36"/>
      <c r="V73" s="36"/>
      <c r="W73" s="36"/>
      <c r="X73" s="40"/>
      <c r="Y73" s="47"/>
      <c r="Z73" s="47"/>
    </row>
    <row r="74">
      <c r="A74" s="28">
        <f t="shared" si="1"/>
        <v>72</v>
      </c>
      <c r="B74" s="20"/>
      <c r="C74" s="316" t="s">
        <v>72</v>
      </c>
      <c r="D74" s="31" t="s">
        <v>1012</v>
      </c>
      <c r="E74" s="20"/>
      <c r="F74" s="316" t="s">
        <v>74</v>
      </c>
      <c r="G74" s="31" t="s">
        <v>1013</v>
      </c>
      <c r="H74" s="31"/>
      <c r="I74" s="304"/>
      <c r="J74" s="305"/>
      <c r="K74" s="305"/>
      <c r="L74" s="305"/>
      <c r="M74" s="305"/>
      <c r="N74" s="305"/>
      <c r="O74" s="305"/>
      <c r="P74" s="34" t="s">
        <v>67</v>
      </c>
      <c r="Q74" s="34" t="s">
        <v>68</v>
      </c>
      <c r="R74" s="34" t="s">
        <v>69</v>
      </c>
      <c r="S74" s="35">
        <v>46064.0</v>
      </c>
      <c r="T74" s="34" t="s">
        <v>67</v>
      </c>
      <c r="U74" s="28" t="s">
        <v>68</v>
      </c>
      <c r="V74" s="28" t="s">
        <v>69</v>
      </c>
      <c r="W74" s="45" t="s">
        <v>76</v>
      </c>
      <c r="X74" s="40"/>
      <c r="Y74" s="47"/>
      <c r="Z74" s="47"/>
    </row>
    <row r="75">
      <c r="A75" s="28">
        <f t="shared" si="1"/>
        <v>73</v>
      </c>
      <c r="B75" s="20"/>
      <c r="C75" s="20"/>
      <c r="D75" s="31" t="s">
        <v>1014</v>
      </c>
      <c r="E75" s="20"/>
      <c r="F75" s="20"/>
      <c r="G75" s="31" t="s">
        <v>1015</v>
      </c>
      <c r="H75" s="304">
        <f>'参照_ショップ'!$H$81</f>
        <v>1500</v>
      </c>
      <c r="I75" s="304">
        <f>'参照_ショップ'!$H$81</f>
        <v>1500</v>
      </c>
      <c r="J75" s="301" t="s">
        <v>1016</v>
      </c>
      <c r="K75" s="305">
        <v>11890.0</v>
      </c>
      <c r="L75" s="301">
        <v>8.0</v>
      </c>
      <c r="M75" s="305">
        <f t="array" ref="M75">VLOOKUP(K75,INDIRECT(J75),L75)</f>
        <v>1500</v>
      </c>
      <c r="N75" s="301"/>
      <c r="O75" s="305">
        <f>M75</f>
        <v>1500</v>
      </c>
      <c r="P75" s="34" t="s">
        <v>67</v>
      </c>
      <c r="Q75" s="34" t="s">
        <v>68</v>
      </c>
      <c r="R75" s="34" t="s">
        <v>69</v>
      </c>
      <c r="S75" s="35">
        <v>46063.0</v>
      </c>
      <c r="T75" s="36"/>
      <c r="U75" s="36"/>
      <c r="V75" s="36"/>
      <c r="W75" s="36"/>
      <c r="X75" s="40"/>
      <c r="Y75" s="47"/>
      <c r="Z75" s="47"/>
    </row>
    <row r="76">
      <c r="A76" s="28">
        <f t="shared" si="1"/>
        <v>74</v>
      </c>
      <c r="B76" s="20"/>
      <c r="C76" s="20"/>
      <c r="D76" s="42" t="s">
        <v>1017</v>
      </c>
      <c r="E76" s="20"/>
      <c r="F76" s="20"/>
      <c r="G76" s="42" t="s">
        <v>1018</v>
      </c>
      <c r="H76" s="31"/>
      <c r="I76" s="304"/>
      <c r="J76" s="305"/>
      <c r="K76" s="305"/>
      <c r="L76" s="305"/>
      <c r="M76" s="305"/>
      <c r="N76" s="305"/>
      <c r="O76" s="305"/>
      <c r="P76" s="34" t="s">
        <v>67</v>
      </c>
      <c r="Q76" s="34" t="s">
        <v>68</v>
      </c>
      <c r="R76" s="34" t="s">
        <v>69</v>
      </c>
      <c r="S76" s="35">
        <v>46064.0</v>
      </c>
      <c r="T76" s="34" t="s">
        <v>67</v>
      </c>
      <c r="U76" s="28" t="s">
        <v>68</v>
      </c>
      <c r="V76" s="28" t="s">
        <v>69</v>
      </c>
      <c r="W76" s="45" t="s">
        <v>76</v>
      </c>
      <c r="X76" s="40"/>
      <c r="Y76" s="47"/>
      <c r="Z76" s="47"/>
    </row>
    <row r="77">
      <c r="A77" s="28">
        <f t="shared" si="1"/>
        <v>75</v>
      </c>
      <c r="B77" s="20"/>
      <c r="C77" s="20"/>
      <c r="D77" s="42" t="s">
        <v>1019</v>
      </c>
      <c r="E77" s="20"/>
      <c r="F77" s="20"/>
      <c r="G77" s="42" t="s">
        <v>1020</v>
      </c>
      <c r="H77" s="31"/>
      <c r="I77" s="304"/>
      <c r="J77" s="305"/>
      <c r="K77" s="305"/>
      <c r="L77" s="305"/>
      <c r="M77" s="305"/>
      <c r="N77" s="305"/>
      <c r="O77" s="305"/>
      <c r="P77" s="34" t="s">
        <v>67</v>
      </c>
      <c r="Q77" s="34" t="s">
        <v>68</v>
      </c>
      <c r="R77" s="34" t="s">
        <v>69</v>
      </c>
      <c r="S77" s="35">
        <v>46064.0</v>
      </c>
      <c r="T77" s="34" t="s">
        <v>67</v>
      </c>
      <c r="U77" s="28" t="s">
        <v>68</v>
      </c>
      <c r="V77" s="28" t="s">
        <v>69</v>
      </c>
      <c r="W77" s="45" t="s">
        <v>76</v>
      </c>
      <c r="X77" s="40"/>
      <c r="Y77" s="47"/>
      <c r="Z77" s="47"/>
    </row>
    <row r="78">
      <c r="A78" s="28">
        <f t="shared" si="1"/>
        <v>76</v>
      </c>
      <c r="B78" s="21"/>
      <c r="C78" s="21"/>
      <c r="D78" s="42" t="s">
        <v>641</v>
      </c>
      <c r="E78" s="21"/>
      <c r="F78" s="21"/>
      <c r="G78" s="42" t="s">
        <v>1021</v>
      </c>
      <c r="H78" s="42" t="s">
        <v>1025</v>
      </c>
      <c r="I78" s="318"/>
      <c r="J78" s="305"/>
      <c r="K78" s="305"/>
      <c r="L78" s="305"/>
      <c r="M78" s="305"/>
      <c r="N78" s="305"/>
      <c r="O78" s="305"/>
      <c r="P78" s="34" t="s">
        <v>67</v>
      </c>
      <c r="Q78" s="34" t="s">
        <v>68</v>
      </c>
      <c r="R78" s="34" t="s">
        <v>69</v>
      </c>
      <c r="S78" s="35">
        <v>46064.0</v>
      </c>
      <c r="T78" s="34" t="s">
        <v>67</v>
      </c>
      <c r="U78" s="28" t="s">
        <v>68</v>
      </c>
      <c r="V78" s="28" t="s">
        <v>69</v>
      </c>
      <c r="W78" s="45" t="s">
        <v>76</v>
      </c>
      <c r="X78" s="40"/>
      <c r="Y78" s="47"/>
      <c r="Z78" s="47"/>
    </row>
    <row r="79">
      <c r="A79" s="28">
        <f t="shared" si="1"/>
        <v>77</v>
      </c>
      <c r="B79" s="59" t="str">
        <f>'参照_ショップ'!$D$91</f>
        <v>Mystic Matrimony◆Lucky Story Set</v>
      </c>
      <c r="C79" s="30" t="s">
        <v>997</v>
      </c>
      <c r="D79" s="37" t="s">
        <v>987</v>
      </c>
      <c r="E79" s="59" t="str">
        <f>'参照_ショップ'!$D$91</f>
        <v>Mystic Matrimony◆Lucky Story Set</v>
      </c>
      <c r="F79" s="30" t="s">
        <v>998</v>
      </c>
      <c r="G79" s="37" t="s">
        <v>990</v>
      </c>
      <c r="H79" s="49">
        <f>'参照_ショップ'!$J$91</f>
        <v>46076.70833</v>
      </c>
      <c r="I79" s="28"/>
      <c r="J79" s="301" t="s">
        <v>999</v>
      </c>
      <c r="K79" s="309">
        <v>13408.0</v>
      </c>
      <c r="L79" s="307">
        <v>9.0</v>
      </c>
      <c r="M79" s="308">
        <f t="shared" ref="M79:M82" si="16">VLOOKUP(K79,INDIRECT(J79),L79)</f>
        <v>46076.70833</v>
      </c>
      <c r="N79" s="305"/>
      <c r="O79" s="305"/>
      <c r="P79" s="34" t="s">
        <v>67</v>
      </c>
      <c r="Q79" s="34" t="s">
        <v>68</v>
      </c>
      <c r="R79" s="34" t="s">
        <v>69</v>
      </c>
      <c r="S79" s="35">
        <v>46063.0</v>
      </c>
      <c r="T79" s="36"/>
      <c r="U79" s="36"/>
      <c r="V79" s="36"/>
      <c r="W79" s="36"/>
      <c r="X79" s="37"/>
      <c r="Y79" s="47"/>
      <c r="Z79" s="47"/>
    </row>
    <row r="80">
      <c r="A80" s="28">
        <f t="shared" si="1"/>
        <v>78</v>
      </c>
      <c r="B80" s="20"/>
      <c r="C80" s="20"/>
      <c r="D80" s="37" t="s">
        <v>991</v>
      </c>
      <c r="E80" s="20"/>
      <c r="F80" s="20"/>
      <c r="G80" s="37" t="s">
        <v>992</v>
      </c>
      <c r="H80" s="49">
        <f>'参照_ショップ'!$K$91</f>
        <v>46077.20833</v>
      </c>
      <c r="I80" s="28"/>
      <c r="J80" s="301" t="s">
        <v>999</v>
      </c>
      <c r="K80" s="309">
        <v>13408.0</v>
      </c>
      <c r="L80" s="307">
        <v>10.0</v>
      </c>
      <c r="M80" s="308">
        <f t="shared" si="16"/>
        <v>46077.20833</v>
      </c>
      <c r="N80" s="305"/>
      <c r="O80" s="305"/>
      <c r="P80" s="34" t="s">
        <v>67</v>
      </c>
      <c r="Q80" s="34" t="s">
        <v>68</v>
      </c>
      <c r="R80" s="34" t="s">
        <v>69</v>
      </c>
      <c r="S80" s="35">
        <v>46063.0</v>
      </c>
      <c r="T80" s="36"/>
      <c r="U80" s="36"/>
      <c r="V80" s="36"/>
      <c r="W80" s="36"/>
      <c r="X80" s="40"/>
      <c r="Y80" s="47"/>
      <c r="Z80" s="47"/>
    </row>
    <row r="81">
      <c r="A81" s="28">
        <f t="shared" si="1"/>
        <v>79</v>
      </c>
      <c r="B81" s="20"/>
      <c r="C81" s="20"/>
      <c r="D81" s="37" t="s">
        <v>1000</v>
      </c>
      <c r="E81" s="20"/>
      <c r="F81" s="20"/>
      <c r="G81" s="37" t="s">
        <v>1001</v>
      </c>
      <c r="H81" s="37" t="str">
        <f>'参照_ショップ'!$D$91</f>
        <v>Mystic Matrimony◆Lucky Story Set</v>
      </c>
      <c r="I81" s="28"/>
      <c r="J81" s="301" t="s">
        <v>1002</v>
      </c>
      <c r="K81" s="309">
        <v>13408.0</v>
      </c>
      <c r="L81" s="301">
        <v>6.0</v>
      </c>
      <c r="M81" s="305" t="str">
        <f t="shared" si="16"/>
        <v>Mystic Matrimony◆Lucky Story Set</v>
      </c>
      <c r="N81" s="305"/>
      <c r="O81" s="305"/>
      <c r="P81" s="34" t="s">
        <v>67</v>
      </c>
      <c r="Q81" s="34" t="s">
        <v>68</v>
      </c>
      <c r="R81" s="34" t="s">
        <v>69</v>
      </c>
      <c r="S81" s="35">
        <v>46063.0</v>
      </c>
      <c r="T81" s="36"/>
      <c r="U81" s="36"/>
      <c r="V81" s="36"/>
      <c r="W81" s="36"/>
      <c r="X81" s="40"/>
      <c r="Y81" s="47"/>
      <c r="Z81" s="47"/>
    </row>
    <row r="82">
      <c r="A82" s="28">
        <f t="shared" si="1"/>
        <v>80</v>
      </c>
      <c r="B82" s="20"/>
      <c r="C82" s="20"/>
      <c r="D82" s="37" t="s">
        <v>1003</v>
      </c>
      <c r="E82" s="20"/>
      <c r="F82" s="20"/>
      <c r="G82" s="37" t="s">
        <v>1004</v>
      </c>
      <c r="H82" s="37">
        <f>'参照_ショップ'!$I$91</f>
        <v>3</v>
      </c>
      <c r="I82" s="28">
        <f>'参照_ショップ'!$I$91</f>
        <v>3</v>
      </c>
      <c r="J82" s="301" t="s">
        <v>999</v>
      </c>
      <c r="K82" s="309">
        <v>13408.0</v>
      </c>
      <c r="L82" s="301">
        <v>3.0</v>
      </c>
      <c r="M82" s="305">
        <f t="shared" si="16"/>
        <v>3</v>
      </c>
      <c r="N82" s="301">
        <v>3.0</v>
      </c>
      <c r="O82" s="305">
        <f t="array" ref="O82">VLOOKUP(K82,INDIRECT(J82),N82)</f>
        <v>3</v>
      </c>
      <c r="P82" s="34" t="s">
        <v>67</v>
      </c>
      <c r="Q82" s="34" t="s">
        <v>68</v>
      </c>
      <c r="R82" s="34" t="s">
        <v>69</v>
      </c>
      <c r="S82" s="35">
        <v>46063.0</v>
      </c>
      <c r="T82" s="36"/>
      <c r="U82" s="36"/>
      <c r="V82" s="36"/>
      <c r="W82" s="36"/>
      <c r="X82" s="40"/>
      <c r="Y82" s="47"/>
      <c r="Z82" s="47"/>
    </row>
    <row r="83">
      <c r="A83" s="28">
        <f t="shared" si="1"/>
        <v>81</v>
      </c>
      <c r="B83" s="20"/>
      <c r="C83" s="20"/>
      <c r="D83" s="37" t="s">
        <v>1005</v>
      </c>
      <c r="E83" s="20"/>
      <c r="F83" s="20"/>
      <c r="G83" s="37" t="s">
        <v>1006</v>
      </c>
      <c r="H83" s="37" t="str">
        <f>'参照_ショップ'!$E$91</f>
        <v>Limited to 3 per each Lucky Time! Get 20 Chapter Tickets at a great discount!
*The Limited Chapter Tickets will disappear from your Present Box when the event is over.</v>
      </c>
      <c r="I83" s="28"/>
      <c r="J83" s="311" t="str">
        <f>HYPERLINK("https://common-legacy-app-admin.us.ikemen-sengoku.jp/admin/itemtrial/item_edit/"&amp;K83,"Search")</f>
        <v>Search</v>
      </c>
      <c r="K83" s="309">
        <v>13408.0</v>
      </c>
      <c r="L83" s="305"/>
      <c r="M83" s="307" t="s">
        <v>1028</v>
      </c>
      <c r="N83" s="301"/>
      <c r="O83" s="301"/>
      <c r="P83" s="34" t="s">
        <v>67</v>
      </c>
      <c r="Q83" s="34" t="s">
        <v>68</v>
      </c>
      <c r="R83" s="34" t="s">
        <v>69</v>
      </c>
      <c r="S83" s="35">
        <v>46063.0</v>
      </c>
      <c r="T83" s="36"/>
      <c r="U83" s="36"/>
      <c r="V83" s="36"/>
      <c r="W83" s="36"/>
      <c r="X83" s="40"/>
      <c r="Y83" s="47"/>
      <c r="Z83" s="47"/>
    </row>
    <row r="84">
      <c r="A84" s="28">
        <f t="shared" si="1"/>
        <v>82</v>
      </c>
      <c r="B84" s="20"/>
      <c r="C84" s="21"/>
      <c r="D84" s="37" t="s">
        <v>1009</v>
      </c>
      <c r="E84" s="20"/>
      <c r="F84" s="21"/>
      <c r="G84" s="37" t="s">
        <v>1010</v>
      </c>
      <c r="H84" s="37" t="str">
        <f>'参照_ショップ'!F91</f>
        <v>Limited Chapter Ticket</v>
      </c>
      <c r="I84" s="28">
        <f>'参照_ショップ'!G91</f>
        <v>20</v>
      </c>
      <c r="J84" s="301" t="s">
        <v>1011</v>
      </c>
      <c r="K84" s="315">
        <v>163291.0</v>
      </c>
      <c r="L84" s="301">
        <v>3.0</v>
      </c>
      <c r="M84" s="305" t="str">
        <f t="array" ref="M84">VLOOKUP(K84,INDIRECT(J84),L84)</f>
        <v>Limited Chapter Ticket</v>
      </c>
      <c r="N84" s="301">
        <v>4.0</v>
      </c>
      <c r="O84" s="305">
        <f t="array" ref="O84">VLOOKUP(K84,INDIRECT(J84),N84)</f>
        <v>20</v>
      </c>
      <c r="P84" s="34" t="s">
        <v>67</v>
      </c>
      <c r="Q84" s="34" t="s">
        <v>68</v>
      </c>
      <c r="R84" s="34" t="s">
        <v>69</v>
      </c>
      <c r="S84" s="35">
        <v>46063.0</v>
      </c>
      <c r="T84" s="36"/>
      <c r="U84" s="36"/>
      <c r="V84" s="36"/>
      <c r="W84" s="36"/>
      <c r="X84" s="40"/>
      <c r="Y84" s="47"/>
      <c r="Z84" s="47"/>
    </row>
    <row r="85">
      <c r="A85" s="28">
        <f t="shared" si="1"/>
        <v>83</v>
      </c>
      <c r="B85" s="20"/>
      <c r="C85" s="316" t="s">
        <v>72</v>
      </c>
      <c r="D85" s="37" t="s">
        <v>1012</v>
      </c>
      <c r="E85" s="20"/>
      <c r="F85" s="316" t="s">
        <v>74</v>
      </c>
      <c r="G85" s="37" t="s">
        <v>1013</v>
      </c>
      <c r="H85" s="37"/>
      <c r="I85" s="28"/>
      <c r="J85" s="305"/>
      <c r="K85" s="305"/>
      <c r="L85" s="305"/>
      <c r="M85" s="305"/>
      <c r="N85" s="305"/>
      <c r="O85" s="305"/>
      <c r="P85" s="34" t="s">
        <v>67</v>
      </c>
      <c r="Q85" s="34" t="s">
        <v>68</v>
      </c>
      <c r="R85" s="34" t="s">
        <v>69</v>
      </c>
      <c r="S85" s="35">
        <v>46064.0</v>
      </c>
      <c r="T85" s="34" t="s">
        <v>67</v>
      </c>
      <c r="U85" s="28" t="s">
        <v>68</v>
      </c>
      <c r="V85" s="28" t="s">
        <v>69</v>
      </c>
      <c r="W85" s="45" t="s">
        <v>76</v>
      </c>
      <c r="X85" s="40"/>
      <c r="Y85" s="47"/>
      <c r="Z85" s="47"/>
    </row>
    <row r="86">
      <c r="A86" s="28">
        <f t="shared" si="1"/>
        <v>84</v>
      </c>
      <c r="B86" s="20"/>
      <c r="C86" s="20"/>
      <c r="D86" s="37" t="s">
        <v>1014</v>
      </c>
      <c r="E86" s="20"/>
      <c r="F86" s="20"/>
      <c r="G86" s="37" t="s">
        <v>1015</v>
      </c>
      <c r="H86" s="28">
        <f>'参照_ショップ'!$H$91</f>
        <v>1500</v>
      </c>
      <c r="I86" s="28">
        <f>'参照_ショップ'!$H$91</f>
        <v>1500</v>
      </c>
      <c r="J86" s="301" t="s">
        <v>1016</v>
      </c>
      <c r="K86" s="305">
        <v>11891.0</v>
      </c>
      <c r="L86" s="301">
        <v>8.0</v>
      </c>
      <c r="M86" s="305">
        <f t="array" ref="M86">VLOOKUP(K86,INDIRECT(J86),L86)</f>
        <v>1500</v>
      </c>
      <c r="N86" s="301"/>
      <c r="O86" s="305">
        <f>M86</f>
        <v>1500</v>
      </c>
      <c r="P86" s="34" t="s">
        <v>67</v>
      </c>
      <c r="Q86" s="34" t="s">
        <v>68</v>
      </c>
      <c r="R86" s="34" t="s">
        <v>69</v>
      </c>
      <c r="S86" s="35">
        <v>46063.0</v>
      </c>
      <c r="T86" s="36"/>
      <c r="U86" s="36"/>
      <c r="V86" s="36"/>
      <c r="W86" s="36"/>
      <c r="X86" s="40"/>
      <c r="Y86" s="47"/>
      <c r="Z86" s="47"/>
    </row>
    <row r="87">
      <c r="A87" s="28">
        <f t="shared" si="1"/>
        <v>85</v>
      </c>
      <c r="B87" s="20"/>
      <c r="C87" s="20"/>
      <c r="D87" s="47" t="s">
        <v>1017</v>
      </c>
      <c r="E87" s="20"/>
      <c r="F87" s="20"/>
      <c r="G87" s="47" t="s">
        <v>1018</v>
      </c>
      <c r="H87" s="37"/>
      <c r="I87" s="28"/>
      <c r="J87" s="305"/>
      <c r="K87" s="305"/>
      <c r="L87" s="305"/>
      <c r="M87" s="305"/>
      <c r="N87" s="305"/>
      <c r="O87" s="305"/>
      <c r="P87" s="34" t="s">
        <v>67</v>
      </c>
      <c r="Q87" s="34" t="s">
        <v>68</v>
      </c>
      <c r="R87" s="34" t="s">
        <v>69</v>
      </c>
      <c r="S87" s="35">
        <v>46064.0</v>
      </c>
      <c r="T87" s="34" t="s">
        <v>67</v>
      </c>
      <c r="U87" s="28" t="s">
        <v>68</v>
      </c>
      <c r="V87" s="28" t="s">
        <v>69</v>
      </c>
      <c r="W87" s="45" t="s">
        <v>76</v>
      </c>
      <c r="X87" s="40"/>
      <c r="Y87" s="47"/>
      <c r="Z87" s="47"/>
    </row>
    <row r="88">
      <c r="A88" s="28">
        <f t="shared" si="1"/>
        <v>86</v>
      </c>
      <c r="B88" s="20"/>
      <c r="C88" s="20"/>
      <c r="D88" s="47" t="s">
        <v>1019</v>
      </c>
      <c r="E88" s="20"/>
      <c r="F88" s="20"/>
      <c r="G88" s="47" t="s">
        <v>1020</v>
      </c>
      <c r="H88" s="37"/>
      <c r="I88" s="28"/>
      <c r="J88" s="305"/>
      <c r="K88" s="305"/>
      <c r="L88" s="305"/>
      <c r="M88" s="305"/>
      <c r="N88" s="305"/>
      <c r="O88" s="305"/>
      <c r="P88" s="34" t="s">
        <v>67</v>
      </c>
      <c r="Q88" s="34" t="s">
        <v>68</v>
      </c>
      <c r="R88" s="34" t="s">
        <v>69</v>
      </c>
      <c r="S88" s="35">
        <v>46064.0</v>
      </c>
      <c r="T88" s="34" t="s">
        <v>67</v>
      </c>
      <c r="U88" s="28" t="s">
        <v>68</v>
      </c>
      <c r="V88" s="28" t="s">
        <v>69</v>
      </c>
      <c r="W88" s="45" t="s">
        <v>76</v>
      </c>
      <c r="X88" s="40"/>
      <c r="Y88" s="47"/>
      <c r="Z88" s="47"/>
    </row>
    <row r="89">
      <c r="A89" s="28">
        <f t="shared" si="1"/>
        <v>87</v>
      </c>
      <c r="B89" s="21"/>
      <c r="C89" s="21"/>
      <c r="D89" s="47" t="s">
        <v>641</v>
      </c>
      <c r="E89" s="21"/>
      <c r="F89" s="21"/>
      <c r="G89" s="47" t="s">
        <v>1021</v>
      </c>
      <c r="H89" s="47" t="s">
        <v>1025</v>
      </c>
      <c r="I89" s="40"/>
      <c r="J89" s="305"/>
      <c r="K89" s="305"/>
      <c r="L89" s="305"/>
      <c r="M89" s="305"/>
      <c r="N89" s="305"/>
      <c r="O89" s="305"/>
      <c r="P89" s="34" t="s">
        <v>67</v>
      </c>
      <c r="Q89" s="34" t="s">
        <v>68</v>
      </c>
      <c r="R89" s="34" t="s">
        <v>69</v>
      </c>
      <c r="S89" s="35">
        <v>46064.0</v>
      </c>
      <c r="T89" s="34" t="s">
        <v>67</v>
      </c>
      <c r="U89" s="28" t="s">
        <v>68</v>
      </c>
      <c r="V89" s="28" t="s">
        <v>69</v>
      </c>
      <c r="W89" s="45" t="s">
        <v>76</v>
      </c>
      <c r="X89" s="40"/>
      <c r="Y89" s="47"/>
      <c r="Z89" s="47"/>
    </row>
    <row r="90">
      <c r="A90" s="28">
        <f t="shared" si="1"/>
        <v>88</v>
      </c>
      <c r="B90" s="29" t="str">
        <f>'参照_ショップ'!$D$101</f>
        <v>Mystic Matrimony◆Lucky Story Set</v>
      </c>
      <c r="C90" s="30" t="s">
        <v>997</v>
      </c>
      <c r="D90" s="31" t="s">
        <v>987</v>
      </c>
      <c r="E90" s="29" t="str">
        <f>'参照_ショップ'!$D$101</f>
        <v>Mystic Matrimony◆Lucky Story Set</v>
      </c>
      <c r="F90" s="30" t="s">
        <v>998</v>
      </c>
      <c r="G90" s="31" t="s">
        <v>990</v>
      </c>
      <c r="H90" s="33">
        <f>'参照_ショップ'!$J$101</f>
        <v>46077.70833</v>
      </c>
      <c r="I90" s="304"/>
      <c r="J90" s="301" t="s">
        <v>999</v>
      </c>
      <c r="K90" s="309">
        <v>13409.0</v>
      </c>
      <c r="L90" s="307">
        <v>9.0</v>
      </c>
      <c r="M90" s="308">
        <f t="shared" ref="M90:M93" si="17">VLOOKUP(K90,INDIRECT(J90),L90)</f>
        <v>46077.70833</v>
      </c>
      <c r="N90" s="305"/>
      <c r="O90" s="305"/>
      <c r="P90" s="34" t="s">
        <v>67</v>
      </c>
      <c r="Q90" s="34" t="s">
        <v>68</v>
      </c>
      <c r="R90" s="34" t="s">
        <v>69</v>
      </c>
      <c r="S90" s="35">
        <v>46063.0</v>
      </c>
      <c r="T90" s="36"/>
      <c r="U90" s="36"/>
      <c r="V90" s="36"/>
      <c r="W90" s="36"/>
      <c r="X90" s="37"/>
      <c r="Y90" s="47"/>
      <c r="Z90" s="47"/>
    </row>
    <row r="91">
      <c r="A91" s="28">
        <f t="shared" si="1"/>
        <v>89</v>
      </c>
      <c r="B91" s="20"/>
      <c r="C91" s="20"/>
      <c r="D91" s="31" t="s">
        <v>991</v>
      </c>
      <c r="E91" s="20"/>
      <c r="F91" s="20"/>
      <c r="G91" s="31" t="s">
        <v>992</v>
      </c>
      <c r="H91" s="33">
        <f>'参照_ショップ'!$K$101</f>
        <v>46078.20833</v>
      </c>
      <c r="I91" s="304"/>
      <c r="J91" s="301" t="s">
        <v>999</v>
      </c>
      <c r="K91" s="309">
        <v>13409.0</v>
      </c>
      <c r="L91" s="307">
        <v>10.0</v>
      </c>
      <c r="M91" s="308">
        <f t="shared" si="17"/>
        <v>46078.20833</v>
      </c>
      <c r="N91" s="305"/>
      <c r="O91" s="305"/>
      <c r="P91" s="34" t="s">
        <v>67</v>
      </c>
      <c r="Q91" s="34" t="s">
        <v>68</v>
      </c>
      <c r="R91" s="34" t="s">
        <v>69</v>
      </c>
      <c r="S91" s="35">
        <v>46063.0</v>
      </c>
      <c r="T91" s="36"/>
      <c r="U91" s="36"/>
      <c r="V91" s="36"/>
      <c r="W91" s="36"/>
      <c r="X91" s="40"/>
      <c r="Y91" s="47"/>
      <c r="Z91" s="47"/>
    </row>
    <row r="92">
      <c r="A92" s="28">
        <f t="shared" si="1"/>
        <v>90</v>
      </c>
      <c r="B92" s="20"/>
      <c r="C92" s="20"/>
      <c r="D92" s="31" t="s">
        <v>1000</v>
      </c>
      <c r="E92" s="20"/>
      <c r="F92" s="20"/>
      <c r="G92" s="31" t="s">
        <v>1001</v>
      </c>
      <c r="H92" s="31" t="str">
        <f>'参照_ショップ'!$D$101</f>
        <v>Mystic Matrimony◆Lucky Story Set</v>
      </c>
      <c r="I92" s="304"/>
      <c r="J92" s="301" t="s">
        <v>1002</v>
      </c>
      <c r="K92" s="309">
        <v>13409.0</v>
      </c>
      <c r="L92" s="301">
        <v>6.0</v>
      </c>
      <c r="M92" s="305" t="str">
        <f t="shared" si="17"/>
        <v>Mystic Matrimony◆Lucky Story Set</v>
      </c>
      <c r="N92" s="305"/>
      <c r="O92" s="305"/>
      <c r="P92" s="34" t="s">
        <v>67</v>
      </c>
      <c r="Q92" s="34" t="s">
        <v>68</v>
      </c>
      <c r="R92" s="34" t="s">
        <v>69</v>
      </c>
      <c r="S92" s="35">
        <v>46063.0</v>
      </c>
      <c r="T92" s="36"/>
      <c r="U92" s="36"/>
      <c r="V92" s="36"/>
      <c r="W92" s="36"/>
      <c r="X92" s="40"/>
      <c r="Y92" s="47"/>
      <c r="Z92" s="47"/>
    </row>
    <row r="93">
      <c r="A93" s="28">
        <f t="shared" si="1"/>
        <v>91</v>
      </c>
      <c r="B93" s="20"/>
      <c r="C93" s="20"/>
      <c r="D93" s="31" t="s">
        <v>1003</v>
      </c>
      <c r="E93" s="20"/>
      <c r="F93" s="20"/>
      <c r="G93" s="31" t="s">
        <v>1004</v>
      </c>
      <c r="H93" s="31">
        <f>'参照_ショップ'!$I$101</f>
        <v>3</v>
      </c>
      <c r="I93" s="304">
        <f>'参照_ショップ'!$I$101</f>
        <v>3</v>
      </c>
      <c r="J93" s="301" t="s">
        <v>999</v>
      </c>
      <c r="K93" s="309">
        <v>13409.0</v>
      </c>
      <c r="L93" s="301">
        <v>3.0</v>
      </c>
      <c r="M93" s="305">
        <f t="shared" si="17"/>
        <v>3</v>
      </c>
      <c r="N93" s="301">
        <v>3.0</v>
      </c>
      <c r="O93" s="305">
        <f t="array" ref="O93">VLOOKUP(K93,INDIRECT(J93),N93)</f>
        <v>3</v>
      </c>
      <c r="P93" s="34" t="s">
        <v>67</v>
      </c>
      <c r="Q93" s="34" t="s">
        <v>68</v>
      </c>
      <c r="R93" s="34" t="s">
        <v>69</v>
      </c>
      <c r="S93" s="35">
        <v>46063.0</v>
      </c>
      <c r="T93" s="36"/>
      <c r="U93" s="36"/>
      <c r="V93" s="36"/>
      <c r="W93" s="36"/>
      <c r="X93" s="40"/>
      <c r="Y93" s="47"/>
      <c r="Z93" s="47"/>
    </row>
    <row r="94">
      <c r="A94" s="28">
        <f t="shared" si="1"/>
        <v>92</v>
      </c>
      <c r="B94" s="20"/>
      <c r="C94" s="20"/>
      <c r="D94" s="31" t="s">
        <v>1005</v>
      </c>
      <c r="E94" s="20"/>
      <c r="F94" s="20"/>
      <c r="G94" s="31" t="s">
        <v>1006</v>
      </c>
      <c r="H94" s="31" t="str">
        <f>'参照_ショップ'!$E$101</f>
        <v>Limited to 3 per each Lucky Time! Get 20 Chapter Tickets at a great discount!
*The Limited Chapter Tickets will disappear from your Present Box when the event is over.</v>
      </c>
      <c r="I94" s="304"/>
      <c r="J94" s="311" t="str">
        <f>HYPERLINK("https://common-legacy-app-admin.us.ikemen-sengoku.jp/admin/itemtrial/item_edit/"&amp;K94,"Search")</f>
        <v>Search</v>
      </c>
      <c r="K94" s="309">
        <v>13409.0</v>
      </c>
      <c r="L94" s="305"/>
      <c r="M94" s="307" t="s">
        <v>1028</v>
      </c>
      <c r="N94" s="301"/>
      <c r="O94" s="301"/>
      <c r="P94" s="34" t="s">
        <v>67</v>
      </c>
      <c r="Q94" s="34" t="s">
        <v>68</v>
      </c>
      <c r="R94" s="34" t="s">
        <v>69</v>
      </c>
      <c r="S94" s="35">
        <v>46063.0</v>
      </c>
      <c r="T94" s="36"/>
      <c r="U94" s="36"/>
      <c r="V94" s="36"/>
      <c r="W94" s="36"/>
      <c r="X94" s="40"/>
      <c r="Y94" s="47"/>
      <c r="Z94" s="47"/>
    </row>
    <row r="95">
      <c r="A95" s="28">
        <f t="shared" si="1"/>
        <v>93</v>
      </c>
      <c r="B95" s="20"/>
      <c r="C95" s="21"/>
      <c r="D95" s="31" t="s">
        <v>1009</v>
      </c>
      <c r="E95" s="20"/>
      <c r="F95" s="21"/>
      <c r="G95" s="31" t="s">
        <v>1010</v>
      </c>
      <c r="H95" s="31" t="str">
        <f>'参照_ショップ'!F101</f>
        <v>Limited Chapter Ticket</v>
      </c>
      <c r="I95" s="304">
        <f>'参照_ショップ'!G101</f>
        <v>20</v>
      </c>
      <c r="J95" s="301" t="s">
        <v>1011</v>
      </c>
      <c r="K95" s="315">
        <v>163292.0</v>
      </c>
      <c r="L95" s="301">
        <v>3.0</v>
      </c>
      <c r="M95" s="305" t="str">
        <f t="array" ref="M95">VLOOKUP(K95,INDIRECT(J95),L95)</f>
        <v>Limited Chapter Ticket</v>
      </c>
      <c r="N95" s="301">
        <v>4.0</v>
      </c>
      <c r="O95" s="305">
        <f t="array" ref="O95">VLOOKUP(K95,INDIRECT(J95),N95)</f>
        <v>20</v>
      </c>
      <c r="P95" s="34" t="s">
        <v>67</v>
      </c>
      <c r="Q95" s="34" t="s">
        <v>68</v>
      </c>
      <c r="R95" s="34" t="s">
        <v>69</v>
      </c>
      <c r="S95" s="35">
        <v>46063.0</v>
      </c>
      <c r="T95" s="36"/>
      <c r="U95" s="36"/>
      <c r="V95" s="36"/>
      <c r="W95" s="36"/>
      <c r="X95" s="40"/>
      <c r="Y95" s="47"/>
      <c r="Z95" s="47"/>
    </row>
    <row r="96">
      <c r="A96" s="28">
        <f t="shared" si="1"/>
        <v>94</v>
      </c>
      <c r="B96" s="20"/>
      <c r="C96" s="316" t="s">
        <v>72</v>
      </c>
      <c r="D96" s="31" t="s">
        <v>1012</v>
      </c>
      <c r="E96" s="20"/>
      <c r="F96" s="316" t="s">
        <v>74</v>
      </c>
      <c r="G96" s="31" t="s">
        <v>1013</v>
      </c>
      <c r="H96" s="31"/>
      <c r="I96" s="304"/>
      <c r="J96" s="305"/>
      <c r="K96" s="305"/>
      <c r="L96" s="305"/>
      <c r="M96" s="305"/>
      <c r="N96" s="305"/>
      <c r="O96" s="305"/>
      <c r="P96" s="34" t="s">
        <v>67</v>
      </c>
      <c r="Q96" s="34" t="s">
        <v>68</v>
      </c>
      <c r="R96" s="34" t="s">
        <v>69</v>
      </c>
      <c r="S96" s="35">
        <v>46064.0</v>
      </c>
      <c r="T96" s="34" t="s">
        <v>67</v>
      </c>
      <c r="U96" s="28" t="s">
        <v>68</v>
      </c>
      <c r="V96" s="28" t="s">
        <v>69</v>
      </c>
      <c r="W96" s="45" t="s">
        <v>76</v>
      </c>
      <c r="X96" s="40"/>
      <c r="Y96" s="47"/>
      <c r="Z96" s="47"/>
    </row>
    <row r="97">
      <c r="A97" s="28">
        <f t="shared" si="1"/>
        <v>95</v>
      </c>
      <c r="B97" s="20"/>
      <c r="C97" s="20"/>
      <c r="D97" s="31" t="s">
        <v>1014</v>
      </c>
      <c r="E97" s="20"/>
      <c r="F97" s="20"/>
      <c r="G97" s="31" t="s">
        <v>1015</v>
      </c>
      <c r="H97" s="304">
        <f>'参照_ショップ'!$H$101</f>
        <v>1500</v>
      </c>
      <c r="I97" s="304">
        <f>'参照_ショップ'!$H$101</f>
        <v>1500</v>
      </c>
      <c r="J97" s="301" t="s">
        <v>1016</v>
      </c>
      <c r="K97" s="305">
        <v>11892.0</v>
      </c>
      <c r="L97" s="301">
        <v>8.0</v>
      </c>
      <c r="M97" s="305">
        <f t="array" ref="M97">VLOOKUP(K97,INDIRECT(J97),L97)</f>
        <v>1500</v>
      </c>
      <c r="N97" s="301"/>
      <c r="O97" s="305">
        <f>M97</f>
        <v>1500</v>
      </c>
      <c r="P97" s="34" t="s">
        <v>67</v>
      </c>
      <c r="Q97" s="34" t="s">
        <v>68</v>
      </c>
      <c r="R97" s="34" t="s">
        <v>69</v>
      </c>
      <c r="S97" s="35">
        <v>46063.0</v>
      </c>
      <c r="T97" s="36"/>
      <c r="U97" s="36"/>
      <c r="V97" s="36"/>
      <c r="W97" s="36"/>
      <c r="X97" s="40"/>
      <c r="Y97" s="47"/>
      <c r="Z97" s="47"/>
    </row>
    <row r="98">
      <c r="A98" s="28">
        <f t="shared" si="1"/>
        <v>96</v>
      </c>
      <c r="B98" s="20"/>
      <c r="C98" s="20"/>
      <c r="D98" s="42" t="s">
        <v>1017</v>
      </c>
      <c r="E98" s="20"/>
      <c r="F98" s="20"/>
      <c r="G98" s="42" t="s">
        <v>1018</v>
      </c>
      <c r="H98" s="31"/>
      <c r="I98" s="304"/>
      <c r="J98" s="305"/>
      <c r="K98" s="305"/>
      <c r="L98" s="305"/>
      <c r="M98" s="305"/>
      <c r="N98" s="305"/>
      <c r="O98" s="305"/>
      <c r="P98" s="34" t="s">
        <v>67</v>
      </c>
      <c r="Q98" s="34" t="s">
        <v>68</v>
      </c>
      <c r="R98" s="34" t="s">
        <v>69</v>
      </c>
      <c r="S98" s="35">
        <v>46064.0</v>
      </c>
      <c r="T98" s="34" t="s">
        <v>67</v>
      </c>
      <c r="U98" s="28" t="s">
        <v>68</v>
      </c>
      <c r="V98" s="28" t="s">
        <v>69</v>
      </c>
      <c r="W98" s="45" t="s">
        <v>76</v>
      </c>
      <c r="X98" s="40"/>
      <c r="Y98" s="47"/>
      <c r="Z98" s="47"/>
    </row>
    <row r="99">
      <c r="A99" s="28">
        <f t="shared" si="1"/>
        <v>97</v>
      </c>
      <c r="B99" s="20"/>
      <c r="C99" s="20"/>
      <c r="D99" s="42" t="s">
        <v>1019</v>
      </c>
      <c r="E99" s="20"/>
      <c r="F99" s="20"/>
      <c r="G99" s="42" t="s">
        <v>1020</v>
      </c>
      <c r="H99" s="31"/>
      <c r="I99" s="304"/>
      <c r="J99" s="305"/>
      <c r="K99" s="305"/>
      <c r="L99" s="305"/>
      <c r="M99" s="305"/>
      <c r="N99" s="305"/>
      <c r="O99" s="305"/>
      <c r="P99" s="34" t="s">
        <v>67</v>
      </c>
      <c r="Q99" s="34" t="s">
        <v>68</v>
      </c>
      <c r="R99" s="34" t="s">
        <v>69</v>
      </c>
      <c r="S99" s="35">
        <v>46064.0</v>
      </c>
      <c r="T99" s="34" t="s">
        <v>67</v>
      </c>
      <c r="U99" s="28" t="s">
        <v>68</v>
      </c>
      <c r="V99" s="28" t="s">
        <v>69</v>
      </c>
      <c r="W99" s="45" t="s">
        <v>76</v>
      </c>
      <c r="X99" s="40"/>
      <c r="Y99" s="47"/>
      <c r="Z99" s="47"/>
    </row>
    <row r="100">
      <c r="A100" s="28">
        <f t="shared" si="1"/>
        <v>98</v>
      </c>
      <c r="B100" s="21"/>
      <c r="C100" s="21"/>
      <c r="D100" s="42" t="s">
        <v>641</v>
      </c>
      <c r="E100" s="21"/>
      <c r="F100" s="21"/>
      <c r="G100" s="42" t="s">
        <v>1021</v>
      </c>
      <c r="H100" s="42" t="s">
        <v>1025</v>
      </c>
      <c r="I100" s="318"/>
      <c r="J100" s="305"/>
      <c r="K100" s="305"/>
      <c r="L100" s="305"/>
      <c r="M100" s="305"/>
      <c r="N100" s="305"/>
      <c r="O100" s="305"/>
      <c r="P100" s="34" t="s">
        <v>67</v>
      </c>
      <c r="Q100" s="34" t="s">
        <v>68</v>
      </c>
      <c r="R100" s="34" t="s">
        <v>69</v>
      </c>
      <c r="S100" s="35">
        <v>46064.0</v>
      </c>
      <c r="T100" s="34" t="s">
        <v>67</v>
      </c>
      <c r="U100" s="28" t="s">
        <v>68</v>
      </c>
      <c r="V100" s="28" t="s">
        <v>69</v>
      </c>
      <c r="W100" s="45" t="s">
        <v>76</v>
      </c>
      <c r="X100" s="40"/>
      <c r="Y100" s="47"/>
      <c r="Z100" s="47"/>
    </row>
    <row r="101">
      <c r="A101" s="28">
        <f t="shared" si="1"/>
        <v>99</v>
      </c>
      <c r="B101" s="59" t="str">
        <f>'参照_ショップ'!$D$111</f>
        <v>Mystic Matrimony◆Lucky Lesson Set</v>
      </c>
      <c r="C101" s="30" t="s">
        <v>997</v>
      </c>
      <c r="D101" s="37" t="s">
        <v>987</v>
      </c>
      <c r="E101" s="59" t="str">
        <f>'参照_ショップ'!$D$111</f>
        <v>Mystic Matrimony◆Lucky Lesson Set</v>
      </c>
      <c r="F101" s="30" t="s">
        <v>998</v>
      </c>
      <c r="G101" s="37" t="s">
        <v>990</v>
      </c>
      <c r="H101" s="49">
        <f>'参照_ショップ'!$J$111</f>
        <v>46078.45833</v>
      </c>
      <c r="I101" s="28"/>
      <c r="J101" s="301" t="s">
        <v>999</v>
      </c>
      <c r="K101" s="309">
        <v>13410.0</v>
      </c>
      <c r="L101" s="307">
        <v>9.0</v>
      </c>
      <c r="M101" s="308">
        <f t="shared" ref="M101:M104" si="18">VLOOKUP(K101,INDIRECT(J101),L101)</f>
        <v>46078.45833</v>
      </c>
      <c r="N101" s="305"/>
      <c r="O101" s="305"/>
      <c r="P101" s="34" t="s">
        <v>67</v>
      </c>
      <c r="Q101" s="34" t="s">
        <v>68</v>
      </c>
      <c r="R101" s="34" t="s">
        <v>69</v>
      </c>
      <c r="S101" s="35">
        <v>46063.0</v>
      </c>
      <c r="T101" s="36"/>
      <c r="U101" s="36"/>
      <c r="V101" s="36"/>
      <c r="W101" s="36"/>
      <c r="X101" s="37"/>
      <c r="Y101" s="47"/>
      <c r="Z101" s="47"/>
    </row>
    <row r="102">
      <c r="A102" s="28">
        <f t="shared" si="1"/>
        <v>100</v>
      </c>
      <c r="B102" s="20"/>
      <c r="C102" s="20"/>
      <c r="D102" s="37" t="s">
        <v>991</v>
      </c>
      <c r="E102" s="20"/>
      <c r="F102" s="20"/>
      <c r="G102" s="37" t="s">
        <v>992</v>
      </c>
      <c r="H102" s="49">
        <f>'参照_ショップ'!$K$111</f>
        <v>46078.95833</v>
      </c>
      <c r="I102" s="28"/>
      <c r="J102" s="301" t="s">
        <v>999</v>
      </c>
      <c r="K102" s="309">
        <v>13410.0</v>
      </c>
      <c r="L102" s="307">
        <v>10.0</v>
      </c>
      <c r="M102" s="308">
        <f t="shared" si="18"/>
        <v>46078.95833</v>
      </c>
      <c r="N102" s="305"/>
      <c r="O102" s="305"/>
      <c r="P102" s="34" t="s">
        <v>67</v>
      </c>
      <c r="Q102" s="34" t="s">
        <v>68</v>
      </c>
      <c r="R102" s="34" t="s">
        <v>69</v>
      </c>
      <c r="S102" s="35">
        <v>46063.0</v>
      </c>
      <c r="T102" s="36"/>
      <c r="U102" s="36"/>
      <c r="V102" s="36"/>
      <c r="W102" s="36"/>
      <c r="X102" s="40"/>
      <c r="Y102" s="47"/>
      <c r="Z102" s="47"/>
    </row>
    <row r="103">
      <c r="A103" s="28">
        <f t="shared" si="1"/>
        <v>101</v>
      </c>
      <c r="B103" s="20"/>
      <c r="C103" s="20"/>
      <c r="D103" s="37" t="s">
        <v>1000</v>
      </c>
      <c r="E103" s="20"/>
      <c r="F103" s="20"/>
      <c r="G103" s="37" t="s">
        <v>1001</v>
      </c>
      <c r="H103" s="37" t="str">
        <f>'参照_ショップ'!$D$111</f>
        <v>Mystic Matrimony◆Lucky Lesson Set</v>
      </c>
      <c r="I103" s="28"/>
      <c r="J103" s="301" t="s">
        <v>1002</v>
      </c>
      <c r="K103" s="309">
        <v>13410.0</v>
      </c>
      <c r="L103" s="301">
        <v>6.0</v>
      </c>
      <c r="M103" s="305" t="str">
        <f t="shared" si="18"/>
        <v>Mystic Matrimony◆Lucky Lesson Set</v>
      </c>
      <c r="N103" s="305"/>
      <c r="O103" s="305"/>
      <c r="P103" s="34" t="s">
        <v>67</v>
      </c>
      <c r="Q103" s="34" t="s">
        <v>68</v>
      </c>
      <c r="R103" s="34" t="s">
        <v>69</v>
      </c>
      <c r="S103" s="35">
        <v>46063.0</v>
      </c>
      <c r="T103" s="36"/>
      <c r="U103" s="36"/>
      <c r="V103" s="36"/>
      <c r="W103" s="36"/>
      <c r="X103" s="40"/>
      <c r="Y103" s="47"/>
      <c r="Z103" s="47"/>
    </row>
    <row r="104">
      <c r="A104" s="28">
        <f t="shared" si="1"/>
        <v>102</v>
      </c>
      <c r="B104" s="20"/>
      <c r="C104" s="20"/>
      <c r="D104" s="37" t="s">
        <v>1003</v>
      </c>
      <c r="E104" s="20"/>
      <c r="F104" s="20"/>
      <c r="G104" s="37" t="s">
        <v>1004</v>
      </c>
      <c r="H104" s="37">
        <f>'参照_ショップ'!$I$111</f>
        <v>3</v>
      </c>
      <c r="I104" s="28">
        <f>'参照_ショップ'!$I$111</f>
        <v>3</v>
      </c>
      <c r="J104" s="301" t="s">
        <v>999</v>
      </c>
      <c r="K104" s="309">
        <v>13410.0</v>
      </c>
      <c r="L104" s="301">
        <v>3.0</v>
      </c>
      <c r="M104" s="305">
        <f t="shared" si="18"/>
        <v>3</v>
      </c>
      <c r="N104" s="301">
        <v>3.0</v>
      </c>
      <c r="O104" s="305">
        <f t="array" ref="O104">VLOOKUP(K104,INDIRECT(J104),N104)</f>
        <v>3</v>
      </c>
      <c r="P104" s="34" t="s">
        <v>67</v>
      </c>
      <c r="Q104" s="34" t="s">
        <v>68</v>
      </c>
      <c r="R104" s="34" t="s">
        <v>69</v>
      </c>
      <c r="S104" s="35">
        <v>46063.0</v>
      </c>
      <c r="T104" s="36"/>
      <c r="U104" s="36"/>
      <c r="V104" s="36"/>
      <c r="W104" s="36"/>
      <c r="X104" s="40"/>
      <c r="Y104" s="47"/>
      <c r="Z104" s="47"/>
    </row>
    <row r="105">
      <c r="A105" s="28">
        <f t="shared" si="1"/>
        <v>103</v>
      </c>
      <c r="B105" s="20"/>
      <c r="C105" s="20"/>
      <c r="D105" s="37" t="s">
        <v>1005</v>
      </c>
      <c r="E105" s="20"/>
      <c r="F105" s="20"/>
      <c r="G105" s="37" t="s">
        <v>1006</v>
      </c>
      <c r="H105" s="37" t="str">
        <f>'参照_ショップ'!$E$111</f>
        <v>Limited to 3 per each Lucky Time! Chock full of stamina items to help you during Princess Lessons!
*The Shaved Ice will disappear from your Present Box when the event is over.</v>
      </c>
      <c r="I105" s="28"/>
      <c r="J105" s="311" t="str">
        <f>HYPERLINK("https://common-legacy-app-admin.us.ikemen-sengoku.jp/admin/itemtrial/item_edit/"&amp;K105,"Search")</f>
        <v>Search</v>
      </c>
      <c r="K105" s="309">
        <v>13410.0</v>
      </c>
      <c r="L105" s="305"/>
      <c r="M105" s="307" t="s">
        <v>1029</v>
      </c>
      <c r="N105" s="301"/>
      <c r="O105" s="301"/>
      <c r="P105" s="34" t="s">
        <v>67</v>
      </c>
      <c r="Q105" s="34" t="s">
        <v>68</v>
      </c>
      <c r="R105" s="34" t="s">
        <v>69</v>
      </c>
      <c r="S105" s="35">
        <v>46063.0</v>
      </c>
      <c r="T105" s="36"/>
      <c r="U105" s="36"/>
      <c r="V105" s="36"/>
      <c r="W105" s="36"/>
      <c r="X105" s="40"/>
      <c r="Y105" s="47"/>
      <c r="Z105" s="47"/>
    </row>
    <row r="106">
      <c r="A106" s="28">
        <f t="shared" si="1"/>
        <v>104</v>
      </c>
      <c r="B106" s="20"/>
      <c r="C106" s="21"/>
      <c r="D106" s="37" t="s">
        <v>1009</v>
      </c>
      <c r="E106" s="20"/>
      <c r="F106" s="21"/>
      <c r="G106" s="37" t="s">
        <v>1010</v>
      </c>
      <c r="H106" s="37" t="str">
        <f>'参照_ショップ'!F111</f>
        <v>Shaved Ice (+100 Stamina)</v>
      </c>
      <c r="I106" s="28">
        <f>'参照_ショップ'!G111</f>
        <v>12</v>
      </c>
      <c r="J106" s="301" t="s">
        <v>1011</v>
      </c>
      <c r="K106" s="315">
        <v>163293.0</v>
      </c>
      <c r="L106" s="301">
        <v>3.0</v>
      </c>
      <c r="M106" s="305" t="str">
        <f t="array" ref="M106">VLOOKUP(K106,INDIRECT(J106),L106)</f>
        <v>Shaved Ice (+100 Stamina)</v>
      </c>
      <c r="N106" s="301">
        <v>4.0</v>
      </c>
      <c r="O106" s="305">
        <f t="array" ref="O106">VLOOKUP(K106,INDIRECT(J106),N106)</f>
        <v>12</v>
      </c>
      <c r="P106" s="34" t="s">
        <v>67</v>
      </c>
      <c r="Q106" s="34" t="s">
        <v>68</v>
      </c>
      <c r="R106" s="34" t="s">
        <v>69</v>
      </c>
      <c r="S106" s="35">
        <v>46063.0</v>
      </c>
      <c r="T106" s="36"/>
      <c r="U106" s="36"/>
      <c r="V106" s="36"/>
      <c r="W106" s="36"/>
      <c r="X106" s="40"/>
      <c r="Y106" s="47"/>
      <c r="Z106" s="47"/>
    </row>
    <row r="107">
      <c r="A107" s="28">
        <f t="shared" si="1"/>
        <v>105</v>
      </c>
      <c r="B107" s="20"/>
      <c r="C107" s="316" t="s">
        <v>72</v>
      </c>
      <c r="D107" s="37" t="s">
        <v>1012</v>
      </c>
      <c r="E107" s="20"/>
      <c r="F107" s="316" t="s">
        <v>74</v>
      </c>
      <c r="G107" s="37" t="s">
        <v>1013</v>
      </c>
      <c r="H107" s="37"/>
      <c r="I107" s="28"/>
      <c r="J107" s="305"/>
      <c r="K107" s="305"/>
      <c r="L107" s="305"/>
      <c r="M107" s="305"/>
      <c r="N107" s="305"/>
      <c r="O107" s="305"/>
      <c r="P107" s="34" t="s">
        <v>67</v>
      </c>
      <c r="Q107" s="34" t="s">
        <v>68</v>
      </c>
      <c r="R107" s="34" t="s">
        <v>69</v>
      </c>
      <c r="S107" s="35">
        <v>46064.0</v>
      </c>
      <c r="T107" s="34" t="s">
        <v>67</v>
      </c>
      <c r="U107" s="28" t="s">
        <v>68</v>
      </c>
      <c r="V107" s="28" t="s">
        <v>69</v>
      </c>
      <c r="W107" s="45" t="s">
        <v>76</v>
      </c>
      <c r="X107" s="40"/>
      <c r="Y107" s="47"/>
      <c r="Z107" s="47"/>
    </row>
    <row r="108">
      <c r="A108" s="28">
        <f t="shared" si="1"/>
        <v>106</v>
      </c>
      <c r="B108" s="20"/>
      <c r="C108" s="20"/>
      <c r="D108" s="37" t="s">
        <v>1014</v>
      </c>
      <c r="E108" s="20"/>
      <c r="F108" s="20"/>
      <c r="G108" s="37" t="s">
        <v>1015</v>
      </c>
      <c r="H108" s="28">
        <f>'参照_ショップ'!$H$111</f>
        <v>1500</v>
      </c>
      <c r="I108" s="28">
        <f>'参照_ショップ'!$H$111</f>
        <v>1500</v>
      </c>
      <c r="J108" s="301" t="s">
        <v>1016</v>
      </c>
      <c r="K108" s="305">
        <v>11893.0</v>
      </c>
      <c r="L108" s="301">
        <v>8.0</v>
      </c>
      <c r="M108" s="305">
        <f t="array" ref="M108">VLOOKUP(K108,INDIRECT(J108),L108)</f>
        <v>1500</v>
      </c>
      <c r="N108" s="301"/>
      <c r="O108" s="305">
        <f>M108</f>
        <v>1500</v>
      </c>
      <c r="P108" s="34" t="s">
        <v>67</v>
      </c>
      <c r="Q108" s="34" t="s">
        <v>68</v>
      </c>
      <c r="R108" s="34" t="s">
        <v>69</v>
      </c>
      <c r="S108" s="35">
        <v>46063.0</v>
      </c>
      <c r="T108" s="36"/>
      <c r="U108" s="36"/>
      <c r="V108" s="36"/>
      <c r="W108" s="36"/>
      <c r="X108" s="40"/>
      <c r="Y108" s="47"/>
      <c r="Z108" s="47"/>
    </row>
    <row r="109">
      <c r="A109" s="28">
        <f t="shared" si="1"/>
        <v>107</v>
      </c>
      <c r="B109" s="20"/>
      <c r="C109" s="20"/>
      <c r="D109" s="47" t="s">
        <v>1017</v>
      </c>
      <c r="E109" s="20"/>
      <c r="F109" s="20"/>
      <c r="G109" s="47" t="s">
        <v>1018</v>
      </c>
      <c r="H109" s="37"/>
      <c r="I109" s="28"/>
      <c r="J109" s="305"/>
      <c r="K109" s="305"/>
      <c r="L109" s="305"/>
      <c r="M109" s="305"/>
      <c r="N109" s="305"/>
      <c r="O109" s="305"/>
      <c r="P109" s="34" t="s">
        <v>67</v>
      </c>
      <c r="Q109" s="34" t="s">
        <v>68</v>
      </c>
      <c r="R109" s="34" t="s">
        <v>69</v>
      </c>
      <c r="S109" s="35">
        <v>46064.0</v>
      </c>
      <c r="T109" s="34" t="s">
        <v>67</v>
      </c>
      <c r="U109" s="28" t="s">
        <v>68</v>
      </c>
      <c r="V109" s="28" t="s">
        <v>69</v>
      </c>
      <c r="W109" s="45" t="s">
        <v>76</v>
      </c>
      <c r="X109" s="40"/>
      <c r="Y109" s="47"/>
      <c r="Z109" s="47"/>
    </row>
    <row r="110">
      <c r="A110" s="28">
        <f t="shared" si="1"/>
        <v>108</v>
      </c>
      <c r="B110" s="20"/>
      <c r="C110" s="20"/>
      <c r="D110" s="47" t="s">
        <v>1019</v>
      </c>
      <c r="E110" s="20"/>
      <c r="F110" s="20"/>
      <c r="G110" s="47" t="s">
        <v>1020</v>
      </c>
      <c r="H110" s="37"/>
      <c r="I110" s="28"/>
      <c r="J110" s="305"/>
      <c r="K110" s="305"/>
      <c r="L110" s="305"/>
      <c r="M110" s="305"/>
      <c r="N110" s="305"/>
      <c r="O110" s="305"/>
      <c r="P110" s="34" t="s">
        <v>67</v>
      </c>
      <c r="Q110" s="34" t="s">
        <v>68</v>
      </c>
      <c r="R110" s="34" t="s">
        <v>69</v>
      </c>
      <c r="S110" s="35">
        <v>46064.0</v>
      </c>
      <c r="T110" s="34" t="s">
        <v>67</v>
      </c>
      <c r="U110" s="28" t="s">
        <v>68</v>
      </c>
      <c r="V110" s="28" t="s">
        <v>69</v>
      </c>
      <c r="W110" s="45" t="s">
        <v>76</v>
      </c>
      <c r="X110" s="40"/>
      <c r="Y110" s="47"/>
      <c r="Z110" s="47"/>
    </row>
    <row r="111">
      <c r="A111" s="28">
        <f t="shared" si="1"/>
        <v>109</v>
      </c>
      <c r="B111" s="21"/>
      <c r="C111" s="21"/>
      <c r="D111" s="47" t="s">
        <v>641</v>
      </c>
      <c r="E111" s="21"/>
      <c r="F111" s="21"/>
      <c r="G111" s="47" t="s">
        <v>1021</v>
      </c>
      <c r="H111" s="47" t="s">
        <v>1025</v>
      </c>
      <c r="I111" s="40"/>
      <c r="J111" s="305"/>
      <c r="K111" s="305"/>
      <c r="L111" s="305"/>
      <c r="M111" s="305"/>
      <c r="N111" s="305"/>
      <c r="O111" s="305"/>
      <c r="P111" s="34" t="s">
        <v>67</v>
      </c>
      <c r="Q111" s="34" t="s">
        <v>68</v>
      </c>
      <c r="R111" s="34" t="s">
        <v>69</v>
      </c>
      <c r="S111" s="35">
        <v>46064.0</v>
      </c>
      <c r="T111" s="34" t="s">
        <v>67</v>
      </c>
      <c r="U111" s="28" t="s">
        <v>68</v>
      </c>
      <c r="V111" s="28" t="s">
        <v>69</v>
      </c>
      <c r="W111" s="45" t="s">
        <v>76</v>
      </c>
      <c r="X111" s="40"/>
      <c r="Y111" s="47"/>
      <c r="Z111" s="47"/>
    </row>
    <row r="112">
      <c r="A112" s="28">
        <f t="shared" si="1"/>
        <v>110</v>
      </c>
      <c r="B112" s="29" t="str">
        <f>'参照_ショップ'!$D$121</f>
        <v>Mystic Matrimony◆Lucky Story Set</v>
      </c>
      <c r="C112" s="30" t="s">
        <v>997</v>
      </c>
      <c r="D112" s="31" t="s">
        <v>987</v>
      </c>
      <c r="E112" s="29" t="str">
        <f>'参照_ショップ'!$D$121</f>
        <v>Mystic Matrimony◆Lucky Story Set</v>
      </c>
      <c r="F112" s="30" t="s">
        <v>998</v>
      </c>
      <c r="G112" s="31" t="s">
        <v>990</v>
      </c>
      <c r="H112" s="33">
        <f>'参照_ショップ'!$J$121</f>
        <v>46080.20833</v>
      </c>
      <c r="I112" s="304"/>
      <c r="J112" s="301" t="s">
        <v>999</v>
      </c>
      <c r="K112" s="309">
        <v>13411.0</v>
      </c>
      <c r="L112" s="307">
        <v>9.0</v>
      </c>
      <c r="M112" s="308">
        <f t="shared" ref="M112:M115" si="19">VLOOKUP(K112,INDIRECT(J112),L112)</f>
        <v>46080.20833</v>
      </c>
      <c r="N112" s="305"/>
      <c r="O112" s="305"/>
      <c r="P112" s="34" t="s">
        <v>67</v>
      </c>
      <c r="Q112" s="34" t="s">
        <v>68</v>
      </c>
      <c r="R112" s="34" t="s">
        <v>69</v>
      </c>
      <c r="S112" s="319">
        <v>46064.0</v>
      </c>
      <c r="T112" s="36"/>
      <c r="U112" s="36"/>
      <c r="V112" s="36"/>
      <c r="W112" s="36"/>
      <c r="X112" s="37"/>
      <c r="Y112" s="95" t="s">
        <v>1030</v>
      </c>
      <c r="Z112" s="47"/>
    </row>
    <row r="113">
      <c r="A113" s="28">
        <f t="shared" si="1"/>
        <v>111</v>
      </c>
      <c r="B113" s="20"/>
      <c r="C113" s="20"/>
      <c r="D113" s="31" t="s">
        <v>991</v>
      </c>
      <c r="E113" s="20"/>
      <c r="F113" s="20"/>
      <c r="G113" s="31" t="s">
        <v>992</v>
      </c>
      <c r="H113" s="33">
        <f>'参照_ショップ'!$K$121</f>
        <v>46080.70833</v>
      </c>
      <c r="I113" s="304"/>
      <c r="J113" s="301" t="s">
        <v>999</v>
      </c>
      <c r="K113" s="309">
        <v>13411.0</v>
      </c>
      <c r="L113" s="307">
        <v>10.0</v>
      </c>
      <c r="M113" s="308">
        <f t="shared" si="19"/>
        <v>46080.70833</v>
      </c>
      <c r="N113" s="305"/>
      <c r="O113" s="305"/>
      <c r="P113" s="34" t="s">
        <v>67</v>
      </c>
      <c r="Q113" s="34" t="s">
        <v>68</v>
      </c>
      <c r="R113" s="34" t="s">
        <v>69</v>
      </c>
      <c r="S113" s="319">
        <v>46064.0</v>
      </c>
      <c r="T113" s="36"/>
      <c r="U113" s="36"/>
      <c r="V113" s="36"/>
      <c r="W113" s="36"/>
      <c r="X113" s="40"/>
      <c r="Y113" s="95" t="s">
        <v>1030</v>
      </c>
      <c r="Z113" s="47"/>
    </row>
    <row r="114">
      <c r="A114" s="28">
        <f t="shared" si="1"/>
        <v>112</v>
      </c>
      <c r="B114" s="20"/>
      <c r="C114" s="20"/>
      <c r="D114" s="31" t="s">
        <v>1000</v>
      </c>
      <c r="E114" s="20"/>
      <c r="F114" s="20"/>
      <c r="G114" s="31" t="s">
        <v>1001</v>
      </c>
      <c r="H114" s="31" t="str">
        <f>'参照_ショップ'!$D$121</f>
        <v>Mystic Matrimony◆Lucky Story Set</v>
      </c>
      <c r="I114" s="304"/>
      <c r="J114" s="301" t="s">
        <v>1002</v>
      </c>
      <c r="K114" s="309">
        <v>13411.0</v>
      </c>
      <c r="L114" s="301">
        <v>6.0</v>
      </c>
      <c r="M114" s="305" t="str">
        <f t="shared" si="19"/>
        <v>Mystic Matrimony◆Lucky Story Set</v>
      </c>
      <c r="N114" s="305"/>
      <c r="O114" s="305"/>
      <c r="P114" s="34" t="s">
        <v>67</v>
      </c>
      <c r="Q114" s="34" t="s">
        <v>68</v>
      </c>
      <c r="R114" s="34" t="s">
        <v>69</v>
      </c>
      <c r="S114" s="35">
        <v>46063.0</v>
      </c>
      <c r="T114" s="36"/>
      <c r="U114" s="36"/>
      <c r="V114" s="36"/>
      <c r="W114" s="36"/>
      <c r="X114" s="40"/>
      <c r="Y114" s="47"/>
      <c r="Z114" s="47"/>
    </row>
    <row r="115">
      <c r="A115" s="28">
        <f t="shared" si="1"/>
        <v>113</v>
      </c>
      <c r="B115" s="20"/>
      <c r="C115" s="20"/>
      <c r="D115" s="31" t="s">
        <v>1003</v>
      </c>
      <c r="E115" s="20"/>
      <c r="F115" s="20"/>
      <c r="G115" s="31" t="s">
        <v>1004</v>
      </c>
      <c r="H115" s="31">
        <f>'参照_ショップ'!$I$121</f>
        <v>3</v>
      </c>
      <c r="I115" s="304">
        <f>'参照_ショップ'!$I$121</f>
        <v>3</v>
      </c>
      <c r="J115" s="301" t="s">
        <v>999</v>
      </c>
      <c r="K115" s="309">
        <v>13411.0</v>
      </c>
      <c r="L115" s="301">
        <v>3.0</v>
      </c>
      <c r="M115" s="305">
        <f t="shared" si="19"/>
        <v>3</v>
      </c>
      <c r="N115" s="301">
        <v>3.0</v>
      </c>
      <c r="O115" s="305">
        <f t="array" ref="O115">VLOOKUP(K115,INDIRECT(J115),N115)</f>
        <v>3</v>
      </c>
      <c r="P115" s="34" t="s">
        <v>67</v>
      </c>
      <c r="Q115" s="34" t="s">
        <v>68</v>
      </c>
      <c r="R115" s="34" t="s">
        <v>69</v>
      </c>
      <c r="S115" s="35">
        <v>46063.0</v>
      </c>
      <c r="T115" s="36"/>
      <c r="U115" s="36"/>
      <c r="V115" s="36"/>
      <c r="W115" s="36"/>
      <c r="X115" s="40"/>
      <c r="Y115" s="47"/>
      <c r="Z115" s="47"/>
    </row>
    <row r="116">
      <c r="A116" s="28">
        <f t="shared" si="1"/>
        <v>114</v>
      </c>
      <c r="B116" s="20"/>
      <c r="C116" s="20"/>
      <c r="D116" s="31" t="s">
        <v>1005</v>
      </c>
      <c r="E116" s="20"/>
      <c r="F116" s="20"/>
      <c r="G116" s="31" t="s">
        <v>1006</v>
      </c>
      <c r="H116" s="31" t="str">
        <f>'参照_ショップ'!$E$121</f>
        <v>Limited to 3 per each Lucky Time! Get 20 Chapter Tickets at a great discount!
*The Limited Chapter Tickets will disappear from your Present Box when the event is over.</v>
      </c>
      <c r="I116" s="304"/>
      <c r="J116" s="311" t="str">
        <f>HYPERLINK("https://common-legacy-app-admin.us.ikemen-sengoku.jp/admin/itemtrial/item_edit/"&amp;K116,"Search")</f>
        <v>Search</v>
      </c>
      <c r="K116" s="309">
        <v>13411.0</v>
      </c>
      <c r="L116" s="305"/>
      <c r="M116" s="307" t="s">
        <v>1028</v>
      </c>
      <c r="N116" s="301"/>
      <c r="O116" s="301"/>
      <c r="P116" s="34" t="s">
        <v>67</v>
      </c>
      <c r="Q116" s="34" t="s">
        <v>68</v>
      </c>
      <c r="R116" s="34" t="s">
        <v>69</v>
      </c>
      <c r="S116" s="35">
        <v>46063.0</v>
      </c>
      <c r="T116" s="36"/>
      <c r="U116" s="36"/>
      <c r="V116" s="36"/>
      <c r="W116" s="36"/>
      <c r="X116" s="40"/>
      <c r="Y116" s="47"/>
      <c r="Z116" s="47"/>
    </row>
    <row r="117">
      <c r="A117" s="28">
        <f t="shared" si="1"/>
        <v>115</v>
      </c>
      <c r="B117" s="20"/>
      <c r="C117" s="21"/>
      <c r="D117" s="31" t="s">
        <v>1009</v>
      </c>
      <c r="E117" s="20"/>
      <c r="F117" s="21"/>
      <c r="G117" s="31" t="s">
        <v>1010</v>
      </c>
      <c r="H117" s="31" t="str">
        <f>'参照_ショップ'!F121</f>
        <v>Limited Chapter Ticket</v>
      </c>
      <c r="I117" s="304">
        <f>'参照_ショップ'!G121</f>
        <v>20</v>
      </c>
      <c r="J117" s="301" t="s">
        <v>1011</v>
      </c>
      <c r="K117" s="315">
        <v>163294.0</v>
      </c>
      <c r="L117" s="301">
        <v>3.0</v>
      </c>
      <c r="M117" s="305" t="str">
        <f t="array" ref="M117">VLOOKUP(K117,INDIRECT(J117),L117)</f>
        <v>Limited Chapter Ticket</v>
      </c>
      <c r="N117" s="301">
        <v>4.0</v>
      </c>
      <c r="O117" s="305">
        <f t="array" ref="O117">VLOOKUP(K117,INDIRECT(J117),N117)</f>
        <v>20</v>
      </c>
      <c r="P117" s="34" t="s">
        <v>67</v>
      </c>
      <c r="Q117" s="34" t="s">
        <v>68</v>
      </c>
      <c r="R117" s="34" t="s">
        <v>69</v>
      </c>
      <c r="S117" s="35">
        <v>46063.0</v>
      </c>
      <c r="T117" s="36"/>
      <c r="U117" s="36"/>
      <c r="V117" s="36"/>
      <c r="W117" s="36"/>
      <c r="X117" s="40"/>
      <c r="Y117" s="47"/>
      <c r="Z117" s="47"/>
    </row>
    <row r="118">
      <c r="A118" s="28">
        <f t="shared" si="1"/>
        <v>116</v>
      </c>
      <c r="B118" s="20"/>
      <c r="C118" s="316" t="s">
        <v>72</v>
      </c>
      <c r="D118" s="31" t="s">
        <v>1012</v>
      </c>
      <c r="E118" s="20"/>
      <c r="F118" s="316" t="s">
        <v>74</v>
      </c>
      <c r="G118" s="31" t="s">
        <v>1013</v>
      </c>
      <c r="H118" s="31"/>
      <c r="I118" s="304"/>
      <c r="J118" s="305"/>
      <c r="K118" s="305"/>
      <c r="L118" s="305"/>
      <c r="M118" s="305"/>
      <c r="N118" s="305"/>
      <c r="O118" s="305"/>
      <c r="P118" s="34" t="s">
        <v>67</v>
      </c>
      <c r="Q118" s="34" t="s">
        <v>68</v>
      </c>
      <c r="R118" s="34" t="s">
        <v>69</v>
      </c>
      <c r="S118" s="35">
        <v>46064.0</v>
      </c>
      <c r="T118" s="34" t="s">
        <v>67</v>
      </c>
      <c r="U118" s="28" t="s">
        <v>68</v>
      </c>
      <c r="V118" s="28" t="s">
        <v>69</v>
      </c>
      <c r="W118" s="45" t="s">
        <v>76</v>
      </c>
      <c r="X118" s="40"/>
      <c r="Y118" s="47"/>
      <c r="Z118" s="47"/>
    </row>
    <row r="119">
      <c r="A119" s="28">
        <f t="shared" si="1"/>
        <v>117</v>
      </c>
      <c r="B119" s="20"/>
      <c r="C119" s="20"/>
      <c r="D119" s="31" t="s">
        <v>1014</v>
      </c>
      <c r="E119" s="20"/>
      <c r="F119" s="20"/>
      <c r="G119" s="31" t="s">
        <v>1015</v>
      </c>
      <c r="H119" s="304">
        <f>'参照_ショップ'!$H$121</f>
        <v>1500</v>
      </c>
      <c r="I119" s="304">
        <f>'参照_ショップ'!$H$121</f>
        <v>1500</v>
      </c>
      <c r="J119" s="301" t="s">
        <v>1016</v>
      </c>
      <c r="K119" s="305">
        <v>11894.0</v>
      </c>
      <c r="L119" s="301">
        <v>8.0</v>
      </c>
      <c r="M119" s="305">
        <f t="array" ref="M119">VLOOKUP(K119,INDIRECT(J119),L119)</f>
        <v>1500</v>
      </c>
      <c r="N119" s="301"/>
      <c r="O119" s="305">
        <f>M119</f>
        <v>1500</v>
      </c>
      <c r="P119" s="34" t="s">
        <v>67</v>
      </c>
      <c r="Q119" s="34" t="s">
        <v>68</v>
      </c>
      <c r="R119" s="34" t="s">
        <v>69</v>
      </c>
      <c r="S119" s="35">
        <v>46063.0</v>
      </c>
      <c r="T119" s="36"/>
      <c r="U119" s="36"/>
      <c r="V119" s="36"/>
      <c r="W119" s="36"/>
      <c r="X119" s="40"/>
      <c r="Y119" s="47"/>
      <c r="Z119" s="47"/>
    </row>
    <row r="120">
      <c r="A120" s="28">
        <f t="shared" si="1"/>
        <v>118</v>
      </c>
      <c r="B120" s="20"/>
      <c r="C120" s="20"/>
      <c r="D120" s="42" t="s">
        <v>1017</v>
      </c>
      <c r="E120" s="20"/>
      <c r="F120" s="20"/>
      <c r="G120" s="42" t="s">
        <v>1018</v>
      </c>
      <c r="H120" s="31"/>
      <c r="I120" s="304"/>
      <c r="J120" s="305"/>
      <c r="K120" s="305"/>
      <c r="L120" s="305"/>
      <c r="M120" s="305"/>
      <c r="N120" s="305"/>
      <c r="O120" s="305"/>
      <c r="P120" s="34" t="s">
        <v>67</v>
      </c>
      <c r="Q120" s="34" t="s">
        <v>68</v>
      </c>
      <c r="R120" s="34" t="s">
        <v>69</v>
      </c>
      <c r="S120" s="35">
        <v>46064.0</v>
      </c>
      <c r="T120" s="34" t="s">
        <v>67</v>
      </c>
      <c r="U120" s="28" t="s">
        <v>68</v>
      </c>
      <c r="V120" s="28" t="s">
        <v>69</v>
      </c>
      <c r="W120" s="45" t="s">
        <v>76</v>
      </c>
      <c r="X120" s="40"/>
      <c r="Y120" s="47"/>
      <c r="Z120" s="47"/>
    </row>
    <row r="121">
      <c r="A121" s="28">
        <f t="shared" si="1"/>
        <v>119</v>
      </c>
      <c r="B121" s="20"/>
      <c r="C121" s="20"/>
      <c r="D121" s="42" t="s">
        <v>1019</v>
      </c>
      <c r="E121" s="20"/>
      <c r="F121" s="20"/>
      <c r="G121" s="42" t="s">
        <v>1020</v>
      </c>
      <c r="H121" s="31"/>
      <c r="I121" s="304"/>
      <c r="J121" s="305"/>
      <c r="K121" s="305"/>
      <c r="L121" s="305"/>
      <c r="M121" s="305"/>
      <c r="N121" s="305"/>
      <c r="O121" s="305"/>
      <c r="P121" s="34" t="s">
        <v>67</v>
      </c>
      <c r="Q121" s="34" t="s">
        <v>68</v>
      </c>
      <c r="R121" s="34" t="s">
        <v>69</v>
      </c>
      <c r="S121" s="35">
        <v>46064.0</v>
      </c>
      <c r="T121" s="34" t="s">
        <v>67</v>
      </c>
      <c r="U121" s="28" t="s">
        <v>68</v>
      </c>
      <c r="V121" s="28" t="s">
        <v>69</v>
      </c>
      <c r="W121" s="45" t="s">
        <v>76</v>
      </c>
      <c r="X121" s="40"/>
      <c r="Y121" s="47"/>
      <c r="Z121" s="47"/>
    </row>
    <row r="122">
      <c r="A122" s="28">
        <f t="shared" si="1"/>
        <v>120</v>
      </c>
      <c r="B122" s="21"/>
      <c r="C122" s="21"/>
      <c r="D122" s="42" t="s">
        <v>641</v>
      </c>
      <c r="E122" s="21"/>
      <c r="F122" s="21"/>
      <c r="G122" s="42" t="s">
        <v>1021</v>
      </c>
      <c r="H122" s="42" t="s">
        <v>1025</v>
      </c>
      <c r="I122" s="318"/>
      <c r="J122" s="305"/>
      <c r="K122" s="305"/>
      <c r="L122" s="305"/>
      <c r="M122" s="305"/>
      <c r="N122" s="305"/>
      <c r="O122" s="305"/>
      <c r="P122" s="34" t="s">
        <v>67</v>
      </c>
      <c r="Q122" s="34" t="s">
        <v>68</v>
      </c>
      <c r="R122" s="34" t="s">
        <v>69</v>
      </c>
      <c r="S122" s="35">
        <v>46064.0</v>
      </c>
      <c r="T122" s="34" t="s">
        <v>67</v>
      </c>
      <c r="U122" s="28" t="s">
        <v>68</v>
      </c>
      <c r="V122" s="28" t="s">
        <v>69</v>
      </c>
      <c r="W122" s="45" t="s">
        <v>76</v>
      </c>
      <c r="X122" s="40"/>
      <c r="Y122" s="47"/>
      <c r="Z122" s="47"/>
    </row>
    <row r="123">
      <c r="A123" s="28">
        <f t="shared" si="1"/>
        <v>121</v>
      </c>
      <c r="B123" s="59" t="str">
        <f>'参照_ショップ'!$D$131</f>
        <v>Mystic Matrimony◆Mini Warlord Set A</v>
      </c>
      <c r="C123" s="30" t="s">
        <v>997</v>
      </c>
      <c r="D123" s="37" t="s">
        <v>987</v>
      </c>
      <c r="E123" s="59" t="str">
        <f>'参照_ショップ'!$D$131</f>
        <v>Mystic Matrimony◆Mini Warlord Set A</v>
      </c>
      <c r="F123" s="30" t="s">
        <v>998</v>
      </c>
      <c r="G123" s="37" t="s">
        <v>990</v>
      </c>
      <c r="H123" s="49">
        <f>'参照_ショップ'!$J$131</f>
        <v>46074.70833</v>
      </c>
      <c r="I123" s="28"/>
      <c r="J123" s="301" t="s">
        <v>999</v>
      </c>
      <c r="K123" s="306">
        <v>13412.0</v>
      </c>
      <c r="L123" s="307">
        <v>9.0</v>
      </c>
      <c r="M123" s="308">
        <f t="shared" ref="M123:M126" si="20">VLOOKUP(K123,INDIRECT(J123),L123)</f>
        <v>46074.70833</v>
      </c>
      <c r="N123" s="305"/>
      <c r="O123" s="305"/>
      <c r="P123" s="34" t="s">
        <v>67</v>
      </c>
      <c r="Q123" s="34" t="s">
        <v>68</v>
      </c>
      <c r="R123" s="34" t="s">
        <v>69</v>
      </c>
      <c r="S123" s="35">
        <v>46063.0</v>
      </c>
      <c r="T123" s="36"/>
      <c r="U123" s="36"/>
      <c r="V123" s="36"/>
      <c r="W123" s="36"/>
      <c r="X123" s="37"/>
      <c r="Y123" s="47"/>
      <c r="Z123" s="47"/>
    </row>
    <row r="124">
      <c r="A124" s="28">
        <f t="shared" si="1"/>
        <v>122</v>
      </c>
      <c r="B124" s="20"/>
      <c r="C124" s="20"/>
      <c r="D124" s="37" t="s">
        <v>991</v>
      </c>
      <c r="E124" s="20"/>
      <c r="F124" s="20"/>
      <c r="G124" s="37" t="s">
        <v>992</v>
      </c>
      <c r="H124" s="49">
        <f>'参照_ショップ'!$K$131</f>
        <v>46080.70833</v>
      </c>
      <c r="I124" s="28"/>
      <c r="J124" s="301" t="s">
        <v>999</v>
      </c>
      <c r="K124" s="306">
        <v>13412.0</v>
      </c>
      <c r="L124" s="307">
        <v>10.0</v>
      </c>
      <c r="M124" s="308">
        <f t="shared" si="20"/>
        <v>46080.70833</v>
      </c>
      <c r="N124" s="305"/>
      <c r="O124" s="305"/>
      <c r="P124" s="34" t="s">
        <v>67</v>
      </c>
      <c r="Q124" s="34" t="s">
        <v>68</v>
      </c>
      <c r="R124" s="34" t="s">
        <v>69</v>
      </c>
      <c r="S124" s="35">
        <v>46063.0</v>
      </c>
      <c r="T124" s="36"/>
      <c r="U124" s="36"/>
      <c r="V124" s="36"/>
      <c r="W124" s="36"/>
      <c r="X124" s="40"/>
      <c r="Y124" s="47"/>
      <c r="Z124" s="47"/>
    </row>
    <row r="125">
      <c r="A125" s="28">
        <f t="shared" si="1"/>
        <v>123</v>
      </c>
      <c r="B125" s="20"/>
      <c r="C125" s="20"/>
      <c r="D125" s="37" t="s">
        <v>1000</v>
      </c>
      <c r="E125" s="20"/>
      <c r="F125" s="20"/>
      <c r="G125" s="37" t="s">
        <v>1001</v>
      </c>
      <c r="H125" s="37" t="str">
        <f>'参照_ショップ'!$D$131</f>
        <v>Mystic Matrimony◆Mini Warlord Set A</v>
      </c>
      <c r="I125" s="28"/>
      <c r="J125" s="301" t="s">
        <v>1002</v>
      </c>
      <c r="K125" s="306">
        <v>13412.0</v>
      </c>
      <c r="L125" s="301">
        <v>6.0</v>
      </c>
      <c r="M125" s="305" t="str">
        <f t="shared" si="20"/>
        <v>Mystic Matrimony◆Mini Warlord Set A</v>
      </c>
      <c r="N125" s="305"/>
      <c r="O125" s="305"/>
      <c r="P125" s="34" t="s">
        <v>67</v>
      </c>
      <c r="Q125" s="34" t="s">
        <v>68</v>
      </c>
      <c r="R125" s="34" t="s">
        <v>69</v>
      </c>
      <c r="S125" s="35">
        <v>46063.0</v>
      </c>
      <c r="T125" s="36"/>
      <c r="U125" s="36"/>
      <c r="V125" s="36"/>
      <c r="W125" s="36"/>
      <c r="X125" s="40"/>
      <c r="Y125" s="47"/>
      <c r="Z125" s="47"/>
    </row>
    <row r="126">
      <c r="A126" s="28">
        <f t="shared" si="1"/>
        <v>124</v>
      </c>
      <c r="B126" s="20"/>
      <c r="C126" s="20"/>
      <c r="D126" s="37" t="s">
        <v>1003</v>
      </c>
      <c r="E126" s="20"/>
      <c r="F126" s="20"/>
      <c r="G126" s="37" t="s">
        <v>1004</v>
      </c>
      <c r="H126" s="37">
        <f>'参照_ショップ'!$I$131</f>
        <v>1</v>
      </c>
      <c r="I126" s="28">
        <f>'参照_ショップ'!$I$131</f>
        <v>1</v>
      </c>
      <c r="J126" s="301" t="s">
        <v>999</v>
      </c>
      <c r="K126" s="306">
        <v>13412.0</v>
      </c>
      <c r="L126" s="301">
        <v>3.0</v>
      </c>
      <c r="M126" s="305">
        <f t="shared" si="20"/>
        <v>1</v>
      </c>
      <c r="N126" s="301">
        <v>3.0</v>
      </c>
      <c r="O126" s="305">
        <f t="array" ref="O126">VLOOKUP(K126,INDIRECT(J126),N126)</f>
        <v>1</v>
      </c>
      <c r="P126" s="34" t="s">
        <v>67</v>
      </c>
      <c r="Q126" s="34" t="s">
        <v>68</v>
      </c>
      <c r="R126" s="34" t="s">
        <v>69</v>
      </c>
      <c r="S126" s="35">
        <v>46063.0</v>
      </c>
      <c r="T126" s="36"/>
      <c r="U126" s="36"/>
      <c r="V126" s="36"/>
      <c r="W126" s="36"/>
      <c r="X126" s="40"/>
      <c r="Y126" s="47"/>
      <c r="Z126" s="47"/>
    </row>
    <row r="127">
      <c r="A127" s="28">
        <f t="shared" si="1"/>
        <v>125</v>
      </c>
      <c r="B127" s="20"/>
      <c r="C127" s="20"/>
      <c r="D127" s="37" t="s">
        <v>1005</v>
      </c>
      <c r="E127" s="20"/>
      <c r="F127" s="20"/>
      <c r="G127" s="37" t="s">
        <v>1006</v>
      </c>
      <c r="H127" s="37" t="str">
        <f>'参照_ショップ'!$E$131</f>
        <v>【Limited to 1 per Player】
*The Limited Items will disappear from your Present Box when the event is over.</v>
      </c>
      <c r="I127" s="28"/>
      <c r="J127" s="311" t="str">
        <f>HYPERLINK("https://common-legacy-app-admin.us.ikemen-sengoku.jp/admin/itemtrial/item_edit/"&amp;K127,"Search")</f>
        <v>Search</v>
      </c>
      <c r="K127" s="306">
        <v>13412.0</v>
      </c>
      <c r="L127" s="305"/>
      <c r="M127" s="307" t="s">
        <v>1031</v>
      </c>
      <c r="N127" s="301"/>
      <c r="O127" s="301"/>
      <c r="P127" s="34" t="s">
        <v>67</v>
      </c>
      <c r="Q127" s="34" t="s">
        <v>68</v>
      </c>
      <c r="R127" s="34" t="s">
        <v>69</v>
      </c>
      <c r="S127" s="35">
        <v>46063.0</v>
      </c>
      <c r="T127" s="36"/>
      <c r="U127" s="36"/>
      <c r="V127" s="36"/>
      <c r="W127" s="36"/>
      <c r="X127" s="40"/>
      <c r="Y127" s="40"/>
      <c r="Z127" s="47"/>
    </row>
    <row r="128">
      <c r="A128" s="28">
        <f t="shared" si="1"/>
        <v>126</v>
      </c>
      <c r="B128" s="20"/>
      <c r="C128" s="20"/>
      <c r="D128" s="37" t="s">
        <v>1009</v>
      </c>
      <c r="E128" s="20"/>
      <c r="F128" s="20"/>
      <c r="G128" s="37" t="s">
        <v>1010</v>
      </c>
      <c r="H128" s="37" t="str">
        <f>'参照_ショップ'!F131</f>
        <v>Ieyasu with a Lantern</v>
      </c>
      <c r="I128" s="28">
        <f>'参照_ショップ'!G131</f>
        <v>1</v>
      </c>
      <c r="J128" s="301" t="s">
        <v>1011</v>
      </c>
      <c r="K128" s="315">
        <v>163295.0</v>
      </c>
      <c r="L128" s="301">
        <v>3.0</v>
      </c>
      <c r="M128" s="305" t="str">
        <f t="shared" ref="M128:M134" si="21">VLOOKUP(K128,INDIRECT(J128),L128)</f>
        <v>Ieyasu with a Lantern</v>
      </c>
      <c r="N128" s="301">
        <v>4.0</v>
      </c>
      <c r="O128" s="305">
        <f t="shared" ref="O128:O134" si="22">VLOOKUP(K128,INDIRECT(J128),N128)</f>
        <v>1</v>
      </c>
      <c r="P128" s="34" t="s">
        <v>67</v>
      </c>
      <c r="Q128" s="34" t="s">
        <v>68</v>
      </c>
      <c r="R128" s="34" t="s">
        <v>69</v>
      </c>
      <c r="S128" s="35">
        <v>46063.0</v>
      </c>
      <c r="T128" s="36"/>
      <c r="U128" s="36"/>
      <c r="V128" s="36"/>
      <c r="W128" s="36"/>
      <c r="X128" s="40"/>
      <c r="Y128" s="47"/>
      <c r="Z128" s="47"/>
    </row>
    <row r="129">
      <c r="A129" s="28">
        <f t="shared" si="1"/>
        <v>127</v>
      </c>
      <c r="B129" s="20"/>
      <c r="C129" s="20"/>
      <c r="D129" s="37" t="s">
        <v>1009</v>
      </c>
      <c r="E129" s="20"/>
      <c r="F129" s="20"/>
      <c r="G129" s="37" t="s">
        <v>1010</v>
      </c>
      <c r="H129" s="37" t="str">
        <f>'参照_ショップ'!F132</f>
        <v>Mitsunari with a Lantern</v>
      </c>
      <c r="I129" s="28">
        <f>'参照_ショップ'!G132</f>
        <v>1</v>
      </c>
      <c r="J129" s="301" t="s">
        <v>1011</v>
      </c>
      <c r="K129" s="315">
        <v>163296.0</v>
      </c>
      <c r="L129" s="301">
        <v>3.0</v>
      </c>
      <c r="M129" s="305" t="str">
        <f t="shared" si="21"/>
        <v>Mitsunari with a Lantern</v>
      </c>
      <c r="N129" s="301">
        <v>4.0</v>
      </c>
      <c r="O129" s="305">
        <f t="shared" si="22"/>
        <v>1</v>
      </c>
      <c r="P129" s="34" t="s">
        <v>67</v>
      </c>
      <c r="Q129" s="34" t="s">
        <v>68</v>
      </c>
      <c r="R129" s="34" t="s">
        <v>69</v>
      </c>
      <c r="S129" s="35">
        <v>46063.0</v>
      </c>
      <c r="T129" s="36"/>
      <c r="U129" s="36"/>
      <c r="V129" s="36"/>
      <c r="W129" s="36"/>
      <c r="X129" s="40"/>
      <c r="Y129" s="47"/>
      <c r="Z129" s="47"/>
    </row>
    <row r="130">
      <c r="A130" s="28">
        <f t="shared" si="1"/>
        <v>128</v>
      </c>
      <c r="B130" s="20"/>
      <c r="C130" s="20"/>
      <c r="D130" s="37" t="s">
        <v>1009</v>
      </c>
      <c r="E130" s="20"/>
      <c r="F130" s="20"/>
      <c r="G130" s="37" t="s">
        <v>1010</v>
      </c>
      <c r="H130" s="37" t="str">
        <f>'参照_ショップ'!F133</f>
        <v>Sasuke with a Lantern</v>
      </c>
      <c r="I130" s="28">
        <f>'参照_ショップ'!G133</f>
        <v>1</v>
      </c>
      <c r="J130" s="301" t="s">
        <v>1011</v>
      </c>
      <c r="K130" s="315">
        <v>163297.0</v>
      </c>
      <c r="L130" s="301">
        <v>3.0</v>
      </c>
      <c r="M130" s="305" t="str">
        <f t="shared" si="21"/>
        <v>Sasuke with a Lantern</v>
      </c>
      <c r="N130" s="301">
        <v>4.0</v>
      </c>
      <c r="O130" s="305">
        <f t="shared" si="22"/>
        <v>1</v>
      </c>
      <c r="P130" s="34" t="s">
        <v>67</v>
      </c>
      <c r="Q130" s="34" t="s">
        <v>68</v>
      </c>
      <c r="R130" s="34" t="s">
        <v>69</v>
      </c>
      <c r="S130" s="35">
        <v>46063.0</v>
      </c>
      <c r="T130" s="36"/>
      <c r="U130" s="36"/>
      <c r="V130" s="36"/>
      <c r="W130" s="36"/>
      <c r="X130" s="40"/>
      <c r="Y130" s="47"/>
      <c r="Z130" s="47"/>
    </row>
    <row r="131">
      <c r="A131" s="28">
        <f t="shared" si="1"/>
        <v>129</v>
      </c>
      <c r="B131" s="20"/>
      <c r="C131" s="20"/>
      <c r="D131" s="37" t="s">
        <v>1009</v>
      </c>
      <c r="E131" s="20"/>
      <c r="F131" s="20"/>
      <c r="G131" s="37" t="s">
        <v>1010</v>
      </c>
      <c r="H131" s="37" t="str">
        <f>'参照_ショップ'!F134</f>
        <v>Kennyo with a Lantern</v>
      </c>
      <c r="I131" s="28">
        <f>'参照_ショップ'!G134</f>
        <v>1</v>
      </c>
      <c r="J131" s="301" t="s">
        <v>1011</v>
      </c>
      <c r="K131" s="315">
        <v>163298.0</v>
      </c>
      <c r="L131" s="301">
        <v>3.0</v>
      </c>
      <c r="M131" s="305" t="str">
        <f t="shared" si="21"/>
        <v>Kennyo with a Lantern</v>
      </c>
      <c r="N131" s="301">
        <v>4.0</v>
      </c>
      <c r="O131" s="305">
        <f t="shared" si="22"/>
        <v>1</v>
      </c>
      <c r="P131" s="34" t="s">
        <v>67</v>
      </c>
      <c r="Q131" s="34" t="s">
        <v>68</v>
      </c>
      <c r="R131" s="34" t="s">
        <v>69</v>
      </c>
      <c r="S131" s="35">
        <v>46063.0</v>
      </c>
      <c r="T131" s="36"/>
      <c r="U131" s="36"/>
      <c r="V131" s="36"/>
      <c r="W131" s="36"/>
      <c r="X131" s="40"/>
      <c r="Y131" s="47"/>
      <c r="Z131" s="47"/>
    </row>
    <row r="132">
      <c r="A132" s="28">
        <f t="shared" si="1"/>
        <v>130</v>
      </c>
      <c r="B132" s="20"/>
      <c r="C132" s="20"/>
      <c r="D132" s="37" t="s">
        <v>1009</v>
      </c>
      <c r="E132" s="20"/>
      <c r="F132" s="20"/>
      <c r="G132" s="37" t="s">
        <v>1010</v>
      </c>
      <c r="H132" s="37" t="str">
        <f>'参照_ショップ'!F135</f>
        <v>Castle Storage</v>
      </c>
      <c r="I132" s="28">
        <f>'参照_ショップ'!G135</f>
        <v>4</v>
      </c>
      <c r="J132" s="301" t="s">
        <v>1011</v>
      </c>
      <c r="K132" s="315">
        <v>163299.0</v>
      </c>
      <c r="L132" s="301">
        <v>3.0</v>
      </c>
      <c r="M132" s="305" t="str">
        <f t="shared" si="21"/>
        <v>Castle Storage</v>
      </c>
      <c r="N132" s="301">
        <v>4.0</v>
      </c>
      <c r="O132" s="305">
        <f t="shared" si="22"/>
        <v>4</v>
      </c>
      <c r="P132" s="34" t="s">
        <v>67</v>
      </c>
      <c r="Q132" s="34" t="s">
        <v>68</v>
      </c>
      <c r="R132" s="34" t="s">
        <v>69</v>
      </c>
      <c r="S132" s="35">
        <v>46063.0</v>
      </c>
      <c r="T132" s="36"/>
      <c r="U132" s="36"/>
      <c r="V132" s="36"/>
      <c r="W132" s="36"/>
      <c r="X132" s="40"/>
      <c r="Y132" s="47"/>
      <c r="Z132" s="47"/>
    </row>
    <row r="133">
      <c r="A133" s="28">
        <f t="shared" si="1"/>
        <v>131</v>
      </c>
      <c r="B133" s="20"/>
      <c r="C133" s="20"/>
      <c r="D133" s="37" t="s">
        <v>1009</v>
      </c>
      <c r="E133" s="20"/>
      <c r="F133" s="20"/>
      <c r="G133" s="37" t="s">
        <v>1010</v>
      </c>
      <c r="H133" s="37" t="str">
        <f>'参照_ショップ'!F136</f>
        <v>Shaved Ice (+100 Stamina)</v>
      </c>
      <c r="I133" s="28">
        <f>'参照_ショップ'!G136</f>
        <v>1</v>
      </c>
      <c r="J133" s="301" t="s">
        <v>1011</v>
      </c>
      <c r="K133" s="315">
        <v>163300.0</v>
      </c>
      <c r="L133" s="301">
        <v>3.0</v>
      </c>
      <c r="M133" s="305" t="str">
        <f t="shared" si="21"/>
        <v>Shaved Ice (+100 Stamina)</v>
      </c>
      <c r="N133" s="301">
        <v>4.0</v>
      </c>
      <c r="O133" s="305">
        <f t="shared" si="22"/>
        <v>1</v>
      </c>
      <c r="P133" s="34" t="s">
        <v>67</v>
      </c>
      <c r="Q133" s="34" t="s">
        <v>68</v>
      </c>
      <c r="R133" s="34" t="s">
        <v>69</v>
      </c>
      <c r="S133" s="35">
        <v>46063.0</v>
      </c>
      <c r="T133" s="36"/>
      <c r="U133" s="36"/>
      <c r="V133" s="36"/>
      <c r="W133" s="36"/>
      <c r="X133" s="40"/>
      <c r="Y133" s="47"/>
      <c r="Z133" s="47"/>
    </row>
    <row r="134">
      <c r="A134" s="28">
        <f t="shared" si="1"/>
        <v>132</v>
      </c>
      <c r="B134" s="20"/>
      <c r="C134" s="21"/>
      <c r="D134" s="37" t="s">
        <v>1009</v>
      </c>
      <c r="E134" s="20"/>
      <c r="F134" s="21"/>
      <c r="G134" s="37" t="s">
        <v>1010</v>
      </c>
      <c r="H134" s="37" t="str">
        <f>'参照_ショップ'!F137</f>
        <v>Hearts</v>
      </c>
      <c r="I134" s="28">
        <f>'参照_ショップ'!G137</f>
        <v>30</v>
      </c>
      <c r="J134" s="301" t="s">
        <v>1011</v>
      </c>
      <c r="K134" s="315">
        <v>163301.0</v>
      </c>
      <c r="L134" s="301">
        <v>3.0</v>
      </c>
      <c r="M134" s="305" t="str">
        <f t="shared" si="21"/>
        <v>Hearts</v>
      </c>
      <c r="N134" s="301">
        <v>4.0</v>
      </c>
      <c r="O134" s="305">
        <f t="shared" si="22"/>
        <v>30</v>
      </c>
      <c r="P134" s="34" t="s">
        <v>67</v>
      </c>
      <c r="Q134" s="34" t="s">
        <v>68</v>
      </c>
      <c r="R134" s="34" t="s">
        <v>69</v>
      </c>
      <c r="S134" s="35">
        <v>46063.0</v>
      </c>
      <c r="T134" s="36"/>
      <c r="U134" s="36"/>
      <c r="V134" s="36"/>
      <c r="W134" s="36"/>
      <c r="X134" s="40"/>
      <c r="Y134" s="47"/>
      <c r="Z134" s="47"/>
    </row>
    <row r="135">
      <c r="A135" s="28">
        <f t="shared" si="1"/>
        <v>133</v>
      </c>
      <c r="B135" s="20"/>
      <c r="C135" s="316" t="s">
        <v>72</v>
      </c>
      <c r="D135" s="37" t="s">
        <v>1012</v>
      </c>
      <c r="E135" s="20"/>
      <c r="F135" s="316" t="s">
        <v>74</v>
      </c>
      <c r="G135" s="37" t="s">
        <v>1013</v>
      </c>
      <c r="H135" s="37"/>
      <c r="I135" s="28"/>
      <c r="J135" s="305"/>
      <c r="K135" s="305"/>
      <c r="L135" s="305"/>
      <c r="M135" s="305"/>
      <c r="N135" s="305"/>
      <c r="O135" s="305"/>
      <c r="P135" s="34" t="s">
        <v>67</v>
      </c>
      <c r="Q135" s="34" t="s">
        <v>68</v>
      </c>
      <c r="R135" s="34" t="s">
        <v>69</v>
      </c>
      <c r="S135" s="35">
        <v>46064.0</v>
      </c>
      <c r="T135" s="34" t="s">
        <v>67</v>
      </c>
      <c r="U135" s="28" t="s">
        <v>68</v>
      </c>
      <c r="V135" s="28" t="s">
        <v>69</v>
      </c>
      <c r="W135" s="45" t="s">
        <v>76</v>
      </c>
      <c r="X135" s="40"/>
      <c r="Y135" s="47"/>
      <c r="Z135" s="47"/>
    </row>
    <row r="136">
      <c r="A136" s="28">
        <f t="shared" si="1"/>
        <v>134</v>
      </c>
      <c r="B136" s="20"/>
      <c r="C136" s="20"/>
      <c r="D136" s="37" t="s">
        <v>1014</v>
      </c>
      <c r="E136" s="20"/>
      <c r="F136" s="20"/>
      <c r="G136" s="37" t="s">
        <v>1015</v>
      </c>
      <c r="H136" s="28">
        <f>'参照_ショップ'!$H$131</f>
        <v>2000</v>
      </c>
      <c r="I136" s="28">
        <f>'参照_ショップ'!$H$131</f>
        <v>2000</v>
      </c>
      <c r="J136" s="301" t="s">
        <v>1016</v>
      </c>
      <c r="K136" s="305">
        <v>11895.0</v>
      </c>
      <c r="L136" s="301">
        <v>8.0</v>
      </c>
      <c r="M136" s="305">
        <f t="array" ref="M136">VLOOKUP(K136,INDIRECT(J136),L136)</f>
        <v>2000</v>
      </c>
      <c r="N136" s="301"/>
      <c r="O136" s="305">
        <f>M136</f>
        <v>2000</v>
      </c>
      <c r="P136" s="34" t="s">
        <v>67</v>
      </c>
      <c r="Q136" s="34" t="s">
        <v>68</v>
      </c>
      <c r="R136" s="34" t="s">
        <v>69</v>
      </c>
      <c r="S136" s="35">
        <v>46063.0</v>
      </c>
      <c r="T136" s="36"/>
      <c r="U136" s="36"/>
      <c r="V136" s="36"/>
      <c r="W136" s="36"/>
      <c r="X136" s="40"/>
      <c r="Y136" s="47"/>
      <c r="Z136" s="47"/>
    </row>
    <row r="137">
      <c r="A137" s="28">
        <f t="shared" si="1"/>
        <v>135</v>
      </c>
      <c r="B137" s="20"/>
      <c r="C137" s="20"/>
      <c r="D137" s="47" t="s">
        <v>1017</v>
      </c>
      <c r="E137" s="20"/>
      <c r="F137" s="20"/>
      <c r="G137" s="47" t="s">
        <v>1018</v>
      </c>
      <c r="H137" s="37"/>
      <c r="I137" s="28"/>
      <c r="J137" s="305"/>
      <c r="K137" s="305"/>
      <c r="L137" s="305"/>
      <c r="M137" s="305"/>
      <c r="N137" s="305"/>
      <c r="O137" s="305"/>
      <c r="P137" s="34" t="s">
        <v>67</v>
      </c>
      <c r="Q137" s="34" t="s">
        <v>68</v>
      </c>
      <c r="R137" s="34" t="s">
        <v>69</v>
      </c>
      <c r="S137" s="35">
        <v>46064.0</v>
      </c>
      <c r="T137" s="34" t="s">
        <v>67</v>
      </c>
      <c r="U137" s="28" t="s">
        <v>68</v>
      </c>
      <c r="V137" s="28" t="s">
        <v>69</v>
      </c>
      <c r="W137" s="45" t="s">
        <v>76</v>
      </c>
      <c r="X137" s="40"/>
      <c r="Y137" s="47"/>
      <c r="Z137" s="47"/>
    </row>
    <row r="138">
      <c r="A138" s="28">
        <f t="shared" si="1"/>
        <v>136</v>
      </c>
      <c r="B138" s="20"/>
      <c r="C138" s="20"/>
      <c r="D138" s="47" t="s">
        <v>1019</v>
      </c>
      <c r="E138" s="20"/>
      <c r="F138" s="20"/>
      <c r="G138" s="47" t="s">
        <v>1020</v>
      </c>
      <c r="H138" s="37"/>
      <c r="I138" s="28"/>
      <c r="J138" s="305"/>
      <c r="K138" s="305"/>
      <c r="L138" s="305"/>
      <c r="M138" s="305"/>
      <c r="N138" s="305"/>
      <c r="O138" s="305"/>
      <c r="P138" s="34" t="s">
        <v>67</v>
      </c>
      <c r="Q138" s="34" t="s">
        <v>68</v>
      </c>
      <c r="R138" s="34" t="s">
        <v>69</v>
      </c>
      <c r="S138" s="35">
        <v>46064.0</v>
      </c>
      <c r="T138" s="34" t="s">
        <v>67</v>
      </c>
      <c r="U138" s="28" t="s">
        <v>68</v>
      </c>
      <c r="V138" s="28" t="s">
        <v>69</v>
      </c>
      <c r="W138" s="45" t="s">
        <v>76</v>
      </c>
      <c r="X138" s="40"/>
      <c r="Y138" s="47"/>
      <c r="Z138" s="47"/>
    </row>
    <row r="139">
      <c r="A139" s="28">
        <f t="shared" si="1"/>
        <v>137</v>
      </c>
      <c r="B139" s="21"/>
      <c r="C139" s="21"/>
      <c r="D139" s="47" t="s">
        <v>641</v>
      </c>
      <c r="E139" s="21"/>
      <c r="F139" s="21"/>
      <c r="G139" s="47" t="s">
        <v>1021</v>
      </c>
      <c r="H139" s="47" t="s">
        <v>1025</v>
      </c>
      <c r="I139" s="40"/>
      <c r="J139" s="305"/>
      <c r="K139" s="305"/>
      <c r="L139" s="305"/>
      <c r="M139" s="305"/>
      <c r="N139" s="305"/>
      <c r="O139" s="305"/>
      <c r="P139" s="34" t="s">
        <v>67</v>
      </c>
      <c r="Q139" s="34" t="s">
        <v>68</v>
      </c>
      <c r="R139" s="34" t="s">
        <v>69</v>
      </c>
      <c r="S139" s="35">
        <v>46064.0</v>
      </c>
      <c r="T139" s="34" t="s">
        <v>67</v>
      </c>
      <c r="U139" s="28" t="s">
        <v>68</v>
      </c>
      <c r="V139" s="28" t="s">
        <v>69</v>
      </c>
      <c r="W139" s="45" t="s">
        <v>76</v>
      </c>
      <c r="X139" s="40"/>
      <c r="Y139" s="47"/>
      <c r="Z139" s="47"/>
    </row>
    <row r="140">
      <c r="A140" s="28">
        <f t="shared" si="1"/>
        <v>138</v>
      </c>
      <c r="B140" s="29" t="str">
        <f>'参照_ショップ'!$D$141</f>
        <v>Mystic Matrimony◆Mini Warlord Set B</v>
      </c>
      <c r="C140" s="30" t="s">
        <v>997</v>
      </c>
      <c r="D140" s="31" t="s">
        <v>987</v>
      </c>
      <c r="E140" s="29" t="str">
        <f>'参照_ショップ'!$D$141</f>
        <v>Mystic Matrimony◆Mini Warlord Set B</v>
      </c>
      <c r="F140" s="30" t="s">
        <v>998</v>
      </c>
      <c r="G140" s="31" t="s">
        <v>990</v>
      </c>
      <c r="H140" s="33">
        <f>'参照_ショップ'!$J$141</f>
        <v>46074.70833</v>
      </c>
      <c r="I140" s="304"/>
      <c r="J140" s="301" t="s">
        <v>999</v>
      </c>
      <c r="K140" s="306">
        <v>13413.0</v>
      </c>
      <c r="L140" s="307">
        <v>9.0</v>
      </c>
      <c r="M140" s="308">
        <f t="shared" ref="M140:M143" si="23">VLOOKUP(K140,INDIRECT(J140),L140)</f>
        <v>46074.70833</v>
      </c>
      <c r="N140" s="305"/>
      <c r="O140" s="305"/>
      <c r="P140" s="34" t="s">
        <v>67</v>
      </c>
      <c r="Q140" s="34" t="s">
        <v>68</v>
      </c>
      <c r="R140" s="34" t="s">
        <v>69</v>
      </c>
      <c r="S140" s="35">
        <v>46063.0</v>
      </c>
      <c r="T140" s="36"/>
      <c r="U140" s="36"/>
      <c r="V140" s="36"/>
      <c r="W140" s="36"/>
      <c r="X140" s="37"/>
      <c r="Y140" s="47"/>
      <c r="Z140" s="47"/>
    </row>
    <row r="141">
      <c r="A141" s="28">
        <f t="shared" si="1"/>
        <v>139</v>
      </c>
      <c r="B141" s="20"/>
      <c r="C141" s="20"/>
      <c r="D141" s="31" t="s">
        <v>991</v>
      </c>
      <c r="E141" s="20"/>
      <c r="F141" s="20"/>
      <c r="G141" s="31" t="s">
        <v>992</v>
      </c>
      <c r="H141" s="33">
        <f>'参照_ショップ'!$K$141</f>
        <v>46080.70833</v>
      </c>
      <c r="I141" s="304"/>
      <c r="J141" s="301" t="s">
        <v>999</v>
      </c>
      <c r="K141" s="306">
        <v>13413.0</v>
      </c>
      <c r="L141" s="307">
        <v>10.0</v>
      </c>
      <c r="M141" s="308">
        <f t="shared" si="23"/>
        <v>46080.70833</v>
      </c>
      <c r="N141" s="305"/>
      <c r="O141" s="305"/>
      <c r="P141" s="34" t="s">
        <v>67</v>
      </c>
      <c r="Q141" s="34" t="s">
        <v>68</v>
      </c>
      <c r="R141" s="34" t="s">
        <v>69</v>
      </c>
      <c r="S141" s="35">
        <v>46063.0</v>
      </c>
      <c r="T141" s="36"/>
      <c r="U141" s="36"/>
      <c r="V141" s="36"/>
      <c r="W141" s="36"/>
      <c r="X141" s="40"/>
      <c r="Y141" s="47"/>
      <c r="Z141" s="47"/>
    </row>
    <row r="142">
      <c r="A142" s="28">
        <f t="shared" si="1"/>
        <v>140</v>
      </c>
      <c r="B142" s="20"/>
      <c r="C142" s="20"/>
      <c r="D142" s="31" t="s">
        <v>1000</v>
      </c>
      <c r="E142" s="20"/>
      <c r="F142" s="20"/>
      <c r="G142" s="31" t="s">
        <v>1001</v>
      </c>
      <c r="H142" s="31" t="str">
        <f>'参照_ショップ'!$D$141</f>
        <v>Mystic Matrimony◆Mini Warlord Set B</v>
      </c>
      <c r="I142" s="304"/>
      <c r="J142" s="301" t="s">
        <v>1002</v>
      </c>
      <c r="K142" s="306">
        <v>13413.0</v>
      </c>
      <c r="L142" s="301">
        <v>6.0</v>
      </c>
      <c r="M142" s="305" t="str">
        <f t="shared" si="23"/>
        <v>Mystic Matrimony◆Mini Warlord Set B</v>
      </c>
      <c r="N142" s="305"/>
      <c r="O142" s="305"/>
      <c r="P142" s="34" t="s">
        <v>67</v>
      </c>
      <c r="Q142" s="34" t="s">
        <v>68</v>
      </c>
      <c r="R142" s="34" t="s">
        <v>69</v>
      </c>
      <c r="S142" s="35">
        <v>46063.0</v>
      </c>
      <c r="T142" s="36"/>
      <c r="U142" s="36"/>
      <c r="V142" s="36"/>
      <c r="W142" s="36"/>
      <c r="X142" s="40"/>
      <c r="Y142" s="47"/>
      <c r="Z142" s="47"/>
    </row>
    <row r="143">
      <c r="A143" s="28">
        <f t="shared" si="1"/>
        <v>141</v>
      </c>
      <c r="B143" s="20"/>
      <c r="C143" s="20"/>
      <c r="D143" s="31" t="s">
        <v>1003</v>
      </c>
      <c r="E143" s="20"/>
      <c r="F143" s="20"/>
      <c r="G143" s="31" t="s">
        <v>1004</v>
      </c>
      <c r="H143" s="31">
        <f>'参照_ショップ'!$I$141</f>
        <v>1</v>
      </c>
      <c r="I143" s="304">
        <f>'参照_ショップ'!$I$141</f>
        <v>1</v>
      </c>
      <c r="J143" s="301" t="s">
        <v>999</v>
      </c>
      <c r="K143" s="306">
        <v>13413.0</v>
      </c>
      <c r="L143" s="301">
        <v>3.0</v>
      </c>
      <c r="M143" s="305">
        <f t="shared" si="23"/>
        <v>1</v>
      </c>
      <c r="N143" s="301">
        <v>3.0</v>
      </c>
      <c r="O143" s="305">
        <f t="array" ref="O143">VLOOKUP(K143,INDIRECT(J143),N143)</f>
        <v>1</v>
      </c>
      <c r="P143" s="34" t="s">
        <v>67</v>
      </c>
      <c r="Q143" s="34" t="s">
        <v>68</v>
      </c>
      <c r="R143" s="34" t="s">
        <v>69</v>
      </c>
      <c r="S143" s="35">
        <v>46063.0</v>
      </c>
      <c r="T143" s="36"/>
      <c r="U143" s="36"/>
      <c r="V143" s="36"/>
      <c r="W143" s="36"/>
      <c r="X143" s="40"/>
      <c r="Y143" s="47"/>
      <c r="Z143" s="47"/>
    </row>
    <row r="144">
      <c r="A144" s="28">
        <f t="shared" si="1"/>
        <v>142</v>
      </c>
      <c r="B144" s="20"/>
      <c r="C144" s="20"/>
      <c r="D144" s="31" t="s">
        <v>1005</v>
      </c>
      <c r="E144" s="20"/>
      <c r="F144" s="20"/>
      <c r="G144" s="31" t="s">
        <v>1006</v>
      </c>
      <c r="H144" s="31" t="str">
        <f>'参照_ショップ'!$E$141</f>
        <v>【Limited to 1 per Player】
*The Limited Items will disappear from your Present Box when the event is over.</v>
      </c>
      <c r="I144" s="304"/>
      <c r="J144" s="311" t="str">
        <f>HYPERLINK("https://common-legacy-app-admin.us.ikemen-sengoku.jp/admin/itemtrial/item_edit/"&amp;K144,"Search")</f>
        <v>Search</v>
      </c>
      <c r="K144" s="306">
        <v>13413.0</v>
      </c>
      <c r="L144" s="305"/>
      <c r="M144" s="307" t="s">
        <v>1031</v>
      </c>
      <c r="N144" s="301"/>
      <c r="O144" s="301"/>
      <c r="P144" s="34" t="s">
        <v>67</v>
      </c>
      <c r="Q144" s="34" t="s">
        <v>68</v>
      </c>
      <c r="R144" s="34" t="s">
        <v>69</v>
      </c>
      <c r="S144" s="35">
        <v>46063.0</v>
      </c>
      <c r="T144" s="36"/>
      <c r="U144" s="36"/>
      <c r="V144" s="36"/>
      <c r="W144" s="36"/>
      <c r="X144" s="40"/>
      <c r="Y144" s="47"/>
      <c r="Z144" s="47"/>
    </row>
    <row r="145">
      <c r="A145" s="28">
        <f t="shared" si="1"/>
        <v>143</v>
      </c>
      <c r="B145" s="20"/>
      <c r="C145" s="20"/>
      <c r="D145" s="31" t="s">
        <v>1009</v>
      </c>
      <c r="E145" s="20"/>
      <c r="F145" s="20"/>
      <c r="G145" s="31" t="s">
        <v>1010</v>
      </c>
      <c r="H145" s="31" t="str">
        <f>'参照_ショップ'!F141</f>
        <v>Mitsuhide with a Lantern</v>
      </c>
      <c r="I145" s="304">
        <f>'参照_ショップ'!G141</f>
        <v>1</v>
      </c>
      <c r="J145" s="301" t="s">
        <v>1011</v>
      </c>
      <c r="K145" s="315">
        <v>163302.0</v>
      </c>
      <c r="L145" s="301">
        <v>3.0</v>
      </c>
      <c r="M145" s="305" t="str">
        <f t="shared" ref="M145:M151" si="24">VLOOKUP(K145,INDIRECT(J145),L145)</f>
        <v>Mitsuhide with a Lantern</v>
      </c>
      <c r="N145" s="301">
        <v>4.0</v>
      </c>
      <c r="O145" s="305">
        <f t="shared" ref="O145:O151" si="25">VLOOKUP(K145,INDIRECT(J145),N145)</f>
        <v>1</v>
      </c>
      <c r="P145" s="34" t="s">
        <v>67</v>
      </c>
      <c r="Q145" s="34" t="s">
        <v>68</v>
      </c>
      <c r="R145" s="34" t="s">
        <v>69</v>
      </c>
      <c r="S145" s="35">
        <v>46063.0</v>
      </c>
      <c r="T145" s="36"/>
      <c r="U145" s="36"/>
      <c r="V145" s="36"/>
      <c r="W145" s="36"/>
      <c r="X145" s="40"/>
      <c r="Y145" s="47"/>
      <c r="Z145" s="47"/>
    </row>
    <row r="146">
      <c r="A146" s="28">
        <f t="shared" si="1"/>
        <v>144</v>
      </c>
      <c r="B146" s="20"/>
      <c r="C146" s="20"/>
      <c r="D146" s="31" t="s">
        <v>1009</v>
      </c>
      <c r="E146" s="20"/>
      <c r="F146" s="20"/>
      <c r="G146" s="31" t="s">
        <v>1010</v>
      </c>
      <c r="H146" s="31" t="str">
        <f>'参照_ショップ'!F142</f>
        <v>Yukimura with a Lantern</v>
      </c>
      <c r="I146" s="304">
        <f>'参照_ショップ'!G142</f>
        <v>1</v>
      </c>
      <c r="J146" s="301" t="s">
        <v>1011</v>
      </c>
      <c r="K146" s="315">
        <v>163303.0</v>
      </c>
      <c r="L146" s="301">
        <v>3.0</v>
      </c>
      <c r="M146" s="305" t="str">
        <f t="shared" si="24"/>
        <v>Yukimura with a Lantern</v>
      </c>
      <c r="N146" s="301">
        <v>4.0</v>
      </c>
      <c r="O146" s="305">
        <f t="shared" si="25"/>
        <v>1</v>
      </c>
      <c r="P146" s="34" t="s">
        <v>67</v>
      </c>
      <c r="Q146" s="34" t="s">
        <v>68</v>
      </c>
      <c r="R146" s="34" t="s">
        <v>69</v>
      </c>
      <c r="S146" s="35">
        <v>46063.0</v>
      </c>
      <c r="T146" s="36"/>
      <c r="U146" s="36"/>
      <c r="V146" s="36"/>
      <c r="W146" s="36"/>
      <c r="X146" s="40"/>
      <c r="Y146" s="47"/>
      <c r="Z146" s="47"/>
    </row>
    <row r="147">
      <c r="A147" s="28">
        <f t="shared" si="1"/>
        <v>145</v>
      </c>
      <c r="B147" s="20"/>
      <c r="C147" s="20"/>
      <c r="D147" s="31" t="s">
        <v>1009</v>
      </c>
      <c r="E147" s="20"/>
      <c r="F147" s="20"/>
      <c r="G147" s="31" t="s">
        <v>1010</v>
      </c>
      <c r="H147" s="31" t="str">
        <f>'参照_ショップ'!F143</f>
        <v>Keiji with a Lantern</v>
      </c>
      <c r="I147" s="304">
        <f>'参照_ショップ'!G143</f>
        <v>1</v>
      </c>
      <c r="J147" s="301" t="s">
        <v>1011</v>
      </c>
      <c r="K147" s="315">
        <v>163304.0</v>
      </c>
      <c r="L147" s="301">
        <v>3.0</v>
      </c>
      <c r="M147" s="305" t="str">
        <f t="shared" si="24"/>
        <v>Keiji with a Lantern</v>
      </c>
      <c r="N147" s="301">
        <v>4.0</v>
      </c>
      <c r="O147" s="305">
        <f t="shared" si="25"/>
        <v>1</v>
      </c>
      <c r="P147" s="34" t="s">
        <v>67</v>
      </c>
      <c r="Q147" s="34" t="s">
        <v>68</v>
      </c>
      <c r="R147" s="34" t="s">
        <v>69</v>
      </c>
      <c r="S147" s="35">
        <v>46063.0</v>
      </c>
      <c r="T147" s="36"/>
      <c r="U147" s="36"/>
      <c r="V147" s="36"/>
      <c r="W147" s="36"/>
      <c r="X147" s="40"/>
      <c r="Y147" s="47"/>
      <c r="Z147" s="47"/>
    </row>
    <row r="148">
      <c r="A148" s="28">
        <f t="shared" si="1"/>
        <v>146</v>
      </c>
      <c r="B148" s="20"/>
      <c r="C148" s="20"/>
      <c r="D148" s="31" t="s">
        <v>1009</v>
      </c>
      <c r="E148" s="20"/>
      <c r="F148" s="20"/>
      <c r="G148" s="31" t="s">
        <v>1010</v>
      </c>
      <c r="H148" s="31" t="str">
        <f>'参照_ショップ'!F144</f>
        <v>Ranmaru with a Lantern</v>
      </c>
      <c r="I148" s="304">
        <f>'参照_ショップ'!G144</f>
        <v>1</v>
      </c>
      <c r="J148" s="301" t="s">
        <v>1011</v>
      </c>
      <c r="K148" s="315">
        <v>163305.0</v>
      </c>
      <c r="L148" s="301">
        <v>3.0</v>
      </c>
      <c r="M148" s="305" t="str">
        <f t="shared" si="24"/>
        <v>Ranmaru with a Lantern</v>
      </c>
      <c r="N148" s="301">
        <v>4.0</v>
      </c>
      <c r="O148" s="305">
        <f t="shared" si="25"/>
        <v>1</v>
      </c>
      <c r="P148" s="34" t="s">
        <v>67</v>
      </c>
      <c r="Q148" s="34" t="s">
        <v>68</v>
      </c>
      <c r="R148" s="34" t="s">
        <v>69</v>
      </c>
      <c r="S148" s="35">
        <v>46063.0</v>
      </c>
      <c r="T148" s="36"/>
      <c r="U148" s="36"/>
      <c r="V148" s="36"/>
      <c r="W148" s="36"/>
      <c r="X148" s="40"/>
      <c r="Y148" s="47"/>
      <c r="Z148" s="47"/>
    </row>
    <row r="149">
      <c r="A149" s="28">
        <f t="shared" si="1"/>
        <v>147</v>
      </c>
      <c r="B149" s="20"/>
      <c r="C149" s="20"/>
      <c r="D149" s="31" t="s">
        <v>1009</v>
      </c>
      <c r="E149" s="20"/>
      <c r="F149" s="20"/>
      <c r="G149" s="31" t="s">
        <v>1010</v>
      </c>
      <c r="H149" s="31" t="str">
        <f>'参照_ショップ'!F145</f>
        <v>Castle Storage</v>
      </c>
      <c r="I149" s="304">
        <f>'参照_ショップ'!G145</f>
        <v>4</v>
      </c>
      <c r="J149" s="301" t="s">
        <v>1011</v>
      </c>
      <c r="K149" s="315">
        <v>163306.0</v>
      </c>
      <c r="L149" s="301">
        <v>3.0</v>
      </c>
      <c r="M149" s="305" t="str">
        <f t="shared" si="24"/>
        <v>Castle Storage</v>
      </c>
      <c r="N149" s="301">
        <v>4.0</v>
      </c>
      <c r="O149" s="305">
        <f t="shared" si="25"/>
        <v>4</v>
      </c>
      <c r="P149" s="34" t="s">
        <v>67</v>
      </c>
      <c r="Q149" s="34" t="s">
        <v>68</v>
      </c>
      <c r="R149" s="34" t="s">
        <v>69</v>
      </c>
      <c r="S149" s="35">
        <v>46063.0</v>
      </c>
      <c r="T149" s="36"/>
      <c r="U149" s="36"/>
      <c r="V149" s="36"/>
      <c r="W149" s="36"/>
      <c r="X149" s="40"/>
      <c r="Y149" s="47"/>
      <c r="Z149" s="47"/>
    </row>
    <row r="150">
      <c r="A150" s="28">
        <f t="shared" si="1"/>
        <v>148</v>
      </c>
      <c r="B150" s="20"/>
      <c r="C150" s="20"/>
      <c r="D150" s="31" t="s">
        <v>1009</v>
      </c>
      <c r="E150" s="20"/>
      <c r="F150" s="20"/>
      <c r="G150" s="31" t="s">
        <v>1010</v>
      </c>
      <c r="H150" s="31" t="str">
        <f>'参照_ショップ'!F146</f>
        <v>Shaved Ice (+100 Stamina)</v>
      </c>
      <c r="I150" s="304">
        <f>'参照_ショップ'!G146</f>
        <v>1</v>
      </c>
      <c r="J150" s="301" t="s">
        <v>1011</v>
      </c>
      <c r="K150" s="315">
        <v>163307.0</v>
      </c>
      <c r="L150" s="301">
        <v>3.0</v>
      </c>
      <c r="M150" s="305" t="str">
        <f t="shared" si="24"/>
        <v>Shaved Ice (+100 Stamina)</v>
      </c>
      <c r="N150" s="301">
        <v>4.0</v>
      </c>
      <c r="O150" s="305">
        <f t="shared" si="25"/>
        <v>1</v>
      </c>
      <c r="P150" s="34" t="s">
        <v>67</v>
      </c>
      <c r="Q150" s="34" t="s">
        <v>68</v>
      </c>
      <c r="R150" s="34" t="s">
        <v>69</v>
      </c>
      <c r="S150" s="35">
        <v>46063.0</v>
      </c>
      <c r="T150" s="36"/>
      <c r="U150" s="36"/>
      <c r="V150" s="36"/>
      <c r="W150" s="36"/>
      <c r="X150" s="40"/>
      <c r="Y150" s="47"/>
      <c r="Z150" s="47"/>
    </row>
    <row r="151">
      <c r="A151" s="28">
        <f t="shared" si="1"/>
        <v>149</v>
      </c>
      <c r="B151" s="20"/>
      <c r="C151" s="21"/>
      <c r="D151" s="31" t="s">
        <v>1009</v>
      </c>
      <c r="E151" s="20"/>
      <c r="F151" s="21"/>
      <c r="G151" s="31" t="s">
        <v>1010</v>
      </c>
      <c r="H151" s="31" t="str">
        <f>'参照_ショップ'!F147</f>
        <v>Hearts</v>
      </c>
      <c r="I151" s="304">
        <f>'参照_ショップ'!G147</f>
        <v>30</v>
      </c>
      <c r="J151" s="301" t="s">
        <v>1011</v>
      </c>
      <c r="K151" s="315">
        <v>163308.0</v>
      </c>
      <c r="L151" s="301">
        <v>3.0</v>
      </c>
      <c r="M151" s="305" t="str">
        <f t="shared" si="24"/>
        <v>Hearts</v>
      </c>
      <c r="N151" s="301">
        <v>4.0</v>
      </c>
      <c r="O151" s="305">
        <f t="shared" si="25"/>
        <v>30</v>
      </c>
      <c r="P151" s="34" t="s">
        <v>67</v>
      </c>
      <c r="Q151" s="34" t="s">
        <v>68</v>
      </c>
      <c r="R151" s="34" t="s">
        <v>69</v>
      </c>
      <c r="S151" s="35">
        <v>46063.0</v>
      </c>
      <c r="T151" s="36"/>
      <c r="U151" s="36"/>
      <c r="V151" s="36"/>
      <c r="W151" s="36"/>
      <c r="X151" s="40"/>
      <c r="Y151" s="47"/>
      <c r="Z151" s="47"/>
    </row>
    <row r="152">
      <c r="A152" s="28">
        <f t="shared" si="1"/>
        <v>150</v>
      </c>
      <c r="B152" s="20"/>
      <c r="C152" s="316" t="s">
        <v>72</v>
      </c>
      <c r="D152" s="31" t="s">
        <v>1012</v>
      </c>
      <c r="E152" s="20"/>
      <c r="F152" s="316" t="s">
        <v>74</v>
      </c>
      <c r="G152" s="31" t="s">
        <v>1013</v>
      </c>
      <c r="H152" s="31"/>
      <c r="I152" s="304"/>
      <c r="J152" s="305"/>
      <c r="K152" s="305"/>
      <c r="L152" s="305"/>
      <c r="M152" s="305"/>
      <c r="N152" s="305"/>
      <c r="O152" s="305"/>
      <c r="P152" s="34" t="s">
        <v>67</v>
      </c>
      <c r="Q152" s="34" t="s">
        <v>68</v>
      </c>
      <c r="R152" s="34" t="s">
        <v>69</v>
      </c>
      <c r="S152" s="35">
        <v>46064.0</v>
      </c>
      <c r="T152" s="34" t="s">
        <v>67</v>
      </c>
      <c r="U152" s="28" t="s">
        <v>68</v>
      </c>
      <c r="V152" s="28" t="s">
        <v>69</v>
      </c>
      <c r="W152" s="45" t="s">
        <v>76</v>
      </c>
      <c r="X152" s="40"/>
      <c r="Y152" s="47"/>
      <c r="Z152" s="47"/>
    </row>
    <row r="153">
      <c r="A153" s="28">
        <f t="shared" si="1"/>
        <v>151</v>
      </c>
      <c r="B153" s="20"/>
      <c r="C153" s="20"/>
      <c r="D153" s="31" t="s">
        <v>1014</v>
      </c>
      <c r="E153" s="20"/>
      <c r="F153" s="20"/>
      <c r="G153" s="31" t="s">
        <v>1015</v>
      </c>
      <c r="H153" s="304">
        <f>'参照_ショップ'!$H$141</f>
        <v>2000</v>
      </c>
      <c r="I153" s="304">
        <f>'参照_ショップ'!$H$141</f>
        <v>2000</v>
      </c>
      <c r="J153" s="301" t="s">
        <v>1016</v>
      </c>
      <c r="K153" s="305">
        <v>11896.0</v>
      </c>
      <c r="L153" s="301">
        <v>8.0</v>
      </c>
      <c r="M153" s="305">
        <f t="array" ref="M153">VLOOKUP(K153,INDIRECT(J153),L153)</f>
        <v>2000</v>
      </c>
      <c r="N153" s="301"/>
      <c r="O153" s="305">
        <f>M153</f>
        <v>2000</v>
      </c>
      <c r="P153" s="34" t="s">
        <v>67</v>
      </c>
      <c r="Q153" s="34" t="s">
        <v>68</v>
      </c>
      <c r="R153" s="34" t="s">
        <v>69</v>
      </c>
      <c r="S153" s="35">
        <v>46063.0</v>
      </c>
      <c r="T153" s="36"/>
      <c r="U153" s="36"/>
      <c r="V153" s="36"/>
      <c r="W153" s="36"/>
      <c r="X153" s="40"/>
      <c r="Y153" s="47"/>
      <c r="Z153" s="47"/>
    </row>
    <row r="154">
      <c r="A154" s="28">
        <f t="shared" si="1"/>
        <v>152</v>
      </c>
      <c r="B154" s="20"/>
      <c r="C154" s="20"/>
      <c r="D154" s="42" t="s">
        <v>1017</v>
      </c>
      <c r="E154" s="20"/>
      <c r="F154" s="20"/>
      <c r="G154" s="42" t="s">
        <v>1018</v>
      </c>
      <c r="H154" s="31"/>
      <c r="I154" s="304"/>
      <c r="J154" s="305"/>
      <c r="K154" s="305"/>
      <c r="L154" s="305"/>
      <c r="M154" s="305"/>
      <c r="N154" s="305"/>
      <c r="O154" s="305"/>
      <c r="P154" s="34" t="s">
        <v>67</v>
      </c>
      <c r="Q154" s="34" t="s">
        <v>68</v>
      </c>
      <c r="R154" s="34" t="s">
        <v>69</v>
      </c>
      <c r="S154" s="35">
        <v>46064.0</v>
      </c>
      <c r="T154" s="34" t="s">
        <v>67</v>
      </c>
      <c r="U154" s="28" t="s">
        <v>68</v>
      </c>
      <c r="V154" s="28" t="s">
        <v>69</v>
      </c>
      <c r="W154" s="45" t="s">
        <v>76</v>
      </c>
      <c r="X154" s="40"/>
      <c r="Y154" s="47"/>
      <c r="Z154" s="47"/>
    </row>
    <row r="155">
      <c r="A155" s="28">
        <f t="shared" si="1"/>
        <v>153</v>
      </c>
      <c r="B155" s="20"/>
      <c r="C155" s="20"/>
      <c r="D155" s="42" t="s">
        <v>1019</v>
      </c>
      <c r="E155" s="20"/>
      <c r="F155" s="20"/>
      <c r="G155" s="42" t="s">
        <v>1020</v>
      </c>
      <c r="H155" s="31"/>
      <c r="I155" s="304"/>
      <c r="J155" s="305"/>
      <c r="K155" s="305"/>
      <c r="L155" s="305"/>
      <c r="M155" s="305"/>
      <c r="N155" s="305"/>
      <c r="O155" s="305"/>
      <c r="P155" s="34" t="s">
        <v>67</v>
      </c>
      <c r="Q155" s="34" t="s">
        <v>68</v>
      </c>
      <c r="R155" s="34" t="s">
        <v>69</v>
      </c>
      <c r="S155" s="35">
        <v>46064.0</v>
      </c>
      <c r="T155" s="34" t="s">
        <v>67</v>
      </c>
      <c r="U155" s="28" t="s">
        <v>68</v>
      </c>
      <c r="V155" s="28" t="s">
        <v>69</v>
      </c>
      <c r="W155" s="45" t="s">
        <v>76</v>
      </c>
      <c r="X155" s="40"/>
      <c r="Y155" s="47"/>
      <c r="Z155" s="47"/>
    </row>
    <row r="156">
      <c r="A156" s="28">
        <f t="shared" si="1"/>
        <v>154</v>
      </c>
      <c r="B156" s="21"/>
      <c r="C156" s="21"/>
      <c r="D156" s="42" t="s">
        <v>641</v>
      </c>
      <c r="E156" s="21"/>
      <c r="F156" s="21"/>
      <c r="G156" s="42" t="s">
        <v>1021</v>
      </c>
      <c r="H156" s="42" t="s">
        <v>1025</v>
      </c>
      <c r="I156" s="318"/>
      <c r="J156" s="305"/>
      <c r="K156" s="305"/>
      <c r="L156" s="305"/>
      <c r="M156" s="305"/>
      <c r="N156" s="305"/>
      <c r="O156" s="305"/>
      <c r="P156" s="34" t="s">
        <v>67</v>
      </c>
      <c r="Q156" s="34" t="s">
        <v>68</v>
      </c>
      <c r="R156" s="34" t="s">
        <v>69</v>
      </c>
      <c r="S156" s="35">
        <v>46064.0</v>
      </c>
      <c r="T156" s="34" t="s">
        <v>67</v>
      </c>
      <c r="U156" s="28" t="s">
        <v>68</v>
      </c>
      <c r="V156" s="28" t="s">
        <v>69</v>
      </c>
      <c r="W156" s="45" t="s">
        <v>76</v>
      </c>
      <c r="X156" s="40"/>
      <c r="Y156" s="47"/>
      <c r="Z156" s="47"/>
    </row>
    <row r="157">
      <c r="A157" s="28">
        <f t="shared" si="1"/>
        <v>155</v>
      </c>
      <c r="B157" s="59" t="str">
        <f>'参照_ショップ'!$D$151</f>
        <v>Mystic Matrimony◆Mini Warlord Set C</v>
      </c>
      <c r="C157" s="30" t="s">
        <v>997</v>
      </c>
      <c r="D157" s="37" t="s">
        <v>987</v>
      </c>
      <c r="E157" s="59" t="str">
        <f>'参照_ショップ'!$D$151</f>
        <v>Mystic Matrimony◆Mini Warlord Set C</v>
      </c>
      <c r="F157" s="30" t="s">
        <v>998</v>
      </c>
      <c r="G157" s="37" t="s">
        <v>990</v>
      </c>
      <c r="H157" s="49">
        <f>'参照_ショップ'!$J$151</f>
        <v>46074.70833</v>
      </c>
      <c r="I157" s="28"/>
      <c r="J157" s="301" t="s">
        <v>999</v>
      </c>
      <c r="K157" s="306">
        <v>13414.0</v>
      </c>
      <c r="L157" s="307">
        <v>9.0</v>
      </c>
      <c r="M157" s="308">
        <f t="shared" ref="M157:M160" si="26">VLOOKUP(K157,INDIRECT(J157),L157)</f>
        <v>46074.70833</v>
      </c>
      <c r="N157" s="305"/>
      <c r="O157" s="305"/>
      <c r="P157" s="34" t="s">
        <v>67</v>
      </c>
      <c r="Q157" s="34" t="s">
        <v>68</v>
      </c>
      <c r="R157" s="34" t="s">
        <v>69</v>
      </c>
      <c r="S157" s="35">
        <v>46063.0</v>
      </c>
      <c r="T157" s="36"/>
      <c r="U157" s="36"/>
      <c r="V157" s="36"/>
      <c r="W157" s="36"/>
      <c r="X157" s="37"/>
      <c r="Y157" s="47"/>
      <c r="Z157" s="47"/>
    </row>
    <row r="158">
      <c r="A158" s="28">
        <f t="shared" si="1"/>
        <v>156</v>
      </c>
      <c r="B158" s="20"/>
      <c r="C158" s="20"/>
      <c r="D158" s="37" t="s">
        <v>991</v>
      </c>
      <c r="E158" s="20"/>
      <c r="F158" s="20"/>
      <c r="G158" s="37" t="s">
        <v>992</v>
      </c>
      <c r="H158" s="49">
        <f>'参照_ショップ'!$K$151</f>
        <v>46080.70833</v>
      </c>
      <c r="I158" s="28"/>
      <c r="J158" s="301" t="s">
        <v>999</v>
      </c>
      <c r="K158" s="306">
        <v>13414.0</v>
      </c>
      <c r="L158" s="307">
        <v>10.0</v>
      </c>
      <c r="M158" s="308">
        <f t="shared" si="26"/>
        <v>46080.70833</v>
      </c>
      <c r="N158" s="305"/>
      <c r="O158" s="305"/>
      <c r="P158" s="34" t="s">
        <v>67</v>
      </c>
      <c r="Q158" s="34" t="s">
        <v>68</v>
      </c>
      <c r="R158" s="34" t="s">
        <v>69</v>
      </c>
      <c r="S158" s="35">
        <v>46063.0</v>
      </c>
      <c r="T158" s="36"/>
      <c r="U158" s="36"/>
      <c r="V158" s="36"/>
      <c r="W158" s="36"/>
      <c r="X158" s="40"/>
      <c r="Y158" s="47"/>
      <c r="Z158" s="47"/>
    </row>
    <row r="159">
      <c r="A159" s="28">
        <f t="shared" si="1"/>
        <v>157</v>
      </c>
      <c r="B159" s="20"/>
      <c r="C159" s="20"/>
      <c r="D159" s="37" t="s">
        <v>1000</v>
      </c>
      <c r="E159" s="20"/>
      <c r="F159" s="20"/>
      <c r="G159" s="37" t="s">
        <v>1001</v>
      </c>
      <c r="H159" s="37" t="str">
        <f>'参照_ショップ'!$D$151</f>
        <v>Mystic Matrimony◆Mini Warlord Set C</v>
      </c>
      <c r="I159" s="28"/>
      <c r="J159" s="301" t="s">
        <v>1002</v>
      </c>
      <c r="K159" s="306">
        <v>13414.0</v>
      </c>
      <c r="L159" s="301">
        <v>6.0</v>
      </c>
      <c r="M159" s="305" t="str">
        <f t="shared" si="26"/>
        <v>Mystic Matrimony◆Mini Warlord Set C</v>
      </c>
      <c r="N159" s="305"/>
      <c r="O159" s="305"/>
      <c r="P159" s="34" t="s">
        <v>67</v>
      </c>
      <c r="Q159" s="34" t="s">
        <v>68</v>
      </c>
      <c r="R159" s="34" t="s">
        <v>69</v>
      </c>
      <c r="S159" s="35">
        <v>46063.0</v>
      </c>
      <c r="T159" s="36"/>
      <c r="U159" s="36"/>
      <c r="V159" s="36"/>
      <c r="W159" s="36"/>
      <c r="X159" s="40"/>
      <c r="Y159" s="47"/>
      <c r="Z159" s="47"/>
    </row>
    <row r="160">
      <c r="A160" s="28">
        <f t="shared" si="1"/>
        <v>158</v>
      </c>
      <c r="B160" s="20"/>
      <c r="C160" s="20"/>
      <c r="D160" s="37" t="s">
        <v>1003</v>
      </c>
      <c r="E160" s="20"/>
      <c r="F160" s="20"/>
      <c r="G160" s="37" t="s">
        <v>1004</v>
      </c>
      <c r="H160" s="37">
        <f>'参照_ショップ'!$I$151</f>
        <v>1</v>
      </c>
      <c r="I160" s="28">
        <f>'参照_ショップ'!$I$151</f>
        <v>1</v>
      </c>
      <c r="J160" s="301" t="s">
        <v>999</v>
      </c>
      <c r="K160" s="306">
        <v>13414.0</v>
      </c>
      <c r="L160" s="301">
        <v>3.0</v>
      </c>
      <c r="M160" s="305">
        <f t="shared" si="26"/>
        <v>1</v>
      </c>
      <c r="N160" s="301">
        <v>3.0</v>
      </c>
      <c r="O160" s="305">
        <f t="array" ref="O160">VLOOKUP(K160,INDIRECT(J160),N160)</f>
        <v>1</v>
      </c>
      <c r="P160" s="34" t="s">
        <v>67</v>
      </c>
      <c r="Q160" s="34" t="s">
        <v>68</v>
      </c>
      <c r="R160" s="34" t="s">
        <v>69</v>
      </c>
      <c r="S160" s="35">
        <v>46063.0</v>
      </c>
      <c r="T160" s="36"/>
      <c r="U160" s="36"/>
      <c r="V160" s="36"/>
      <c r="W160" s="36"/>
      <c r="X160" s="40"/>
      <c r="Y160" s="47"/>
      <c r="Z160" s="47"/>
    </row>
    <row r="161">
      <c r="A161" s="28">
        <f t="shared" si="1"/>
        <v>159</v>
      </c>
      <c r="B161" s="20"/>
      <c r="C161" s="20"/>
      <c r="D161" s="37" t="s">
        <v>1005</v>
      </c>
      <c r="E161" s="20"/>
      <c r="F161" s="20"/>
      <c r="G161" s="37" t="s">
        <v>1006</v>
      </c>
      <c r="H161" s="37" t="str">
        <f>'参照_ショップ'!$E$151</f>
        <v>【Limited to 1 per Player】
*The Limited Items will disappear from your Present Box when the event is over.</v>
      </c>
      <c r="I161" s="28"/>
      <c r="J161" s="311" t="str">
        <f>HYPERLINK("https://common-legacy-app-admin.us.ikemen-sengoku.jp/admin/itemtrial/item_edit/"&amp;K161,"Search")</f>
        <v>Search</v>
      </c>
      <c r="K161" s="306">
        <v>13414.0</v>
      </c>
      <c r="L161" s="305"/>
      <c r="M161" s="307" t="s">
        <v>1031</v>
      </c>
      <c r="N161" s="301"/>
      <c r="O161" s="301"/>
      <c r="P161" s="34" t="s">
        <v>67</v>
      </c>
      <c r="Q161" s="34" t="s">
        <v>68</v>
      </c>
      <c r="R161" s="34" t="s">
        <v>69</v>
      </c>
      <c r="S161" s="35">
        <v>46063.0</v>
      </c>
      <c r="T161" s="36"/>
      <c r="U161" s="36"/>
      <c r="V161" s="36"/>
      <c r="W161" s="36"/>
      <c r="X161" s="40"/>
      <c r="Y161" s="40"/>
      <c r="Z161" s="47"/>
    </row>
    <row r="162">
      <c r="A162" s="28">
        <f t="shared" si="1"/>
        <v>160</v>
      </c>
      <c r="B162" s="20"/>
      <c r="C162" s="20"/>
      <c r="D162" s="37" t="s">
        <v>1009</v>
      </c>
      <c r="E162" s="20"/>
      <c r="F162" s="20"/>
      <c r="G162" s="37" t="s">
        <v>1010</v>
      </c>
      <c r="H162" s="37" t="str">
        <f>'参照_ショップ'!F151</f>
        <v>Kenshin with a Lantern</v>
      </c>
      <c r="I162" s="28">
        <f>'参照_ショップ'!G151</f>
        <v>1</v>
      </c>
      <c r="J162" s="301" t="s">
        <v>1011</v>
      </c>
      <c r="K162" s="315">
        <v>163309.0</v>
      </c>
      <c r="L162" s="301">
        <v>3.0</v>
      </c>
      <c r="M162" s="305" t="str">
        <f t="shared" ref="M162:M167" si="27">VLOOKUP(K162,INDIRECT(J162),L162)</f>
        <v>Kenshin with a Lantern</v>
      </c>
      <c r="N162" s="301">
        <v>4.0</v>
      </c>
      <c r="O162" s="305">
        <f t="shared" ref="O162:O167" si="28">VLOOKUP(K162,INDIRECT(J162),N162)</f>
        <v>1</v>
      </c>
      <c r="P162" s="34" t="s">
        <v>67</v>
      </c>
      <c r="Q162" s="34" t="s">
        <v>68</v>
      </c>
      <c r="R162" s="34" t="s">
        <v>69</v>
      </c>
      <c r="S162" s="35">
        <v>46063.0</v>
      </c>
      <c r="T162" s="36"/>
      <c r="U162" s="36"/>
      <c r="V162" s="36"/>
      <c r="W162" s="36"/>
      <c r="X162" s="40"/>
      <c r="Y162" s="47"/>
      <c r="Z162" s="47"/>
    </row>
    <row r="163">
      <c r="A163" s="28">
        <f t="shared" si="1"/>
        <v>161</v>
      </c>
      <c r="B163" s="20"/>
      <c r="C163" s="20"/>
      <c r="D163" s="37" t="s">
        <v>1009</v>
      </c>
      <c r="E163" s="20"/>
      <c r="F163" s="20"/>
      <c r="G163" s="37" t="s">
        <v>1010</v>
      </c>
      <c r="H163" s="37" t="str">
        <f>'参照_ショップ'!F152</f>
        <v>Hideyoshi with a Lantern</v>
      </c>
      <c r="I163" s="28">
        <f>'参照_ショップ'!G152</f>
        <v>1</v>
      </c>
      <c r="J163" s="301" t="s">
        <v>1011</v>
      </c>
      <c r="K163" s="315">
        <v>163310.0</v>
      </c>
      <c r="L163" s="301">
        <v>3.0</v>
      </c>
      <c r="M163" s="305" t="str">
        <f t="shared" si="27"/>
        <v>Hideyoshi with a Lantern</v>
      </c>
      <c r="N163" s="301">
        <v>4.0</v>
      </c>
      <c r="O163" s="305">
        <f t="shared" si="28"/>
        <v>1</v>
      </c>
      <c r="P163" s="34" t="s">
        <v>67</v>
      </c>
      <c r="Q163" s="34" t="s">
        <v>68</v>
      </c>
      <c r="R163" s="34" t="s">
        <v>69</v>
      </c>
      <c r="S163" s="35">
        <v>46063.0</v>
      </c>
      <c r="T163" s="36"/>
      <c r="U163" s="36"/>
      <c r="V163" s="36"/>
      <c r="W163" s="36"/>
      <c r="X163" s="40"/>
      <c r="Y163" s="47"/>
      <c r="Z163" s="47"/>
    </row>
    <row r="164">
      <c r="A164" s="28">
        <f t="shared" si="1"/>
        <v>162</v>
      </c>
      <c r="B164" s="20"/>
      <c r="C164" s="20"/>
      <c r="D164" s="37" t="s">
        <v>1009</v>
      </c>
      <c r="E164" s="20"/>
      <c r="F164" s="20"/>
      <c r="G164" s="37" t="s">
        <v>1010</v>
      </c>
      <c r="H164" s="37" t="str">
        <f>'参照_ショップ'!F153</f>
        <v>Shingen with a Lantern</v>
      </c>
      <c r="I164" s="28">
        <f>'参照_ショップ'!G153</f>
        <v>1</v>
      </c>
      <c r="J164" s="301" t="s">
        <v>1011</v>
      </c>
      <c r="K164" s="315">
        <v>163311.0</v>
      </c>
      <c r="L164" s="301">
        <v>3.0</v>
      </c>
      <c r="M164" s="305" t="str">
        <f t="shared" si="27"/>
        <v>Shingen with a Lantern</v>
      </c>
      <c r="N164" s="301">
        <v>4.0</v>
      </c>
      <c r="O164" s="305">
        <f t="shared" si="28"/>
        <v>1</v>
      </c>
      <c r="P164" s="34" t="s">
        <v>67</v>
      </c>
      <c r="Q164" s="34" t="s">
        <v>68</v>
      </c>
      <c r="R164" s="34" t="s">
        <v>69</v>
      </c>
      <c r="S164" s="35">
        <v>46063.0</v>
      </c>
      <c r="T164" s="36"/>
      <c r="U164" s="36"/>
      <c r="V164" s="36"/>
      <c r="W164" s="36"/>
      <c r="X164" s="40"/>
      <c r="Y164" s="47"/>
      <c r="Z164" s="47"/>
    </row>
    <row r="165">
      <c r="A165" s="28">
        <f t="shared" si="1"/>
        <v>163</v>
      </c>
      <c r="B165" s="20"/>
      <c r="C165" s="20"/>
      <c r="D165" s="37" t="s">
        <v>1009</v>
      </c>
      <c r="E165" s="20"/>
      <c r="F165" s="20"/>
      <c r="G165" s="37" t="s">
        <v>1010</v>
      </c>
      <c r="H165" s="37" t="str">
        <f>'参照_ショップ'!F154</f>
        <v>Castle Storage</v>
      </c>
      <c r="I165" s="28">
        <f>'参照_ショップ'!G154</f>
        <v>3</v>
      </c>
      <c r="J165" s="301" t="s">
        <v>1011</v>
      </c>
      <c r="K165" s="315">
        <v>163312.0</v>
      </c>
      <c r="L165" s="301">
        <v>3.0</v>
      </c>
      <c r="M165" s="305" t="str">
        <f t="shared" si="27"/>
        <v>Castle Storage</v>
      </c>
      <c r="N165" s="301">
        <v>4.0</v>
      </c>
      <c r="O165" s="305">
        <f t="shared" si="28"/>
        <v>3</v>
      </c>
      <c r="P165" s="34" t="s">
        <v>67</v>
      </c>
      <c r="Q165" s="34" t="s">
        <v>68</v>
      </c>
      <c r="R165" s="34" t="s">
        <v>69</v>
      </c>
      <c r="S165" s="35">
        <v>46063.0</v>
      </c>
      <c r="T165" s="36"/>
      <c r="U165" s="36"/>
      <c r="V165" s="36"/>
      <c r="W165" s="36"/>
      <c r="X165" s="40"/>
      <c r="Y165" s="47"/>
      <c r="Z165" s="47"/>
    </row>
    <row r="166">
      <c r="A166" s="28">
        <f t="shared" si="1"/>
        <v>164</v>
      </c>
      <c r="B166" s="20"/>
      <c r="C166" s="20"/>
      <c r="D166" s="37" t="s">
        <v>1009</v>
      </c>
      <c r="E166" s="20"/>
      <c r="F166" s="20"/>
      <c r="G166" s="37" t="s">
        <v>1010</v>
      </c>
      <c r="H166" s="37" t="str">
        <f>'参照_ショップ'!F155</f>
        <v>Shaved Ice (+100 Stamina)</v>
      </c>
      <c r="I166" s="28">
        <f>'参照_ショップ'!G155</f>
        <v>1</v>
      </c>
      <c r="J166" s="301" t="s">
        <v>1011</v>
      </c>
      <c r="K166" s="315">
        <v>163313.0</v>
      </c>
      <c r="L166" s="301">
        <v>3.0</v>
      </c>
      <c r="M166" s="305" t="str">
        <f t="shared" si="27"/>
        <v>Shaved Ice (+100 Stamina)</v>
      </c>
      <c r="N166" s="301">
        <v>4.0</v>
      </c>
      <c r="O166" s="305">
        <f t="shared" si="28"/>
        <v>1</v>
      </c>
      <c r="P166" s="34" t="s">
        <v>67</v>
      </c>
      <c r="Q166" s="34" t="s">
        <v>68</v>
      </c>
      <c r="R166" s="34" t="s">
        <v>69</v>
      </c>
      <c r="S166" s="35">
        <v>46063.0</v>
      </c>
      <c r="T166" s="36"/>
      <c r="U166" s="36"/>
      <c r="V166" s="36"/>
      <c r="W166" s="36"/>
      <c r="X166" s="40"/>
      <c r="Y166" s="47"/>
      <c r="Z166" s="47"/>
    </row>
    <row r="167">
      <c r="A167" s="28">
        <f t="shared" si="1"/>
        <v>165</v>
      </c>
      <c r="B167" s="20"/>
      <c r="C167" s="21"/>
      <c r="D167" s="37" t="s">
        <v>1009</v>
      </c>
      <c r="E167" s="20"/>
      <c r="F167" s="21"/>
      <c r="G167" s="37" t="s">
        <v>1010</v>
      </c>
      <c r="H167" s="37" t="str">
        <f>'参照_ショップ'!F156</f>
        <v>Hearts</v>
      </c>
      <c r="I167" s="28">
        <f>'参照_ショップ'!G156</f>
        <v>30</v>
      </c>
      <c r="J167" s="301" t="s">
        <v>1011</v>
      </c>
      <c r="K167" s="315">
        <v>163314.0</v>
      </c>
      <c r="L167" s="301">
        <v>3.0</v>
      </c>
      <c r="M167" s="305" t="str">
        <f t="shared" si="27"/>
        <v>Hearts</v>
      </c>
      <c r="N167" s="301">
        <v>4.0</v>
      </c>
      <c r="O167" s="305">
        <f t="shared" si="28"/>
        <v>30</v>
      </c>
      <c r="P167" s="34" t="s">
        <v>67</v>
      </c>
      <c r="Q167" s="34" t="s">
        <v>68</v>
      </c>
      <c r="R167" s="34" t="s">
        <v>69</v>
      </c>
      <c r="S167" s="35">
        <v>46063.0</v>
      </c>
      <c r="T167" s="36"/>
      <c r="U167" s="36"/>
      <c r="V167" s="36"/>
      <c r="W167" s="36"/>
      <c r="X167" s="40"/>
      <c r="Y167" s="47"/>
      <c r="Z167" s="47"/>
    </row>
    <row r="168">
      <c r="A168" s="28">
        <f t="shared" si="1"/>
        <v>166</v>
      </c>
      <c r="B168" s="20"/>
      <c r="C168" s="316" t="s">
        <v>72</v>
      </c>
      <c r="D168" s="37" t="s">
        <v>1012</v>
      </c>
      <c r="E168" s="20"/>
      <c r="F168" s="316" t="s">
        <v>74</v>
      </c>
      <c r="G168" s="37" t="s">
        <v>1013</v>
      </c>
      <c r="H168" s="37"/>
      <c r="I168" s="28"/>
      <c r="J168" s="305"/>
      <c r="K168" s="305"/>
      <c r="L168" s="305"/>
      <c r="M168" s="305"/>
      <c r="N168" s="305"/>
      <c r="O168" s="305"/>
      <c r="P168" s="34" t="s">
        <v>67</v>
      </c>
      <c r="Q168" s="34" t="s">
        <v>68</v>
      </c>
      <c r="R168" s="34" t="s">
        <v>69</v>
      </c>
      <c r="S168" s="35">
        <v>46064.0</v>
      </c>
      <c r="T168" s="34" t="s">
        <v>67</v>
      </c>
      <c r="U168" s="28" t="s">
        <v>68</v>
      </c>
      <c r="V168" s="28" t="s">
        <v>69</v>
      </c>
      <c r="W168" s="45" t="s">
        <v>76</v>
      </c>
      <c r="X168" s="40"/>
      <c r="Y168" s="47"/>
      <c r="Z168" s="47"/>
    </row>
    <row r="169">
      <c r="A169" s="28">
        <f t="shared" si="1"/>
        <v>167</v>
      </c>
      <c r="B169" s="20"/>
      <c r="C169" s="20"/>
      <c r="D169" s="37" t="s">
        <v>1014</v>
      </c>
      <c r="E169" s="20"/>
      <c r="F169" s="20"/>
      <c r="G169" s="37" t="s">
        <v>1015</v>
      </c>
      <c r="H169" s="28">
        <f>'参照_ショップ'!$H$131</f>
        <v>2000</v>
      </c>
      <c r="I169" s="28">
        <f>'参照_ショップ'!$H$131</f>
        <v>2000</v>
      </c>
      <c r="J169" s="301" t="s">
        <v>1016</v>
      </c>
      <c r="K169" s="305">
        <v>11897.0</v>
      </c>
      <c r="L169" s="301">
        <v>8.0</v>
      </c>
      <c r="M169" s="305">
        <f t="array" ref="M169">VLOOKUP(K169,INDIRECT(J169),L169)</f>
        <v>2000</v>
      </c>
      <c r="N169" s="301"/>
      <c r="O169" s="305">
        <f>M169</f>
        <v>2000</v>
      </c>
      <c r="P169" s="34" t="s">
        <v>67</v>
      </c>
      <c r="Q169" s="34" t="s">
        <v>68</v>
      </c>
      <c r="R169" s="34" t="s">
        <v>69</v>
      </c>
      <c r="S169" s="35">
        <v>46063.0</v>
      </c>
      <c r="T169" s="36"/>
      <c r="U169" s="36"/>
      <c r="V169" s="36"/>
      <c r="W169" s="36"/>
      <c r="X169" s="40"/>
      <c r="Y169" s="47"/>
      <c r="Z169" s="47"/>
    </row>
    <row r="170">
      <c r="A170" s="28">
        <f t="shared" si="1"/>
        <v>168</v>
      </c>
      <c r="B170" s="20"/>
      <c r="C170" s="20"/>
      <c r="D170" s="47" t="s">
        <v>1017</v>
      </c>
      <c r="E170" s="20"/>
      <c r="F170" s="20"/>
      <c r="G170" s="47" t="s">
        <v>1018</v>
      </c>
      <c r="H170" s="37"/>
      <c r="I170" s="28"/>
      <c r="J170" s="305"/>
      <c r="K170" s="305"/>
      <c r="L170" s="305"/>
      <c r="M170" s="305"/>
      <c r="N170" s="305"/>
      <c r="O170" s="305"/>
      <c r="P170" s="34" t="s">
        <v>67</v>
      </c>
      <c r="Q170" s="34" t="s">
        <v>68</v>
      </c>
      <c r="R170" s="34" t="s">
        <v>69</v>
      </c>
      <c r="S170" s="35">
        <v>46064.0</v>
      </c>
      <c r="T170" s="34" t="s">
        <v>67</v>
      </c>
      <c r="U170" s="28" t="s">
        <v>68</v>
      </c>
      <c r="V170" s="28" t="s">
        <v>69</v>
      </c>
      <c r="W170" s="45" t="s">
        <v>76</v>
      </c>
      <c r="X170" s="40"/>
      <c r="Y170" s="47"/>
      <c r="Z170" s="47"/>
    </row>
    <row r="171">
      <c r="A171" s="28">
        <f t="shared" si="1"/>
        <v>169</v>
      </c>
      <c r="B171" s="20"/>
      <c r="C171" s="20"/>
      <c r="D171" s="47" t="s">
        <v>1019</v>
      </c>
      <c r="E171" s="20"/>
      <c r="F171" s="20"/>
      <c r="G171" s="47" t="s">
        <v>1020</v>
      </c>
      <c r="H171" s="37"/>
      <c r="I171" s="28"/>
      <c r="J171" s="305"/>
      <c r="K171" s="305"/>
      <c r="L171" s="305"/>
      <c r="M171" s="305"/>
      <c r="N171" s="305"/>
      <c r="O171" s="305"/>
      <c r="P171" s="34" t="s">
        <v>67</v>
      </c>
      <c r="Q171" s="34" t="s">
        <v>68</v>
      </c>
      <c r="R171" s="34" t="s">
        <v>69</v>
      </c>
      <c r="S171" s="35">
        <v>46064.0</v>
      </c>
      <c r="T171" s="34" t="s">
        <v>67</v>
      </c>
      <c r="U171" s="28" t="s">
        <v>68</v>
      </c>
      <c r="V171" s="28" t="s">
        <v>69</v>
      </c>
      <c r="W171" s="45" t="s">
        <v>76</v>
      </c>
      <c r="X171" s="40"/>
      <c r="Y171" s="47"/>
      <c r="Z171" s="47"/>
    </row>
    <row r="172">
      <c r="A172" s="28">
        <f t="shared" si="1"/>
        <v>170</v>
      </c>
      <c r="B172" s="21"/>
      <c r="C172" s="21"/>
      <c r="D172" s="47" t="s">
        <v>641</v>
      </c>
      <c r="E172" s="21"/>
      <c r="F172" s="21"/>
      <c r="G172" s="47" t="s">
        <v>1021</v>
      </c>
      <c r="H172" s="47" t="s">
        <v>1025</v>
      </c>
      <c r="I172" s="40"/>
      <c r="J172" s="305"/>
      <c r="K172" s="305"/>
      <c r="L172" s="305"/>
      <c r="M172" s="305"/>
      <c r="N172" s="305"/>
      <c r="O172" s="305"/>
      <c r="P172" s="34" t="s">
        <v>67</v>
      </c>
      <c r="Q172" s="34" t="s">
        <v>68</v>
      </c>
      <c r="R172" s="34" t="s">
        <v>69</v>
      </c>
      <c r="S172" s="35">
        <v>46064.0</v>
      </c>
      <c r="T172" s="34" t="s">
        <v>67</v>
      </c>
      <c r="U172" s="28" t="s">
        <v>68</v>
      </c>
      <c r="V172" s="28" t="s">
        <v>69</v>
      </c>
      <c r="W172" s="45" t="s">
        <v>76</v>
      </c>
      <c r="X172" s="40"/>
      <c r="Y172" s="47"/>
      <c r="Z172" s="47"/>
    </row>
    <row r="173">
      <c r="A173" s="28">
        <f t="shared" si="1"/>
        <v>171</v>
      </c>
      <c r="B173" s="29" t="str">
        <f>'参照_ショップ'!$D$161</f>
        <v>Mystic Matrimony◆Story Set</v>
      </c>
      <c r="C173" s="30" t="s">
        <v>997</v>
      </c>
      <c r="D173" s="31" t="s">
        <v>987</v>
      </c>
      <c r="E173" s="29" t="str">
        <f>'参照_ショップ'!$D$161</f>
        <v>Mystic Matrimony◆Story Set</v>
      </c>
      <c r="F173" s="30" t="s">
        <v>998</v>
      </c>
      <c r="G173" s="31" t="s">
        <v>990</v>
      </c>
      <c r="H173" s="33">
        <f>'参照_ショップ'!$J$161</f>
        <v>46074.70833</v>
      </c>
      <c r="I173" s="304"/>
      <c r="J173" s="301" t="s">
        <v>999</v>
      </c>
      <c r="K173" s="306">
        <v>13416.0</v>
      </c>
      <c r="L173" s="307">
        <v>9.0</v>
      </c>
      <c r="M173" s="308">
        <f t="shared" ref="M173:M176" si="29">VLOOKUP(K173,INDIRECT(J173),L173)</f>
        <v>46074.70833</v>
      </c>
      <c r="N173" s="305"/>
      <c r="O173" s="305"/>
      <c r="P173" s="34" t="s">
        <v>67</v>
      </c>
      <c r="Q173" s="34" t="s">
        <v>68</v>
      </c>
      <c r="R173" s="34" t="s">
        <v>69</v>
      </c>
      <c r="S173" s="35">
        <v>46063.0</v>
      </c>
      <c r="T173" s="36"/>
      <c r="U173" s="36"/>
      <c r="V173" s="36"/>
      <c r="W173" s="36"/>
      <c r="X173" s="37"/>
      <c r="Y173" s="47"/>
      <c r="Z173" s="47"/>
    </row>
    <row r="174">
      <c r="A174" s="28">
        <f t="shared" si="1"/>
        <v>172</v>
      </c>
      <c r="B174" s="20"/>
      <c r="C174" s="20"/>
      <c r="D174" s="31" t="s">
        <v>991</v>
      </c>
      <c r="E174" s="20"/>
      <c r="F174" s="20"/>
      <c r="G174" s="31" t="s">
        <v>992</v>
      </c>
      <c r="H174" s="33">
        <f>'参照_ショップ'!$K$161</f>
        <v>46080.70833</v>
      </c>
      <c r="I174" s="304"/>
      <c r="J174" s="301" t="s">
        <v>999</v>
      </c>
      <c r="K174" s="306">
        <v>13416.0</v>
      </c>
      <c r="L174" s="307">
        <v>10.0</v>
      </c>
      <c r="M174" s="308">
        <f t="shared" si="29"/>
        <v>46080.70833</v>
      </c>
      <c r="N174" s="305"/>
      <c r="O174" s="305"/>
      <c r="P174" s="34" t="s">
        <v>67</v>
      </c>
      <c r="Q174" s="34" t="s">
        <v>68</v>
      </c>
      <c r="R174" s="34" t="s">
        <v>69</v>
      </c>
      <c r="S174" s="35">
        <v>46063.0</v>
      </c>
      <c r="T174" s="36"/>
      <c r="U174" s="36"/>
      <c r="V174" s="36"/>
      <c r="W174" s="36"/>
      <c r="X174" s="40"/>
      <c r="Y174" s="47"/>
      <c r="Z174" s="47"/>
    </row>
    <row r="175">
      <c r="A175" s="28">
        <f t="shared" si="1"/>
        <v>173</v>
      </c>
      <c r="B175" s="20"/>
      <c r="C175" s="20"/>
      <c r="D175" s="31" t="s">
        <v>1000</v>
      </c>
      <c r="E175" s="20"/>
      <c r="F175" s="20"/>
      <c r="G175" s="31" t="s">
        <v>1001</v>
      </c>
      <c r="H175" s="31" t="str">
        <f>'参照_ショップ'!$D$161</f>
        <v>Mystic Matrimony◆Story Set</v>
      </c>
      <c r="I175" s="304"/>
      <c r="J175" s="301" t="s">
        <v>1002</v>
      </c>
      <c r="K175" s="306">
        <v>13416.0</v>
      </c>
      <c r="L175" s="301">
        <v>6.0</v>
      </c>
      <c r="M175" s="305" t="str">
        <f t="shared" si="29"/>
        <v>Mystic Matrimony◆Story Set</v>
      </c>
      <c r="N175" s="305"/>
      <c r="O175" s="305"/>
      <c r="P175" s="34" t="s">
        <v>67</v>
      </c>
      <c r="Q175" s="34" t="s">
        <v>68</v>
      </c>
      <c r="R175" s="34" t="s">
        <v>69</v>
      </c>
      <c r="S175" s="35">
        <v>46063.0</v>
      </c>
      <c r="T175" s="36"/>
      <c r="U175" s="36"/>
      <c r="V175" s="36"/>
      <c r="W175" s="36"/>
      <c r="X175" s="40"/>
      <c r="Y175" s="47"/>
      <c r="Z175" s="47"/>
    </row>
    <row r="176">
      <c r="A176" s="28">
        <f t="shared" si="1"/>
        <v>174</v>
      </c>
      <c r="B176" s="20"/>
      <c r="C176" s="20"/>
      <c r="D176" s="31" t="s">
        <v>1003</v>
      </c>
      <c r="E176" s="20"/>
      <c r="F176" s="20"/>
      <c r="G176" s="31" t="s">
        <v>1004</v>
      </c>
      <c r="H176" s="31">
        <v>999.0</v>
      </c>
      <c r="I176" s="304">
        <v>999.0</v>
      </c>
      <c r="J176" s="301" t="s">
        <v>999</v>
      </c>
      <c r="K176" s="306">
        <v>13416.0</v>
      </c>
      <c r="L176" s="301">
        <v>3.0</v>
      </c>
      <c r="M176" s="305">
        <f t="shared" si="29"/>
        <v>999</v>
      </c>
      <c r="N176" s="301">
        <v>3.0</v>
      </c>
      <c r="O176" s="305">
        <f t="array" ref="O176">VLOOKUP(K176,INDIRECT(J176),N176)</f>
        <v>999</v>
      </c>
      <c r="P176" s="34" t="s">
        <v>67</v>
      </c>
      <c r="Q176" s="34" t="s">
        <v>68</v>
      </c>
      <c r="R176" s="34" t="s">
        <v>69</v>
      </c>
      <c r="S176" s="35">
        <v>46063.0</v>
      </c>
      <c r="T176" s="36"/>
      <c r="U176" s="36"/>
      <c r="V176" s="36"/>
      <c r="W176" s="36"/>
      <c r="X176" s="40"/>
      <c r="Y176" s="47"/>
      <c r="Z176" s="47"/>
    </row>
    <row r="177">
      <c r="A177" s="28">
        <f t="shared" si="1"/>
        <v>175</v>
      </c>
      <c r="B177" s="20"/>
      <c r="C177" s="20"/>
      <c r="D177" s="31" t="s">
        <v>1005</v>
      </c>
      <c r="E177" s="20"/>
      <c r="F177" s="20"/>
      <c r="G177" s="31" t="s">
        <v>1006</v>
      </c>
      <c r="H177" s="31" t="str">
        <f>'参照_ショップ'!$E$161</f>
        <v>Get all the help you need with this set, full of Perfume and Chapter Tickets!
*The Limited Chapter Tickets will disappear from your Present Box when the event is over.</v>
      </c>
      <c r="I177" s="304"/>
      <c r="J177" s="311" t="str">
        <f>HYPERLINK("https://common-legacy-app-admin.us.ikemen-sengoku.jp/admin/itemtrial/item_edit/"&amp;K177,"Search")</f>
        <v>Search</v>
      </c>
      <c r="K177" s="306">
        <v>13416.0</v>
      </c>
      <c r="L177" s="305"/>
      <c r="M177" s="307" t="s">
        <v>1032</v>
      </c>
      <c r="N177" s="301"/>
      <c r="O177" s="301"/>
      <c r="P177" s="34" t="s">
        <v>67</v>
      </c>
      <c r="Q177" s="34" t="s">
        <v>68</v>
      </c>
      <c r="R177" s="34" t="s">
        <v>69</v>
      </c>
      <c r="S177" s="35">
        <v>46063.0</v>
      </c>
      <c r="T177" s="36"/>
      <c r="U177" s="36"/>
      <c r="V177" s="36"/>
      <c r="W177" s="36"/>
      <c r="X177" s="40"/>
      <c r="Y177" s="47"/>
      <c r="Z177" s="47"/>
    </row>
    <row r="178">
      <c r="A178" s="28">
        <f t="shared" si="1"/>
        <v>176</v>
      </c>
      <c r="B178" s="20"/>
      <c r="C178" s="20"/>
      <c r="D178" s="31" t="s">
        <v>1009</v>
      </c>
      <c r="E178" s="20"/>
      <c r="F178" s="20"/>
      <c r="G178" s="31" t="s">
        <v>1010</v>
      </c>
      <c r="H178" s="31" t="str">
        <f>'参照_ショップ'!F161</f>
        <v>Limited Chapter Ticket</v>
      </c>
      <c r="I178" s="304">
        <f>'参照_ショップ'!G161</f>
        <v>35</v>
      </c>
      <c r="J178" s="301" t="s">
        <v>1011</v>
      </c>
      <c r="K178" s="315">
        <v>163322.0</v>
      </c>
      <c r="L178" s="301">
        <v>3.0</v>
      </c>
      <c r="M178" s="305" t="str">
        <f t="shared" ref="M178:M179" si="30">VLOOKUP(K178,INDIRECT(J178),L178)</f>
        <v>Limited Chapter Ticket</v>
      </c>
      <c r="N178" s="301">
        <v>4.0</v>
      </c>
      <c r="O178" s="305">
        <f t="shared" ref="O178:O179" si="31">VLOOKUP(K178,INDIRECT(J178),N178)</f>
        <v>35</v>
      </c>
      <c r="P178" s="34" t="s">
        <v>67</v>
      </c>
      <c r="Q178" s="34" t="s">
        <v>68</v>
      </c>
      <c r="R178" s="34" t="s">
        <v>69</v>
      </c>
      <c r="S178" s="35">
        <v>46063.0</v>
      </c>
      <c r="T178" s="36"/>
      <c r="U178" s="36"/>
      <c r="V178" s="36"/>
      <c r="W178" s="36"/>
      <c r="X178" s="40"/>
      <c r="Y178" s="47"/>
      <c r="Z178" s="47"/>
    </row>
    <row r="179">
      <c r="A179" s="28">
        <f t="shared" si="1"/>
        <v>177</v>
      </c>
      <c r="B179" s="20"/>
      <c r="C179" s="21"/>
      <c r="D179" s="31" t="s">
        <v>1009</v>
      </c>
      <c r="E179" s="20"/>
      <c r="F179" s="21"/>
      <c r="G179" s="31" t="s">
        <v>1010</v>
      </c>
      <c r="H179" s="31" t="str">
        <f>'参照_ショップ'!F162</f>
        <v>Perfume (+3000 Grace)</v>
      </c>
      <c r="I179" s="304">
        <f>'参照_ショップ'!G162</f>
        <v>2</v>
      </c>
      <c r="J179" s="301" t="s">
        <v>1011</v>
      </c>
      <c r="K179" s="315">
        <v>163323.0</v>
      </c>
      <c r="L179" s="301">
        <v>3.0</v>
      </c>
      <c r="M179" s="305" t="str">
        <f t="shared" si="30"/>
        <v>Perfume (+3000 Grace)</v>
      </c>
      <c r="N179" s="301">
        <v>4.0</v>
      </c>
      <c r="O179" s="305">
        <f t="shared" si="31"/>
        <v>2</v>
      </c>
      <c r="P179" s="34" t="s">
        <v>67</v>
      </c>
      <c r="Q179" s="34" t="s">
        <v>68</v>
      </c>
      <c r="R179" s="34" t="s">
        <v>69</v>
      </c>
      <c r="S179" s="35">
        <v>46063.0</v>
      </c>
      <c r="T179" s="36"/>
      <c r="U179" s="36"/>
      <c r="V179" s="36"/>
      <c r="W179" s="36"/>
      <c r="X179" s="40"/>
      <c r="Y179" s="47"/>
      <c r="Z179" s="47"/>
    </row>
    <row r="180">
      <c r="A180" s="28">
        <f t="shared" si="1"/>
        <v>178</v>
      </c>
      <c r="B180" s="20"/>
      <c r="C180" s="316" t="s">
        <v>72</v>
      </c>
      <c r="D180" s="31" t="s">
        <v>1012</v>
      </c>
      <c r="E180" s="20"/>
      <c r="F180" s="316" t="s">
        <v>74</v>
      </c>
      <c r="G180" s="31" t="s">
        <v>1013</v>
      </c>
      <c r="H180" s="31"/>
      <c r="I180" s="304"/>
      <c r="J180" s="305"/>
      <c r="K180" s="305"/>
      <c r="L180" s="305"/>
      <c r="M180" s="305"/>
      <c r="N180" s="305"/>
      <c r="O180" s="305"/>
      <c r="P180" s="34" t="s">
        <v>67</v>
      </c>
      <c r="Q180" s="34" t="s">
        <v>68</v>
      </c>
      <c r="R180" s="34" t="s">
        <v>69</v>
      </c>
      <c r="S180" s="35">
        <v>46064.0</v>
      </c>
      <c r="T180" s="34" t="s">
        <v>67</v>
      </c>
      <c r="U180" s="28" t="s">
        <v>68</v>
      </c>
      <c r="V180" s="28" t="s">
        <v>69</v>
      </c>
      <c r="W180" s="45" t="s">
        <v>76</v>
      </c>
      <c r="X180" s="40"/>
      <c r="Y180" s="47"/>
      <c r="Z180" s="47"/>
    </row>
    <row r="181">
      <c r="A181" s="28">
        <f t="shared" si="1"/>
        <v>179</v>
      </c>
      <c r="B181" s="20"/>
      <c r="C181" s="20"/>
      <c r="D181" s="31" t="s">
        <v>1014</v>
      </c>
      <c r="E181" s="20"/>
      <c r="F181" s="20"/>
      <c r="G181" s="31" t="s">
        <v>1015</v>
      </c>
      <c r="H181" s="304">
        <f>'参照_ショップ'!$H$161</f>
        <v>3500</v>
      </c>
      <c r="I181" s="304">
        <f>'参照_ショップ'!$H$161</f>
        <v>3500</v>
      </c>
      <c r="J181" s="301" t="s">
        <v>1016</v>
      </c>
      <c r="K181" s="305">
        <v>11899.0</v>
      </c>
      <c r="L181" s="301">
        <v>8.0</v>
      </c>
      <c r="M181" s="305">
        <f t="array" ref="M181">VLOOKUP(K181,INDIRECT(J181),L181)</f>
        <v>3500</v>
      </c>
      <c r="N181" s="301"/>
      <c r="O181" s="305">
        <f>M181</f>
        <v>3500</v>
      </c>
      <c r="P181" s="34" t="s">
        <v>67</v>
      </c>
      <c r="Q181" s="34" t="s">
        <v>68</v>
      </c>
      <c r="R181" s="34" t="s">
        <v>69</v>
      </c>
      <c r="S181" s="35">
        <v>46063.0</v>
      </c>
      <c r="T181" s="36"/>
      <c r="U181" s="36"/>
      <c r="V181" s="36"/>
      <c r="W181" s="36"/>
      <c r="X181" s="40"/>
      <c r="Y181" s="47"/>
      <c r="Z181" s="47"/>
    </row>
    <row r="182">
      <c r="A182" s="28">
        <f t="shared" si="1"/>
        <v>180</v>
      </c>
      <c r="B182" s="20"/>
      <c r="C182" s="20"/>
      <c r="D182" s="42" t="s">
        <v>1017</v>
      </c>
      <c r="E182" s="20"/>
      <c r="F182" s="20"/>
      <c r="G182" s="42" t="s">
        <v>1018</v>
      </c>
      <c r="H182" s="31"/>
      <c r="I182" s="304"/>
      <c r="J182" s="305"/>
      <c r="K182" s="305"/>
      <c r="L182" s="305"/>
      <c r="M182" s="305"/>
      <c r="N182" s="305"/>
      <c r="O182" s="305"/>
      <c r="P182" s="34" t="s">
        <v>67</v>
      </c>
      <c r="Q182" s="34" t="s">
        <v>68</v>
      </c>
      <c r="R182" s="34" t="s">
        <v>69</v>
      </c>
      <c r="S182" s="35">
        <v>46064.0</v>
      </c>
      <c r="T182" s="34" t="s">
        <v>67</v>
      </c>
      <c r="U182" s="28" t="s">
        <v>68</v>
      </c>
      <c r="V182" s="28" t="s">
        <v>69</v>
      </c>
      <c r="W182" s="45" t="s">
        <v>76</v>
      </c>
      <c r="X182" s="40"/>
      <c r="Y182" s="47"/>
      <c r="Z182" s="47"/>
    </row>
    <row r="183">
      <c r="A183" s="28">
        <f t="shared" si="1"/>
        <v>181</v>
      </c>
      <c r="B183" s="20"/>
      <c r="C183" s="20"/>
      <c r="D183" s="42" t="s">
        <v>1019</v>
      </c>
      <c r="E183" s="20"/>
      <c r="F183" s="20"/>
      <c r="G183" s="42" t="s">
        <v>1020</v>
      </c>
      <c r="H183" s="31"/>
      <c r="I183" s="304"/>
      <c r="J183" s="305"/>
      <c r="K183" s="305"/>
      <c r="L183" s="305"/>
      <c r="M183" s="305"/>
      <c r="N183" s="305"/>
      <c r="O183" s="305"/>
      <c r="P183" s="34" t="s">
        <v>67</v>
      </c>
      <c r="Q183" s="34" t="s">
        <v>68</v>
      </c>
      <c r="R183" s="34" t="s">
        <v>69</v>
      </c>
      <c r="S183" s="35">
        <v>46064.0</v>
      </c>
      <c r="T183" s="34" t="s">
        <v>67</v>
      </c>
      <c r="U183" s="28" t="s">
        <v>68</v>
      </c>
      <c r="V183" s="28" t="s">
        <v>69</v>
      </c>
      <c r="W183" s="45" t="s">
        <v>76</v>
      </c>
      <c r="X183" s="40"/>
      <c r="Y183" s="47"/>
      <c r="Z183" s="47"/>
    </row>
    <row r="184">
      <c r="A184" s="28">
        <f t="shared" si="1"/>
        <v>182</v>
      </c>
      <c r="B184" s="21"/>
      <c r="C184" s="21"/>
      <c r="D184" s="42" t="s">
        <v>641</v>
      </c>
      <c r="E184" s="21"/>
      <c r="F184" s="21"/>
      <c r="G184" s="42" t="s">
        <v>1021</v>
      </c>
      <c r="H184" s="42" t="s">
        <v>1025</v>
      </c>
      <c r="I184" s="318"/>
      <c r="J184" s="305"/>
      <c r="K184" s="305"/>
      <c r="L184" s="305"/>
      <c r="M184" s="305"/>
      <c r="N184" s="305"/>
      <c r="O184" s="305"/>
      <c r="P184" s="34" t="s">
        <v>67</v>
      </c>
      <c r="Q184" s="34" t="s">
        <v>68</v>
      </c>
      <c r="R184" s="34" t="s">
        <v>69</v>
      </c>
      <c r="S184" s="35">
        <v>46064.0</v>
      </c>
      <c r="T184" s="34" t="s">
        <v>67</v>
      </c>
      <c r="U184" s="28" t="s">
        <v>68</v>
      </c>
      <c r="V184" s="28" t="s">
        <v>69</v>
      </c>
      <c r="W184" s="45" t="s">
        <v>76</v>
      </c>
      <c r="X184" s="40"/>
      <c r="Y184" s="47"/>
      <c r="Z184" s="47"/>
    </row>
    <row r="185">
      <c r="A185" s="28">
        <f t="shared" si="1"/>
        <v>183</v>
      </c>
      <c r="B185" s="59" t="str">
        <f>'参照_ショップ'!$D$171</f>
        <v>Mystic Matrimony◆Shaved Ice Set</v>
      </c>
      <c r="C185" s="30" t="s">
        <v>997</v>
      </c>
      <c r="D185" s="37" t="s">
        <v>987</v>
      </c>
      <c r="E185" s="59" t="str">
        <f>'参照_ショップ'!$D$171</f>
        <v>Mystic Matrimony◆Shaved Ice Set</v>
      </c>
      <c r="F185" s="30" t="s">
        <v>998</v>
      </c>
      <c r="G185" s="37" t="s">
        <v>990</v>
      </c>
      <c r="H185" s="49">
        <f>'参照_ショップ'!$J$171</f>
        <v>46074.70833</v>
      </c>
      <c r="I185" s="28"/>
      <c r="J185" s="301" t="s">
        <v>999</v>
      </c>
      <c r="K185" s="306">
        <v>13417.0</v>
      </c>
      <c r="L185" s="307">
        <v>9.0</v>
      </c>
      <c r="M185" s="308">
        <f t="shared" ref="M185:M188" si="32">VLOOKUP(K185,INDIRECT(J185),L185)</f>
        <v>46074.70833</v>
      </c>
      <c r="N185" s="305"/>
      <c r="O185" s="305"/>
      <c r="P185" s="34" t="s">
        <v>67</v>
      </c>
      <c r="Q185" s="34" t="s">
        <v>68</v>
      </c>
      <c r="R185" s="34" t="s">
        <v>69</v>
      </c>
      <c r="S185" s="35">
        <v>46063.0</v>
      </c>
      <c r="T185" s="36"/>
      <c r="U185" s="36"/>
      <c r="V185" s="36"/>
      <c r="W185" s="36"/>
      <c r="X185" s="37"/>
      <c r="Y185" s="47"/>
      <c r="Z185" s="47"/>
    </row>
    <row r="186">
      <c r="A186" s="28">
        <f t="shared" si="1"/>
        <v>184</v>
      </c>
      <c r="B186" s="20"/>
      <c r="C186" s="20"/>
      <c r="D186" s="37" t="s">
        <v>991</v>
      </c>
      <c r="E186" s="20"/>
      <c r="F186" s="20"/>
      <c r="G186" s="37" t="s">
        <v>992</v>
      </c>
      <c r="H186" s="49">
        <f>'参照_ショップ'!$K$171</f>
        <v>46080.70833</v>
      </c>
      <c r="I186" s="28"/>
      <c r="J186" s="301" t="s">
        <v>999</v>
      </c>
      <c r="K186" s="306">
        <v>13417.0</v>
      </c>
      <c r="L186" s="307">
        <v>10.0</v>
      </c>
      <c r="M186" s="308">
        <f t="shared" si="32"/>
        <v>46080.70833</v>
      </c>
      <c r="N186" s="305"/>
      <c r="O186" s="305"/>
      <c r="P186" s="34" t="s">
        <v>67</v>
      </c>
      <c r="Q186" s="34" t="s">
        <v>68</v>
      </c>
      <c r="R186" s="34" t="s">
        <v>69</v>
      </c>
      <c r="S186" s="35">
        <v>46063.0</v>
      </c>
      <c r="T186" s="36"/>
      <c r="U186" s="36"/>
      <c r="V186" s="36"/>
      <c r="W186" s="36"/>
      <c r="X186" s="40"/>
      <c r="Y186" s="47"/>
      <c r="Z186" s="47"/>
    </row>
    <row r="187">
      <c r="A187" s="28">
        <f t="shared" si="1"/>
        <v>185</v>
      </c>
      <c r="B187" s="20"/>
      <c r="C187" s="20"/>
      <c r="D187" s="37" t="s">
        <v>1000</v>
      </c>
      <c r="E187" s="20"/>
      <c r="F187" s="20"/>
      <c r="G187" s="37" t="s">
        <v>1001</v>
      </c>
      <c r="H187" s="37" t="str">
        <f>'参照_ショップ'!$D$171</f>
        <v>Mystic Matrimony◆Shaved Ice Set</v>
      </c>
      <c r="I187" s="28"/>
      <c r="J187" s="301" t="s">
        <v>1002</v>
      </c>
      <c r="K187" s="306">
        <v>13417.0</v>
      </c>
      <c r="L187" s="301">
        <v>6.0</v>
      </c>
      <c r="M187" s="305" t="str">
        <f t="shared" si="32"/>
        <v>Mystic Matrimony◆Shaved Ice Set</v>
      </c>
      <c r="N187" s="305"/>
      <c r="O187" s="305"/>
      <c r="P187" s="34" t="s">
        <v>67</v>
      </c>
      <c r="Q187" s="34" t="s">
        <v>68</v>
      </c>
      <c r="R187" s="34" t="s">
        <v>69</v>
      </c>
      <c r="S187" s="35">
        <v>46063.0</v>
      </c>
      <c r="T187" s="36"/>
      <c r="U187" s="36"/>
      <c r="V187" s="36"/>
      <c r="W187" s="36"/>
      <c r="X187" s="40"/>
      <c r="Y187" s="47"/>
      <c r="Z187" s="47"/>
    </row>
    <row r="188">
      <c r="A188" s="28">
        <f t="shared" si="1"/>
        <v>186</v>
      </c>
      <c r="B188" s="20"/>
      <c r="C188" s="20"/>
      <c r="D188" s="37" t="s">
        <v>1003</v>
      </c>
      <c r="E188" s="20"/>
      <c r="F188" s="20"/>
      <c r="G188" s="37" t="s">
        <v>1004</v>
      </c>
      <c r="H188" s="37">
        <v>999.0</v>
      </c>
      <c r="I188" s="28">
        <v>999.0</v>
      </c>
      <c r="J188" s="301" t="s">
        <v>999</v>
      </c>
      <c r="K188" s="306">
        <v>13417.0</v>
      </c>
      <c r="L188" s="301">
        <v>3.0</v>
      </c>
      <c r="M188" s="305">
        <f t="shared" si="32"/>
        <v>999</v>
      </c>
      <c r="N188" s="301">
        <v>3.0</v>
      </c>
      <c r="O188" s="305">
        <f t="array" ref="O188">VLOOKUP(K188,INDIRECT(J188),N188)</f>
        <v>999</v>
      </c>
      <c r="P188" s="34" t="s">
        <v>67</v>
      </c>
      <c r="Q188" s="34" t="s">
        <v>68</v>
      </c>
      <c r="R188" s="34" t="s">
        <v>69</v>
      </c>
      <c r="S188" s="35">
        <v>46063.0</v>
      </c>
      <c r="T188" s="36"/>
      <c r="U188" s="36"/>
      <c r="V188" s="36"/>
      <c r="W188" s="36"/>
      <c r="X188" s="40"/>
      <c r="Y188" s="47"/>
      <c r="Z188" s="47"/>
    </row>
    <row r="189">
      <c r="A189" s="28">
        <f t="shared" si="1"/>
        <v>187</v>
      </c>
      <c r="B189" s="20"/>
      <c r="C189" s="20"/>
      <c r="D189" s="37" t="s">
        <v>1005</v>
      </c>
      <c r="E189" s="20"/>
      <c r="F189" s="20"/>
      <c r="G189" s="37" t="s">
        <v>1006</v>
      </c>
      <c r="H189" s="37" t="str">
        <f>'参照_ショップ'!$E$171</f>
        <v>Get all the stamina items you need during Princess Lessons!
*The Limited Items will disappear from your Present Box when the event is over.</v>
      </c>
      <c r="I189" s="28"/>
      <c r="J189" s="311" t="str">
        <f>HYPERLINK("https://common-legacy-app-admin.us.ikemen-sengoku.jp/admin/itemtrial/item_edit/"&amp;K189,"Search")</f>
        <v>Search</v>
      </c>
      <c r="K189" s="306">
        <v>13417.0</v>
      </c>
      <c r="L189" s="305"/>
      <c r="M189" s="307" t="s">
        <v>1033</v>
      </c>
      <c r="N189" s="301"/>
      <c r="O189" s="301"/>
      <c r="P189" s="34" t="s">
        <v>67</v>
      </c>
      <c r="Q189" s="34" t="s">
        <v>68</v>
      </c>
      <c r="R189" s="34" t="s">
        <v>69</v>
      </c>
      <c r="S189" s="35">
        <v>46063.0</v>
      </c>
      <c r="T189" s="36"/>
      <c r="U189" s="36"/>
      <c r="V189" s="36"/>
      <c r="W189" s="36"/>
      <c r="X189" s="40"/>
      <c r="Y189" s="47"/>
      <c r="Z189" s="47"/>
    </row>
    <row r="190">
      <c r="A190" s="28">
        <f t="shared" si="1"/>
        <v>188</v>
      </c>
      <c r="B190" s="20"/>
      <c r="C190" s="20"/>
      <c r="D190" s="37" t="s">
        <v>1009</v>
      </c>
      <c r="E190" s="20"/>
      <c r="F190" s="20"/>
      <c r="G190" s="37" t="s">
        <v>1010</v>
      </c>
      <c r="H190" s="37" t="str">
        <f>'参照_ショップ'!F171</f>
        <v>Hearts</v>
      </c>
      <c r="I190" s="28">
        <f>'参照_ショップ'!G171</f>
        <v>20</v>
      </c>
      <c r="J190" s="301" t="s">
        <v>1011</v>
      </c>
      <c r="K190" s="315">
        <v>163324.0</v>
      </c>
      <c r="L190" s="301">
        <v>3.0</v>
      </c>
      <c r="M190" s="305" t="str">
        <f t="shared" ref="M190:M192" si="33">VLOOKUP(K190,INDIRECT(J190),L190)</f>
        <v>Hearts</v>
      </c>
      <c r="N190" s="301">
        <v>4.0</v>
      </c>
      <c r="O190" s="305">
        <f t="shared" ref="O190:O192" si="34">VLOOKUP(K190,INDIRECT(J190),N190)</f>
        <v>20</v>
      </c>
      <c r="P190" s="34" t="s">
        <v>67</v>
      </c>
      <c r="Q190" s="34" t="s">
        <v>68</v>
      </c>
      <c r="R190" s="34" t="s">
        <v>69</v>
      </c>
      <c r="S190" s="35">
        <v>46063.0</v>
      </c>
      <c r="T190" s="36"/>
      <c r="U190" s="36"/>
      <c r="V190" s="36"/>
      <c r="W190" s="36"/>
      <c r="X190" s="40"/>
      <c r="Y190" s="47"/>
      <c r="Z190" s="47"/>
    </row>
    <row r="191">
      <c r="A191" s="28">
        <f t="shared" si="1"/>
        <v>189</v>
      </c>
      <c r="B191" s="20"/>
      <c r="C191" s="20"/>
      <c r="D191" s="37" t="s">
        <v>1009</v>
      </c>
      <c r="E191" s="20"/>
      <c r="F191" s="20"/>
      <c r="G191" s="37" t="s">
        <v>1010</v>
      </c>
      <c r="H191" s="37" t="str">
        <f>'参照_ショップ'!F172</f>
        <v>Shaved Ice (+100 Stamina)</v>
      </c>
      <c r="I191" s="28">
        <f>'参照_ショップ'!G172</f>
        <v>7</v>
      </c>
      <c r="J191" s="301" t="s">
        <v>1011</v>
      </c>
      <c r="K191" s="315">
        <v>163325.0</v>
      </c>
      <c r="L191" s="301">
        <v>3.0</v>
      </c>
      <c r="M191" s="305" t="str">
        <f t="shared" si="33"/>
        <v>Shaved Ice (+100 Stamina)</v>
      </c>
      <c r="N191" s="301">
        <v>4.0</v>
      </c>
      <c r="O191" s="305">
        <f t="shared" si="34"/>
        <v>7</v>
      </c>
      <c r="P191" s="34" t="s">
        <v>67</v>
      </c>
      <c r="Q191" s="34" t="s">
        <v>68</v>
      </c>
      <c r="R191" s="34" t="s">
        <v>69</v>
      </c>
      <c r="S191" s="35">
        <v>46063.0</v>
      </c>
      <c r="T191" s="36"/>
      <c r="U191" s="36"/>
      <c r="V191" s="36"/>
      <c r="W191" s="36"/>
      <c r="X191" s="40"/>
      <c r="Y191" s="47"/>
      <c r="Z191" s="47"/>
    </row>
    <row r="192">
      <c r="A192" s="28">
        <f t="shared" si="1"/>
        <v>190</v>
      </c>
      <c r="B192" s="20"/>
      <c r="C192" s="21"/>
      <c r="D192" s="37" t="s">
        <v>1009</v>
      </c>
      <c r="E192" s="20"/>
      <c r="F192" s="21"/>
      <c r="G192" s="37" t="s">
        <v>1010</v>
      </c>
      <c r="H192" s="37" t="str">
        <f>'参照_ショップ'!F173</f>
        <v>Shaved Ice (+50 Stamina)</v>
      </c>
      <c r="I192" s="28">
        <f>'参照_ショップ'!G173</f>
        <v>1</v>
      </c>
      <c r="J192" s="301" t="s">
        <v>1011</v>
      </c>
      <c r="K192" s="315">
        <v>163326.0</v>
      </c>
      <c r="L192" s="301">
        <v>3.0</v>
      </c>
      <c r="M192" s="305" t="str">
        <f t="shared" si="33"/>
        <v>Shaved Ice (+50 Stamina)</v>
      </c>
      <c r="N192" s="301">
        <v>4.0</v>
      </c>
      <c r="O192" s="305">
        <f t="shared" si="34"/>
        <v>1</v>
      </c>
      <c r="P192" s="34" t="s">
        <v>67</v>
      </c>
      <c r="Q192" s="34" t="s">
        <v>68</v>
      </c>
      <c r="R192" s="34" t="s">
        <v>69</v>
      </c>
      <c r="S192" s="35">
        <v>46063.0</v>
      </c>
      <c r="T192" s="36"/>
      <c r="U192" s="36"/>
      <c r="V192" s="36"/>
      <c r="W192" s="36"/>
      <c r="X192" s="40"/>
      <c r="Y192" s="47"/>
      <c r="Z192" s="47"/>
    </row>
    <row r="193">
      <c r="A193" s="28">
        <f t="shared" si="1"/>
        <v>191</v>
      </c>
      <c r="B193" s="20"/>
      <c r="C193" s="316" t="s">
        <v>72</v>
      </c>
      <c r="D193" s="37" t="s">
        <v>1012</v>
      </c>
      <c r="E193" s="20"/>
      <c r="F193" s="316" t="s">
        <v>74</v>
      </c>
      <c r="G193" s="37" t="s">
        <v>1013</v>
      </c>
      <c r="H193" s="37"/>
      <c r="I193" s="28"/>
      <c r="J193" s="305"/>
      <c r="K193" s="305"/>
      <c r="L193" s="305"/>
      <c r="M193" s="305"/>
      <c r="N193" s="305"/>
      <c r="O193" s="305"/>
      <c r="P193" s="34" t="s">
        <v>67</v>
      </c>
      <c r="Q193" s="34" t="s">
        <v>68</v>
      </c>
      <c r="R193" s="34" t="s">
        <v>69</v>
      </c>
      <c r="S193" s="35">
        <v>46064.0</v>
      </c>
      <c r="T193" s="34" t="s">
        <v>67</v>
      </c>
      <c r="U193" s="28" t="s">
        <v>68</v>
      </c>
      <c r="V193" s="28" t="s">
        <v>69</v>
      </c>
      <c r="W193" s="45" t="s">
        <v>76</v>
      </c>
      <c r="X193" s="40"/>
      <c r="Y193" s="47"/>
      <c r="Z193" s="47"/>
    </row>
    <row r="194">
      <c r="A194" s="28">
        <f t="shared" si="1"/>
        <v>192</v>
      </c>
      <c r="B194" s="20"/>
      <c r="C194" s="20"/>
      <c r="D194" s="37" t="s">
        <v>1014</v>
      </c>
      <c r="E194" s="20"/>
      <c r="F194" s="20"/>
      <c r="G194" s="37" t="s">
        <v>1015</v>
      </c>
      <c r="H194" s="28">
        <f>'参照_ショップ'!$H$171</f>
        <v>2050</v>
      </c>
      <c r="I194" s="28">
        <f>'参照_ショップ'!$H$171</f>
        <v>2050</v>
      </c>
      <c r="J194" s="301" t="s">
        <v>1016</v>
      </c>
      <c r="K194" s="305">
        <v>11900.0</v>
      </c>
      <c r="L194" s="301">
        <v>8.0</v>
      </c>
      <c r="M194" s="305">
        <f t="array" ref="M194">VLOOKUP(K194,INDIRECT(J194),L194)</f>
        <v>2050</v>
      </c>
      <c r="N194" s="301"/>
      <c r="O194" s="305">
        <f>M194</f>
        <v>2050</v>
      </c>
      <c r="P194" s="34" t="s">
        <v>67</v>
      </c>
      <c r="Q194" s="34" t="s">
        <v>68</v>
      </c>
      <c r="R194" s="34" t="s">
        <v>69</v>
      </c>
      <c r="S194" s="35">
        <v>46063.0</v>
      </c>
      <c r="T194" s="36"/>
      <c r="U194" s="36"/>
      <c r="V194" s="36"/>
      <c r="W194" s="36"/>
      <c r="X194" s="40"/>
      <c r="Y194" s="47"/>
      <c r="Z194" s="47"/>
    </row>
    <row r="195">
      <c r="A195" s="28">
        <f t="shared" si="1"/>
        <v>193</v>
      </c>
      <c r="B195" s="20"/>
      <c r="C195" s="20"/>
      <c r="D195" s="47" t="s">
        <v>1017</v>
      </c>
      <c r="E195" s="20"/>
      <c r="F195" s="20"/>
      <c r="G195" s="47" t="s">
        <v>1018</v>
      </c>
      <c r="H195" s="37"/>
      <c r="I195" s="28"/>
      <c r="J195" s="305"/>
      <c r="K195" s="305"/>
      <c r="L195" s="305"/>
      <c r="M195" s="305"/>
      <c r="N195" s="305"/>
      <c r="O195" s="305"/>
      <c r="P195" s="34" t="s">
        <v>67</v>
      </c>
      <c r="Q195" s="34" t="s">
        <v>68</v>
      </c>
      <c r="R195" s="34" t="s">
        <v>69</v>
      </c>
      <c r="S195" s="35">
        <v>46064.0</v>
      </c>
      <c r="T195" s="34" t="s">
        <v>67</v>
      </c>
      <c r="U195" s="28" t="s">
        <v>68</v>
      </c>
      <c r="V195" s="28" t="s">
        <v>69</v>
      </c>
      <c r="W195" s="45" t="s">
        <v>76</v>
      </c>
      <c r="X195" s="40"/>
      <c r="Y195" s="47"/>
      <c r="Z195" s="47"/>
    </row>
    <row r="196">
      <c r="A196" s="28">
        <f t="shared" si="1"/>
        <v>194</v>
      </c>
      <c r="B196" s="20"/>
      <c r="C196" s="20"/>
      <c r="D196" s="47" t="s">
        <v>1019</v>
      </c>
      <c r="E196" s="20"/>
      <c r="F196" s="20"/>
      <c r="G196" s="47" t="s">
        <v>1020</v>
      </c>
      <c r="H196" s="37"/>
      <c r="I196" s="28"/>
      <c r="J196" s="305"/>
      <c r="K196" s="305"/>
      <c r="L196" s="305"/>
      <c r="M196" s="305"/>
      <c r="N196" s="305"/>
      <c r="O196" s="305"/>
      <c r="P196" s="34" t="s">
        <v>67</v>
      </c>
      <c r="Q196" s="34" t="s">
        <v>68</v>
      </c>
      <c r="R196" s="34" t="s">
        <v>69</v>
      </c>
      <c r="S196" s="35">
        <v>46064.0</v>
      </c>
      <c r="T196" s="34" t="s">
        <v>67</v>
      </c>
      <c r="U196" s="28" t="s">
        <v>68</v>
      </c>
      <c r="V196" s="28" t="s">
        <v>69</v>
      </c>
      <c r="W196" s="45" t="s">
        <v>76</v>
      </c>
      <c r="X196" s="40"/>
      <c r="Y196" s="47"/>
      <c r="Z196" s="47"/>
    </row>
    <row r="197">
      <c r="A197" s="28">
        <f t="shared" si="1"/>
        <v>195</v>
      </c>
      <c r="B197" s="21"/>
      <c r="C197" s="21"/>
      <c r="D197" s="47" t="s">
        <v>641</v>
      </c>
      <c r="E197" s="21"/>
      <c r="F197" s="21"/>
      <c r="G197" s="47" t="s">
        <v>1021</v>
      </c>
      <c r="H197" s="47" t="s">
        <v>1025</v>
      </c>
      <c r="I197" s="40"/>
      <c r="J197" s="305"/>
      <c r="K197" s="305"/>
      <c r="L197" s="305"/>
      <c r="M197" s="305"/>
      <c r="N197" s="305"/>
      <c r="O197" s="305"/>
      <c r="P197" s="34" t="s">
        <v>67</v>
      </c>
      <c r="Q197" s="34" t="s">
        <v>68</v>
      </c>
      <c r="R197" s="34" t="s">
        <v>69</v>
      </c>
      <c r="S197" s="35">
        <v>46064.0</v>
      </c>
      <c r="T197" s="34" t="s">
        <v>67</v>
      </c>
      <c r="U197" s="28" t="s">
        <v>68</v>
      </c>
      <c r="V197" s="28" t="s">
        <v>69</v>
      </c>
      <c r="W197" s="45" t="s">
        <v>76</v>
      </c>
      <c r="X197" s="40"/>
      <c r="Y197" s="47"/>
      <c r="Z197" s="47"/>
    </row>
    <row r="198">
      <c r="A198" s="28">
        <f t="shared" si="1"/>
        <v>196</v>
      </c>
      <c r="B198" s="29" t="str">
        <f>'参照_ショップ'!$D$181</f>
        <v>Mystic Matrimony◆Story Set Mini</v>
      </c>
      <c r="C198" s="30" t="s">
        <v>997</v>
      </c>
      <c r="D198" s="31" t="s">
        <v>987</v>
      </c>
      <c r="E198" s="29" t="str">
        <f>'参照_ショップ'!$D$181</f>
        <v>Mystic Matrimony◆Story Set Mini</v>
      </c>
      <c r="F198" s="30" t="s">
        <v>998</v>
      </c>
      <c r="G198" s="31" t="s">
        <v>990</v>
      </c>
      <c r="H198" s="33">
        <f>'参照_ショップ'!$J$181</f>
        <v>46074.70833</v>
      </c>
      <c r="I198" s="304"/>
      <c r="J198" s="301" t="s">
        <v>999</v>
      </c>
      <c r="K198" s="306">
        <v>13418.0</v>
      </c>
      <c r="L198" s="307">
        <v>9.0</v>
      </c>
      <c r="M198" s="308">
        <f t="shared" ref="M198:M201" si="35">VLOOKUP(K198,INDIRECT(J198),L198)</f>
        <v>46074.70833</v>
      </c>
      <c r="N198" s="305"/>
      <c r="O198" s="305"/>
      <c r="P198" s="34" t="s">
        <v>67</v>
      </c>
      <c r="Q198" s="34" t="s">
        <v>68</v>
      </c>
      <c r="R198" s="34" t="s">
        <v>69</v>
      </c>
      <c r="S198" s="35">
        <v>46063.0</v>
      </c>
      <c r="T198" s="36"/>
      <c r="U198" s="36"/>
      <c r="V198" s="36"/>
      <c r="W198" s="36"/>
      <c r="X198" s="37"/>
      <c r="Y198" s="47"/>
      <c r="Z198" s="47"/>
    </row>
    <row r="199">
      <c r="A199" s="28">
        <f t="shared" si="1"/>
        <v>197</v>
      </c>
      <c r="B199" s="20"/>
      <c r="C199" s="20"/>
      <c r="D199" s="31" t="s">
        <v>991</v>
      </c>
      <c r="E199" s="20"/>
      <c r="F199" s="20"/>
      <c r="G199" s="31" t="s">
        <v>992</v>
      </c>
      <c r="H199" s="33">
        <f>'参照_ショップ'!$K$181</f>
        <v>46080.70833</v>
      </c>
      <c r="I199" s="304"/>
      <c r="J199" s="301" t="s">
        <v>999</v>
      </c>
      <c r="K199" s="306">
        <v>13418.0</v>
      </c>
      <c r="L199" s="307">
        <v>10.0</v>
      </c>
      <c r="M199" s="308">
        <f t="shared" si="35"/>
        <v>46080.70833</v>
      </c>
      <c r="N199" s="305"/>
      <c r="O199" s="305"/>
      <c r="P199" s="34" t="s">
        <v>67</v>
      </c>
      <c r="Q199" s="34" t="s">
        <v>68</v>
      </c>
      <c r="R199" s="34" t="s">
        <v>69</v>
      </c>
      <c r="S199" s="35">
        <v>46063.0</v>
      </c>
      <c r="T199" s="36"/>
      <c r="U199" s="36"/>
      <c r="V199" s="36"/>
      <c r="W199" s="36"/>
      <c r="X199" s="40"/>
      <c r="Y199" s="47"/>
      <c r="Z199" s="47"/>
    </row>
    <row r="200">
      <c r="A200" s="28">
        <f t="shared" si="1"/>
        <v>198</v>
      </c>
      <c r="B200" s="20"/>
      <c r="C200" s="20"/>
      <c r="D200" s="31" t="s">
        <v>1000</v>
      </c>
      <c r="E200" s="20"/>
      <c r="F200" s="20"/>
      <c r="G200" s="31" t="s">
        <v>1001</v>
      </c>
      <c r="H200" s="31" t="str">
        <f>'参照_ショップ'!$D$181</f>
        <v>Mystic Matrimony◆Story Set Mini</v>
      </c>
      <c r="I200" s="304"/>
      <c r="J200" s="301" t="s">
        <v>1002</v>
      </c>
      <c r="K200" s="306">
        <v>13418.0</v>
      </c>
      <c r="L200" s="301">
        <v>6.0</v>
      </c>
      <c r="M200" s="305" t="str">
        <f t="shared" si="35"/>
        <v>Mystic Matrimony◆Story Set Mini</v>
      </c>
      <c r="N200" s="305"/>
      <c r="O200" s="305"/>
      <c r="P200" s="34" t="s">
        <v>67</v>
      </c>
      <c r="Q200" s="34" t="s">
        <v>68</v>
      </c>
      <c r="R200" s="34" t="s">
        <v>69</v>
      </c>
      <c r="S200" s="35">
        <v>46063.0</v>
      </c>
      <c r="T200" s="36"/>
      <c r="U200" s="36"/>
      <c r="V200" s="36"/>
      <c r="W200" s="36"/>
      <c r="X200" s="40"/>
      <c r="Y200" s="47"/>
      <c r="Z200" s="47"/>
    </row>
    <row r="201">
      <c r="A201" s="28">
        <f t="shared" si="1"/>
        <v>199</v>
      </c>
      <c r="B201" s="20"/>
      <c r="C201" s="20"/>
      <c r="D201" s="31" t="s">
        <v>1003</v>
      </c>
      <c r="E201" s="20"/>
      <c r="F201" s="20"/>
      <c r="G201" s="31" t="s">
        <v>1004</v>
      </c>
      <c r="H201" s="31">
        <v>999.0</v>
      </c>
      <c r="I201" s="304">
        <v>999.0</v>
      </c>
      <c r="J201" s="301" t="s">
        <v>999</v>
      </c>
      <c r="K201" s="306">
        <v>13418.0</v>
      </c>
      <c r="L201" s="301">
        <v>3.0</v>
      </c>
      <c r="M201" s="305">
        <f t="shared" si="35"/>
        <v>999</v>
      </c>
      <c r="N201" s="301">
        <v>3.0</v>
      </c>
      <c r="O201" s="305">
        <f t="array" ref="O201">VLOOKUP(K201,INDIRECT(J201),N201)</f>
        <v>999</v>
      </c>
      <c r="P201" s="34" t="s">
        <v>67</v>
      </c>
      <c r="Q201" s="34" t="s">
        <v>68</v>
      </c>
      <c r="R201" s="34" t="s">
        <v>69</v>
      </c>
      <c r="S201" s="35">
        <v>46063.0</v>
      </c>
      <c r="T201" s="36"/>
      <c r="U201" s="36"/>
      <c r="V201" s="36"/>
      <c r="W201" s="36"/>
      <c r="X201" s="40"/>
      <c r="Y201" s="47"/>
      <c r="Z201" s="47"/>
    </row>
    <row r="202">
      <c r="A202" s="28">
        <f t="shared" si="1"/>
        <v>200</v>
      </c>
      <c r="B202" s="20"/>
      <c r="C202" s="20"/>
      <c r="D202" s="31" t="s">
        <v>1005</v>
      </c>
      <c r="E202" s="20"/>
      <c r="F202" s="20"/>
      <c r="G202" s="31" t="s">
        <v>1006</v>
      </c>
      <c r="H202" s="31" t="str">
        <f>'参照_ショップ'!$E$181</f>
        <v>Perfect if you need a little boost!
*The Limited Chapter Tickets will disappear from your Present Box when the event is over.</v>
      </c>
      <c r="I202" s="304"/>
      <c r="J202" s="311" t="str">
        <f>HYPERLINK("https://common-legacy-app-admin.us.ikemen-sengoku.jp/admin/itemtrial/item_edit/"&amp;K202,"Search")</f>
        <v>Search</v>
      </c>
      <c r="K202" s="306">
        <v>13418.0</v>
      </c>
      <c r="L202" s="305"/>
      <c r="M202" s="307" t="s">
        <v>1034</v>
      </c>
      <c r="N202" s="301"/>
      <c r="O202" s="301"/>
      <c r="P202" s="34" t="s">
        <v>67</v>
      </c>
      <c r="Q202" s="34" t="s">
        <v>68</v>
      </c>
      <c r="R202" s="34" t="s">
        <v>69</v>
      </c>
      <c r="S202" s="35">
        <v>46063.0</v>
      </c>
      <c r="T202" s="36"/>
      <c r="U202" s="36"/>
      <c r="V202" s="36"/>
      <c r="W202" s="36"/>
      <c r="X202" s="40"/>
      <c r="Y202" s="47"/>
      <c r="Z202" s="47"/>
    </row>
    <row r="203">
      <c r="A203" s="28">
        <f t="shared" si="1"/>
        <v>201</v>
      </c>
      <c r="B203" s="20"/>
      <c r="C203" s="20"/>
      <c r="D203" s="31" t="s">
        <v>1009</v>
      </c>
      <c r="E203" s="20"/>
      <c r="F203" s="20"/>
      <c r="G203" s="31" t="s">
        <v>1010</v>
      </c>
      <c r="H203" s="31" t="str">
        <f>'参照_ショップ'!F181</f>
        <v>Limited Chapter Ticket</v>
      </c>
      <c r="I203" s="304">
        <f>'参照_ショップ'!G181</f>
        <v>10</v>
      </c>
      <c r="J203" s="301" t="s">
        <v>1011</v>
      </c>
      <c r="K203" s="315">
        <v>163327.0</v>
      </c>
      <c r="L203" s="301">
        <v>3.0</v>
      </c>
      <c r="M203" s="305" t="str">
        <f t="shared" ref="M203:M205" si="36">VLOOKUP(K203,INDIRECT(J203),L203)</f>
        <v>Limited Chapter Ticket</v>
      </c>
      <c r="N203" s="301">
        <v>4.0</v>
      </c>
      <c r="O203" s="305">
        <f t="shared" ref="O203:O205" si="37">VLOOKUP(K203,INDIRECT(J203),N203)</f>
        <v>10</v>
      </c>
      <c r="P203" s="34" t="s">
        <v>67</v>
      </c>
      <c r="Q203" s="34" t="s">
        <v>68</v>
      </c>
      <c r="R203" s="34" t="s">
        <v>69</v>
      </c>
      <c r="S203" s="35">
        <v>46063.0</v>
      </c>
      <c r="T203" s="36"/>
      <c r="U203" s="36"/>
      <c r="V203" s="36"/>
      <c r="W203" s="36"/>
      <c r="X203" s="40"/>
      <c r="Y203" s="47"/>
      <c r="Z203" s="47"/>
    </row>
    <row r="204">
      <c r="A204" s="28">
        <f t="shared" si="1"/>
        <v>202</v>
      </c>
      <c r="B204" s="20"/>
      <c r="C204" s="20"/>
      <c r="D204" s="31" t="s">
        <v>1009</v>
      </c>
      <c r="E204" s="20"/>
      <c r="F204" s="20"/>
      <c r="G204" s="31" t="s">
        <v>1010</v>
      </c>
      <c r="H204" s="31" t="str">
        <f>'参照_ショップ'!F182</f>
        <v>Perfume (+1000 Grace)</v>
      </c>
      <c r="I204" s="304">
        <f>'参照_ショップ'!G182</f>
        <v>1</v>
      </c>
      <c r="J204" s="301" t="s">
        <v>1011</v>
      </c>
      <c r="K204" s="315">
        <v>163328.0</v>
      </c>
      <c r="L204" s="301">
        <v>3.0</v>
      </c>
      <c r="M204" s="305" t="str">
        <f t="shared" si="36"/>
        <v>Perfume (+1000 Grace)</v>
      </c>
      <c r="N204" s="301">
        <v>4.0</v>
      </c>
      <c r="O204" s="305">
        <f t="shared" si="37"/>
        <v>1</v>
      </c>
      <c r="P204" s="34" t="s">
        <v>67</v>
      </c>
      <c r="Q204" s="34" t="s">
        <v>68</v>
      </c>
      <c r="R204" s="34" t="s">
        <v>69</v>
      </c>
      <c r="S204" s="35">
        <v>46063.0</v>
      </c>
      <c r="T204" s="36"/>
      <c r="U204" s="36"/>
      <c r="V204" s="36"/>
      <c r="W204" s="36"/>
      <c r="X204" s="40"/>
      <c r="Y204" s="47"/>
      <c r="Z204" s="47"/>
    </row>
    <row r="205">
      <c r="A205" s="28">
        <f t="shared" si="1"/>
        <v>203</v>
      </c>
      <c r="B205" s="20"/>
      <c r="C205" s="21"/>
      <c r="D205" s="31" t="s">
        <v>1009</v>
      </c>
      <c r="E205" s="20"/>
      <c r="F205" s="21"/>
      <c r="G205" s="31" t="s">
        <v>1010</v>
      </c>
      <c r="H205" s="31" t="str">
        <f>'参照_ショップ'!F183</f>
        <v>2000 Gold</v>
      </c>
      <c r="I205" s="304">
        <f>'参照_ショップ'!G183</f>
        <v>1</v>
      </c>
      <c r="J205" s="301" t="s">
        <v>1011</v>
      </c>
      <c r="K205" s="315">
        <v>163329.0</v>
      </c>
      <c r="L205" s="301">
        <v>3.0</v>
      </c>
      <c r="M205" s="305" t="str">
        <f t="shared" si="36"/>
        <v>2000 Gold</v>
      </c>
      <c r="N205" s="301">
        <v>4.0</v>
      </c>
      <c r="O205" s="305">
        <f t="shared" si="37"/>
        <v>1</v>
      </c>
      <c r="P205" s="34" t="s">
        <v>67</v>
      </c>
      <c r="Q205" s="34" t="s">
        <v>68</v>
      </c>
      <c r="R205" s="34" t="s">
        <v>69</v>
      </c>
      <c r="S205" s="35">
        <v>46063.0</v>
      </c>
      <c r="T205" s="36"/>
      <c r="U205" s="36"/>
      <c r="V205" s="36"/>
      <c r="W205" s="36"/>
      <c r="X205" s="40"/>
      <c r="Y205" s="47"/>
      <c r="Z205" s="47"/>
    </row>
    <row r="206">
      <c r="A206" s="28">
        <f t="shared" si="1"/>
        <v>204</v>
      </c>
      <c r="B206" s="20"/>
      <c r="C206" s="316" t="s">
        <v>72</v>
      </c>
      <c r="D206" s="31" t="s">
        <v>1012</v>
      </c>
      <c r="E206" s="20"/>
      <c r="F206" s="316" t="s">
        <v>74</v>
      </c>
      <c r="G206" s="31" t="s">
        <v>1013</v>
      </c>
      <c r="H206" s="31"/>
      <c r="I206" s="304"/>
      <c r="J206" s="305"/>
      <c r="K206" s="305"/>
      <c r="L206" s="305"/>
      <c r="M206" s="305"/>
      <c r="N206" s="305"/>
      <c r="O206" s="305"/>
      <c r="P206" s="34" t="s">
        <v>67</v>
      </c>
      <c r="Q206" s="34" t="s">
        <v>68</v>
      </c>
      <c r="R206" s="34" t="s">
        <v>69</v>
      </c>
      <c r="S206" s="35">
        <v>46064.0</v>
      </c>
      <c r="T206" s="34" t="s">
        <v>67</v>
      </c>
      <c r="U206" s="28" t="s">
        <v>68</v>
      </c>
      <c r="V206" s="28" t="s">
        <v>69</v>
      </c>
      <c r="W206" s="45" t="s">
        <v>76</v>
      </c>
      <c r="X206" s="40"/>
      <c r="Y206" s="47"/>
      <c r="Z206" s="47"/>
    </row>
    <row r="207">
      <c r="A207" s="28">
        <f t="shared" si="1"/>
        <v>205</v>
      </c>
      <c r="B207" s="20"/>
      <c r="C207" s="20"/>
      <c r="D207" s="31" t="s">
        <v>1014</v>
      </c>
      <c r="E207" s="20"/>
      <c r="F207" s="20"/>
      <c r="G207" s="31" t="s">
        <v>1015</v>
      </c>
      <c r="H207" s="304">
        <f>'参照_ショップ'!$H$181</f>
        <v>1020</v>
      </c>
      <c r="I207" s="304">
        <f>'参照_ショップ'!$H$181</f>
        <v>1020</v>
      </c>
      <c r="J207" s="301" t="s">
        <v>1016</v>
      </c>
      <c r="K207" s="305">
        <v>11901.0</v>
      </c>
      <c r="L207" s="301">
        <v>8.0</v>
      </c>
      <c r="M207" s="305">
        <f t="array" ref="M207">VLOOKUP(K207,INDIRECT(J207),L207)</f>
        <v>1020</v>
      </c>
      <c r="N207" s="301"/>
      <c r="O207" s="305">
        <f>M207</f>
        <v>1020</v>
      </c>
      <c r="P207" s="34" t="s">
        <v>67</v>
      </c>
      <c r="Q207" s="34" t="s">
        <v>68</v>
      </c>
      <c r="R207" s="34" t="s">
        <v>69</v>
      </c>
      <c r="S207" s="35">
        <v>46063.0</v>
      </c>
      <c r="T207" s="36"/>
      <c r="U207" s="36"/>
      <c r="V207" s="36"/>
      <c r="W207" s="36"/>
      <c r="X207" s="40"/>
      <c r="Y207" s="47"/>
      <c r="Z207" s="47"/>
    </row>
    <row r="208">
      <c r="A208" s="28">
        <f t="shared" si="1"/>
        <v>206</v>
      </c>
      <c r="B208" s="20"/>
      <c r="C208" s="20"/>
      <c r="D208" s="42" t="s">
        <v>1017</v>
      </c>
      <c r="E208" s="20"/>
      <c r="F208" s="20"/>
      <c r="G208" s="320" t="s">
        <v>1018</v>
      </c>
      <c r="H208" s="31"/>
      <c r="I208" s="304"/>
      <c r="J208" s="305"/>
      <c r="K208" s="305"/>
      <c r="L208" s="305"/>
      <c r="M208" s="305"/>
      <c r="N208" s="305"/>
      <c r="O208" s="305"/>
      <c r="P208" s="34" t="s">
        <v>67</v>
      </c>
      <c r="Q208" s="34" t="s">
        <v>68</v>
      </c>
      <c r="R208" s="34" t="s">
        <v>69</v>
      </c>
      <c r="S208" s="35">
        <v>46064.0</v>
      </c>
      <c r="T208" s="34" t="s">
        <v>67</v>
      </c>
      <c r="U208" s="28" t="s">
        <v>68</v>
      </c>
      <c r="V208" s="28" t="s">
        <v>69</v>
      </c>
      <c r="W208" s="45" t="s">
        <v>76</v>
      </c>
      <c r="X208" s="40"/>
      <c r="Y208" s="47"/>
      <c r="Z208" s="47"/>
    </row>
    <row r="209">
      <c r="A209" s="28">
        <f t="shared" si="1"/>
        <v>207</v>
      </c>
      <c r="B209" s="20"/>
      <c r="C209" s="20"/>
      <c r="D209" s="42" t="s">
        <v>1019</v>
      </c>
      <c r="E209" s="20"/>
      <c r="F209" s="20"/>
      <c r="G209" s="42" t="s">
        <v>1020</v>
      </c>
      <c r="H209" s="31"/>
      <c r="I209" s="304"/>
      <c r="J209" s="305"/>
      <c r="K209" s="305"/>
      <c r="L209" s="305"/>
      <c r="M209" s="305"/>
      <c r="N209" s="305"/>
      <c r="O209" s="305"/>
      <c r="P209" s="34" t="s">
        <v>67</v>
      </c>
      <c r="Q209" s="34" t="s">
        <v>68</v>
      </c>
      <c r="R209" s="34" t="s">
        <v>69</v>
      </c>
      <c r="S209" s="35">
        <v>46064.0</v>
      </c>
      <c r="T209" s="34" t="s">
        <v>67</v>
      </c>
      <c r="U209" s="28" t="s">
        <v>68</v>
      </c>
      <c r="V209" s="28" t="s">
        <v>69</v>
      </c>
      <c r="W209" s="45" t="s">
        <v>76</v>
      </c>
      <c r="X209" s="40"/>
      <c r="Y209" s="47"/>
      <c r="Z209" s="47"/>
    </row>
    <row r="210">
      <c r="A210" s="28">
        <f t="shared" si="1"/>
        <v>208</v>
      </c>
      <c r="B210" s="21"/>
      <c r="C210" s="21"/>
      <c r="D210" s="42" t="s">
        <v>641</v>
      </c>
      <c r="E210" s="21"/>
      <c r="F210" s="21"/>
      <c r="G210" s="42" t="s">
        <v>1021</v>
      </c>
      <c r="H210" s="42" t="s">
        <v>1025</v>
      </c>
      <c r="I210" s="318"/>
      <c r="J210" s="305"/>
      <c r="K210" s="305"/>
      <c r="L210" s="305"/>
      <c r="M210" s="305"/>
      <c r="N210" s="305"/>
      <c r="O210" s="305"/>
      <c r="P210" s="34" t="s">
        <v>67</v>
      </c>
      <c r="Q210" s="34" t="s">
        <v>68</v>
      </c>
      <c r="R210" s="34" t="s">
        <v>69</v>
      </c>
      <c r="S210" s="35">
        <v>46064.0</v>
      </c>
      <c r="T210" s="34" t="s">
        <v>67</v>
      </c>
      <c r="U210" s="28" t="s">
        <v>68</v>
      </c>
      <c r="V210" s="28" t="s">
        <v>69</v>
      </c>
      <c r="W210" s="45" t="s">
        <v>76</v>
      </c>
      <c r="X210" s="40"/>
      <c r="Y210" s="47"/>
      <c r="Z210" s="47"/>
    </row>
    <row r="211">
      <c r="A211" s="321"/>
      <c r="B211" s="322" t="s">
        <v>1035</v>
      </c>
      <c r="C211" s="78"/>
      <c r="D211" s="78"/>
      <c r="E211" s="323" t="s">
        <v>1036</v>
      </c>
      <c r="F211" s="78"/>
      <c r="G211" s="78" t="e">
        <v>#N/A</v>
      </c>
      <c r="H211" s="324"/>
      <c r="I211" s="80"/>
      <c r="J211" s="325"/>
      <c r="K211" s="326"/>
      <c r="L211" s="327"/>
      <c r="M211" s="326"/>
      <c r="N211" s="326"/>
      <c r="O211" s="326"/>
      <c r="P211" s="328"/>
      <c r="Q211" s="329"/>
      <c r="R211" s="329"/>
      <c r="S211" s="330"/>
      <c r="T211" s="80"/>
      <c r="U211" s="80"/>
      <c r="V211" s="80"/>
      <c r="W211" s="80"/>
      <c r="X211" s="78"/>
      <c r="Y211" s="76"/>
      <c r="Z211" s="81"/>
    </row>
    <row r="212">
      <c r="A212" s="28">
        <f t="shared" ref="A212:A228" si="38">ROW()-2</f>
        <v>210</v>
      </c>
      <c r="B212" s="59" t="str">
        <f>'参照_ショップ'!$D$231&amp;" (コイン)"</f>
        <v>Mystic Matrimony★Hearts (for Coins) (コイン)</v>
      </c>
      <c r="C212" s="61" t="s">
        <v>45</v>
      </c>
      <c r="D212" s="37" t="s">
        <v>987</v>
      </c>
      <c r="E212" s="59" t="str">
        <f>'参照_ショップ'!$D$231&amp;" (コイン)"</f>
        <v>Mystic Matrimony★Hearts (for Coins) (コイン)</v>
      </c>
      <c r="F212" s="61" t="s">
        <v>45</v>
      </c>
      <c r="G212" s="37" t="s">
        <v>990</v>
      </c>
      <c r="H212" s="49">
        <f>'参照_ショップ'!$J$231</f>
        <v>46074.70833</v>
      </c>
      <c r="I212" s="28"/>
      <c r="J212" s="301"/>
      <c r="K212" s="309" t="str">
        <f>IFERROR(__xludf.DUMMYFUNCTION("TRIM(VLOOKUP(
ROW($E212),
FILTER({ROW($E$6:$E228),$E$6:$E228},LEN($E$6:$E228)),
2,
1))"),"Mystic Matrimony★Hearts (for Coins) (コイン)")</f>
        <v>Mystic Matrimony★Hearts (for Coins) (コイン)</v>
      </c>
      <c r="L212" s="301"/>
      <c r="M212" s="331">
        <v>46074.708333333336</v>
      </c>
      <c r="N212" s="305"/>
      <c r="O212" s="305"/>
      <c r="P212" s="34" t="s">
        <v>67</v>
      </c>
      <c r="Q212" s="34" t="s">
        <v>68</v>
      </c>
      <c r="R212" s="34" t="s">
        <v>69</v>
      </c>
      <c r="S212" s="35">
        <v>46063.0</v>
      </c>
      <c r="T212" s="36"/>
      <c r="U212" s="36"/>
      <c r="V212" s="36"/>
      <c r="W212" s="36"/>
      <c r="X212" s="37"/>
      <c r="Y212" s="47"/>
      <c r="Z212" s="47"/>
    </row>
    <row r="213">
      <c r="A213" s="28">
        <f t="shared" si="38"/>
        <v>211</v>
      </c>
      <c r="B213" s="20"/>
      <c r="C213" s="20"/>
      <c r="D213" s="37" t="s">
        <v>991</v>
      </c>
      <c r="E213" s="20"/>
      <c r="F213" s="20"/>
      <c r="G213" s="37" t="s">
        <v>992</v>
      </c>
      <c r="H213" s="49">
        <f>'参照_ショップ'!$K$231</f>
        <v>46080.70833</v>
      </c>
      <c r="I213" s="28"/>
      <c r="J213" s="301"/>
      <c r="K213" s="309" t="str">
        <f>IFERROR(__xludf.DUMMYFUNCTION("TRIM(VLOOKUP(
ROW($E213),
FILTER({ROW($E$6:$E228),$E$6:$E228},LEN($E$6:$E228)),
2,
1))"),"Mystic Matrimony★Hearts (for Coins) (コイン)")</f>
        <v>Mystic Matrimony★Hearts (for Coins) (コイン)</v>
      </c>
      <c r="L213" s="301"/>
      <c r="M213" s="331">
        <v>46080.708333333336</v>
      </c>
      <c r="N213" s="305"/>
      <c r="O213" s="305"/>
      <c r="P213" s="34" t="s">
        <v>67</v>
      </c>
      <c r="Q213" s="34" t="s">
        <v>68</v>
      </c>
      <c r="R213" s="34" t="s">
        <v>69</v>
      </c>
      <c r="S213" s="35">
        <v>46063.0</v>
      </c>
      <c r="T213" s="36"/>
      <c r="U213" s="36"/>
      <c r="V213" s="36"/>
      <c r="W213" s="36"/>
      <c r="X213" s="40"/>
      <c r="Y213" s="47"/>
      <c r="Z213" s="47"/>
    </row>
    <row r="214">
      <c r="A214" s="28">
        <f t="shared" si="38"/>
        <v>212</v>
      </c>
      <c r="B214" s="20"/>
      <c r="C214" s="20"/>
      <c r="D214" s="37" t="s">
        <v>1037</v>
      </c>
      <c r="E214" s="20"/>
      <c r="F214" s="20"/>
      <c r="G214" s="37" t="s">
        <v>1001</v>
      </c>
      <c r="H214" s="37" t="str">
        <f>'参照_ショップ'!$D$231</f>
        <v>Mystic Matrimony★Hearts (for Coins)</v>
      </c>
      <c r="I214" s="28"/>
      <c r="J214" s="301"/>
      <c r="K214" s="309" t="str">
        <f>IFERROR(__xludf.DUMMYFUNCTION("TRIM(VLOOKUP(
ROW($E214),
FILTER({ROW($E$6:$E228),$E$6:$E228},LEN($E$6:$E228)),
2,
1))"),"Mystic Matrimony★Hearts (for Coins) (コイン)")</f>
        <v>Mystic Matrimony★Hearts (for Coins) (コイン)</v>
      </c>
      <c r="L214" s="301"/>
      <c r="M214" s="305" t="s">
        <v>1038</v>
      </c>
      <c r="N214" s="305"/>
      <c r="O214" s="305"/>
      <c r="P214" s="34" t="s">
        <v>67</v>
      </c>
      <c r="Q214" s="34" t="s">
        <v>68</v>
      </c>
      <c r="R214" s="34" t="s">
        <v>69</v>
      </c>
      <c r="S214" s="35">
        <v>46063.0</v>
      </c>
      <c r="T214" s="36"/>
      <c r="U214" s="36"/>
      <c r="V214" s="36"/>
      <c r="W214" s="36"/>
      <c r="X214" s="40"/>
      <c r="Y214" s="47"/>
      <c r="Z214" s="47"/>
    </row>
    <row r="215">
      <c r="A215" s="28">
        <f t="shared" si="38"/>
        <v>213</v>
      </c>
      <c r="B215" s="20"/>
      <c r="C215" s="21"/>
      <c r="D215" s="37" t="s">
        <v>1014</v>
      </c>
      <c r="E215" s="20"/>
      <c r="F215" s="21"/>
      <c r="G215" s="37" t="s">
        <v>1015</v>
      </c>
      <c r="H215" s="28">
        <f>'参照_ショップ'!$H$231</f>
        <v>70</v>
      </c>
      <c r="I215" s="28">
        <f>'参照_ショップ'!$H$231</f>
        <v>70</v>
      </c>
      <c r="J215" s="301" t="s">
        <v>1016</v>
      </c>
      <c r="K215" s="305">
        <v>11883.0</v>
      </c>
      <c r="L215" s="301">
        <v>8.0</v>
      </c>
      <c r="M215" s="305">
        <f t="array" ref="M215">VLOOKUP(K215,INDIRECT(J215),L215)</f>
        <v>70</v>
      </c>
      <c r="N215" s="301"/>
      <c r="O215" s="305">
        <f>M215</f>
        <v>70</v>
      </c>
      <c r="P215" s="34" t="s">
        <v>67</v>
      </c>
      <c r="Q215" s="34" t="s">
        <v>68</v>
      </c>
      <c r="R215" s="34" t="s">
        <v>69</v>
      </c>
      <c r="S215" s="35">
        <v>46063.0</v>
      </c>
      <c r="T215" s="36"/>
      <c r="U215" s="36"/>
      <c r="V215" s="36"/>
      <c r="W215" s="36"/>
      <c r="X215" s="40"/>
      <c r="Y215" s="47"/>
      <c r="Z215" s="47"/>
    </row>
    <row r="216">
      <c r="A216" s="28">
        <f t="shared" si="38"/>
        <v>214</v>
      </c>
      <c r="B216" s="20"/>
      <c r="C216" s="316" t="s">
        <v>72</v>
      </c>
      <c r="D216" s="37" t="s">
        <v>219</v>
      </c>
      <c r="E216" s="20"/>
      <c r="F216" s="316" t="s">
        <v>74</v>
      </c>
      <c r="G216" s="37" t="s">
        <v>1039</v>
      </c>
      <c r="H216" s="37"/>
      <c r="I216" s="28"/>
      <c r="J216" s="305"/>
      <c r="K216" s="305"/>
      <c r="L216" s="305"/>
      <c r="M216" s="305"/>
      <c r="N216" s="305"/>
      <c r="O216" s="305"/>
      <c r="P216" s="34" t="s">
        <v>67</v>
      </c>
      <c r="Q216" s="34" t="s">
        <v>68</v>
      </c>
      <c r="R216" s="34" t="s">
        <v>69</v>
      </c>
      <c r="S216" s="35">
        <v>46064.0</v>
      </c>
      <c r="T216" s="34" t="s">
        <v>67</v>
      </c>
      <c r="U216" s="28" t="s">
        <v>68</v>
      </c>
      <c r="V216" s="28" t="s">
        <v>69</v>
      </c>
      <c r="W216" s="45" t="s">
        <v>76</v>
      </c>
      <c r="X216" s="40"/>
      <c r="Y216" s="47"/>
      <c r="Z216" s="47"/>
    </row>
    <row r="217">
      <c r="A217" s="28">
        <f t="shared" si="38"/>
        <v>215</v>
      </c>
      <c r="B217" s="20"/>
      <c r="C217" s="20"/>
      <c r="D217" s="47" t="s">
        <v>1040</v>
      </c>
      <c r="E217" s="20"/>
      <c r="F217" s="20"/>
      <c r="G217" s="67" t="s">
        <v>1041</v>
      </c>
      <c r="H217" s="37"/>
      <c r="I217" s="28"/>
      <c r="J217" s="305"/>
      <c r="K217" s="305"/>
      <c r="L217" s="305"/>
      <c r="M217" s="305"/>
      <c r="N217" s="305"/>
      <c r="O217" s="305"/>
      <c r="P217" s="34" t="s">
        <v>67</v>
      </c>
      <c r="Q217" s="34" t="s">
        <v>68</v>
      </c>
      <c r="R217" s="34" t="s">
        <v>69</v>
      </c>
      <c r="S217" s="35">
        <v>46064.0</v>
      </c>
      <c r="T217" s="34" t="s">
        <v>67</v>
      </c>
      <c r="U217" s="28" t="s">
        <v>68</v>
      </c>
      <c r="V217" s="28" t="s">
        <v>69</v>
      </c>
      <c r="W217" s="45" t="s">
        <v>76</v>
      </c>
      <c r="X217" s="40"/>
      <c r="Y217" s="47"/>
      <c r="Z217" s="47"/>
    </row>
    <row r="218">
      <c r="A218" s="28">
        <f t="shared" si="38"/>
        <v>216</v>
      </c>
      <c r="B218" s="20"/>
      <c r="C218" s="20"/>
      <c r="D218" s="47" t="s">
        <v>1019</v>
      </c>
      <c r="E218" s="20"/>
      <c r="F218" s="20"/>
      <c r="G218" s="47" t="s">
        <v>1020</v>
      </c>
      <c r="H218" s="37"/>
      <c r="I218" s="28"/>
      <c r="J218" s="305"/>
      <c r="K218" s="305"/>
      <c r="L218" s="305"/>
      <c r="M218" s="305"/>
      <c r="N218" s="305"/>
      <c r="O218" s="305"/>
      <c r="P218" s="34" t="s">
        <v>67</v>
      </c>
      <c r="Q218" s="34" t="s">
        <v>68</v>
      </c>
      <c r="R218" s="34" t="s">
        <v>69</v>
      </c>
      <c r="S218" s="35">
        <v>46064.0</v>
      </c>
      <c r="T218" s="34" t="s">
        <v>67</v>
      </c>
      <c r="U218" s="28" t="s">
        <v>68</v>
      </c>
      <c r="V218" s="28" t="s">
        <v>69</v>
      </c>
      <c r="W218" s="45" t="s">
        <v>76</v>
      </c>
      <c r="X218" s="40"/>
      <c r="Y218" s="47"/>
      <c r="Z218" s="47"/>
    </row>
    <row r="219">
      <c r="A219" s="28">
        <f t="shared" si="38"/>
        <v>217</v>
      </c>
      <c r="B219" s="21"/>
      <c r="C219" s="21"/>
      <c r="D219" s="47" t="s">
        <v>1042</v>
      </c>
      <c r="E219" s="21"/>
      <c r="F219" s="21"/>
      <c r="G219" s="47" t="s">
        <v>1021</v>
      </c>
      <c r="H219" s="47"/>
      <c r="I219" s="40"/>
      <c r="J219" s="305"/>
      <c r="K219" s="305"/>
      <c r="L219" s="305"/>
      <c r="M219" s="305"/>
      <c r="N219" s="305"/>
      <c r="O219" s="305"/>
      <c r="P219" s="34" t="s">
        <v>67</v>
      </c>
      <c r="Q219" s="34" t="s">
        <v>68</v>
      </c>
      <c r="R219" s="34" t="s">
        <v>69</v>
      </c>
      <c r="S219" s="35">
        <v>46064.0</v>
      </c>
      <c r="T219" s="34" t="s">
        <v>67</v>
      </c>
      <c r="U219" s="28" t="s">
        <v>68</v>
      </c>
      <c r="V219" s="28" t="s">
        <v>69</v>
      </c>
      <c r="W219" s="45" t="s">
        <v>76</v>
      </c>
      <c r="X219" s="40"/>
      <c r="Y219" s="47"/>
      <c r="Z219" s="47"/>
    </row>
    <row r="220">
      <c r="A220" s="28">
        <f t="shared" si="38"/>
        <v>218</v>
      </c>
      <c r="B220" s="29" t="str">
        <f>'参照_ショップ'!$D$232&amp;" (ゴールド)"</f>
        <v>Mystic Matrimony★Hearts (for Gold) (ゴールド)</v>
      </c>
      <c r="C220" s="61" t="s">
        <v>45</v>
      </c>
      <c r="D220" s="31" t="s">
        <v>987</v>
      </c>
      <c r="E220" s="29" t="str">
        <f>'参照_ショップ'!$D$232&amp;" (ゴールド)"</f>
        <v>Mystic Matrimony★Hearts (for Gold) (ゴールド)</v>
      </c>
      <c r="F220" s="30" t="s">
        <v>45</v>
      </c>
      <c r="G220" s="31" t="s">
        <v>990</v>
      </c>
      <c r="H220" s="33">
        <f>'参照_ショップ'!$J$231</f>
        <v>46074.70833</v>
      </c>
      <c r="I220" s="304"/>
      <c r="J220" s="301"/>
      <c r="K220" s="309" t="str">
        <f>IFERROR(__xludf.DUMMYFUNCTION("TRIM(VLOOKUP(
ROW($E220),
FILTER({ROW($E$6:$E228),$E$6:$E228},LEN($E$6:$E228)),
2,
1))"),"Mystic Matrimony★Hearts (for Gold) (ゴールド)")</f>
        <v>Mystic Matrimony★Hearts (for Gold) (ゴールド)</v>
      </c>
      <c r="L220" s="301"/>
      <c r="M220" s="331">
        <v>46074.708333333336</v>
      </c>
      <c r="N220" s="305"/>
      <c r="O220" s="305"/>
      <c r="P220" s="34" t="s">
        <v>67</v>
      </c>
      <c r="Q220" s="34" t="s">
        <v>68</v>
      </c>
      <c r="R220" s="34" t="s">
        <v>69</v>
      </c>
      <c r="S220" s="35">
        <v>46063.0</v>
      </c>
      <c r="T220" s="36"/>
      <c r="U220" s="36"/>
      <c r="V220" s="36"/>
      <c r="W220" s="36"/>
      <c r="X220" s="37"/>
      <c r="Y220" s="47"/>
      <c r="Z220" s="47"/>
    </row>
    <row r="221">
      <c r="A221" s="28">
        <f t="shared" si="38"/>
        <v>219</v>
      </c>
      <c r="B221" s="20"/>
      <c r="C221" s="20"/>
      <c r="D221" s="31" t="s">
        <v>991</v>
      </c>
      <c r="E221" s="20"/>
      <c r="F221" s="20"/>
      <c r="G221" s="31" t="s">
        <v>992</v>
      </c>
      <c r="H221" s="33">
        <f>'参照_ショップ'!$K$231</f>
        <v>46080.70833</v>
      </c>
      <c r="I221" s="304"/>
      <c r="J221" s="301"/>
      <c r="K221" s="309" t="str">
        <f>IFERROR(__xludf.DUMMYFUNCTION("TRIM(VLOOKUP(
ROW($E221),
FILTER({ROW($E$6:$E228),$E$6:$E228},LEN($E$6:$E228)),
2,
1))"),"Mystic Matrimony★Hearts (for Gold) (ゴールド)")</f>
        <v>Mystic Matrimony★Hearts (for Gold) (ゴールド)</v>
      </c>
      <c r="L221" s="301"/>
      <c r="M221" s="331">
        <v>46080.708333333336</v>
      </c>
      <c r="N221" s="305"/>
      <c r="O221" s="305"/>
      <c r="P221" s="34" t="s">
        <v>67</v>
      </c>
      <c r="Q221" s="34" t="s">
        <v>68</v>
      </c>
      <c r="R221" s="34" t="s">
        <v>69</v>
      </c>
      <c r="S221" s="35">
        <v>46063.0</v>
      </c>
      <c r="T221" s="36"/>
      <c r="U221" s="36"/>
      <c r="V221" s="36"/>
      <c r="W221" s="36"/>
      <c r="X221" s="40"/>
      <c r="Y221" s="47"/>
      <c r="Z221" s="47"/>
    </row>
    <row r="222">
      <c r="A222" s="28">
        <f t="shared" si="38"/>
        <v>220</v>
      </c>
      <c r="B222" s="20"/>
      <c r="C222" s="20"/>
      <c r="D222" s="31" t="s">
        <v>1037</v>
      </c>
      <c r="E222" s="20"/>
      <c r="F222" s="20"/>
      <c r="G222" s="31" t="s">
        <v>1001</v>
      </c>
      <c r="H222" s="31" t="str">
        <f>'参照_ショップ'!$D$232</f>
        <v>Mystic Matrimony★Hearts (for Gold)</v>
      </c>
      <c r="I222" s="304"/>
      <c r="J222" s="301"/>
      <c r="K222" s="309" t="str">
        <f>IFERROR(__xludf.DUMMYFUNCTION("TRIM(VLOOKUP(
ROW($E222),
FILTER({ROW($E$6:$E228),$E$6:$E228},LEN($E$6:$E228)),
2,
1))"),"Mystic Matrimony★Hearts (for Gold) (ゴールド)")</f>
        <v>Mystic Matrimony★Hearts (for Gold) (ゴールド)</v>
      </c>
      <c r="L222" s="301"/>
      <c r="M222" s="305" t="s">
        <v>1043</v>
      </c>
      <c r="N222" s="305"/>
      <c r="O222" s="305"/>
      <c r="P222" s="34" t="s">
        <v>67</v>
      </c>
      <c r="Q222" s="34" t="s">
        <v>68</v>
      </c>
      <c r="R222" s="34" t="s">
        <v>69</v>
      </c>
      <c r="S222" s="35">
        <v>46063.0</v>
      </c>
      <c r="T222" s="36"/>
      <c r="U222" s="36"/>
      <c r="V222" s="36"/>
      <c r="W222" s="36"/>
      <c r="X222" s="40"/>
      <c r="Y222" s="47"/>
      <c r="Z222" s="47"/>
    </row>
    <row r="223">
      <c r="A223" s="28">
        <f t="shared" si="38"/>
        <v>221</v>
      </c>
      <c r="B223" s="20"/>
      <c r="C223" s="21"/>
      <c r="D223" s="31" t="s">
        <v>1014</v>
      </c>
      <c r="E223" s="20"/>
      <c r="F223" s="21"/>
      <c r="G223" s="31" t="s">
        <v>1015</v>
      </c>
      <c r="H223" s="304">
        <f>'参照_ショップ'!$H$232</f>
        <v>2000</v>
      </c>
      <c r="I223" s="304">
        <f>'参照_ショップ'!$H$232</f>
        <v>2000</v>
      </c>
      <c r="J223" s="301" t="s">
        <v>1016</v>
      </c>
      <c r="K223" s="305">
        <v>11884.0</v>
      </c>
      <c r="L223" s="301">
        <v>9.0</v>
      </c>
      <c r="M223" s="305">
        <f t="array" ref="M223">VLOOKUP(K223,INDIRECT(J223),L223)</f>
        <v>2000</v>
      </c>
      <c r="N223" s="301"/>
      <c r="O223" s="305">
        <f>M223</f>
        <v>2000</v>
      </c>
      <c r="P223" s="34" t="s">
        <v>67</v>
      </c>
      <c r="Q223" s="34" t="s">
        <v>68</v>
      </c>
      <c r="R223" s="34" t="s">
        <v>69</v>
      </c>
      <c r="S223" s="35">
        <v>46063.0</v>
      </c>
      <c r="T223" s="36"/>
      <c r="U223" s="36"/>
      <c r="V223" s="36"/>
      <c r="W223" s="36"/>
      <c r="X223" s="40"/>
      <c r="Y223" s="47"/>
      <c r="Z223" s="47"/>
    </row>
    <row r="224">
      <c r="A224" s="28">
        <f t="shared" si="38"/>
        <v>222</v>
      </c>
      <c r="B224" s="20"/>
      <c r="C224" s="316" t="s">
        <v>72</v>
      </c>
      <c r="D224" s="31" t="s">
        <v>219</v>
      </c>
      <c r="E224" s="20"/>
      <c r="F224" s="316" t="s">
        <v>74</v>
      </c>
      <c r="G224" s="31" t="s">
        <v>1044</v>
      </c>
      <c r="H224" s="31"/>
      <c r="I224" s="304"/>
      <c r="J224" s="305"/>
      <c r="K224" s="305"/>
      <c r="L224" s="305"/>
      <c r="M224" s="305"/>
      <c r="N224" s="305"/>
      <c r="O224" s="305"/>
      <c r="P224" s="34" t="s">
        <v>67</v>
      </c>
      <c r="Q224" s="34" t="s">
        <v>68</v>
      </c>
      <c r="R224" s="34" t="s">
        <v>69</v>
      </c>
      <c r="S224" s="35">
        <v>46064.0</v>
      </c>
      <c r="T224" s="34" t="s">
        <v>67</v>
      </c>
      <c r="U224" s="28" t="s">
        <v>68</v>
      </c>
      <c r="V224" s="28" t="s">
        <v>69</v>
      </c>
      <c r="W224" s="45" t="s">
        <v>76</v>
      </c>
      <c r="X224" s="40"/>
      <c r="Y224" s="47"/>
      <c r="Z224" s="47"/>
    </row>
    <row r="225">
      <c r="A225" s="28">
        <f t="shared" si="38"/>
        <v>223</v>
      </c>
      <c r="B225" s="20"/>
      <c r="C225" s="20"/>
      <c r="D225" s="42" t="s">
        <v>1040</v>
      </c>
      <c r="E225" s="20"/>
      <c r="F225" s="20"/>
      <c r="G225" s="42" t="s">
        <v>1041</v>
      </c>
      <c r="H225" s="31"/>
      <c r="I225" s="304"/>
      <c r="J225" s="305"/>
      <c r="K225" s="305"/>
      <c r="L225" s="305"/>
      <c r="M225" s="305"/>
      <c r="N225" s="305"/>
      <c r="O225" s="305"/>
      <c r="P225" s="34" t="s">
        <v>67</v>
      </c>
      <c r="Q225" s="34" t="s">
        <v>68</v>
      </c>
      <c r="R225" s="34" t="s">
        <v>69</v>
      </c>
      <c r="S225" s="35">
        <v>46064.0</v>
      </c>
      <c r="T225" s="34" t="s">
        <v>67</v>
      </c>
      <c r="U225" s="28" t="s">
        <v>68</v>
      </c>
      <c r="V225" s="28" t="s">
        <v>69</v>
      </c>
      <c r="W225" s="45" t="s">
        <v>76</v>
      </c>
      <c r="X225" s="40"/>
      <c r="Y225" s="47"/>
      <c r="Z225" s="47"/>
    </row>
    <row r="226">
      <c r="A226" s="28">
        <f t="shared" si="38"/>
        <v>224</v>
      </c>
      <c r="B226" s="20"/>
      <c r="C226" s="20"/>
      <c r="D226" s="42" t="s">
        <v>1019</v>
      </c>
      <c r="E226" s="20"/>
      <c r="F226" s="20"/>
      <c r="G226" s="42" t="s">
        <v>1020</v>
      </c>
      <c r="H226" s="31"/>
      <c r="I226" s="304"/>
      <c r="J226" s="305"/>
      <c r="K226" s="305"/>
      <c r="L226" s="305"/>
      <c r="M226" s="305"/>
      <c r="N226" s="305"/>
      <c r="O226" s="305"/>
      <c r="P226" s="34" t="s">
        <v>67</v>
      </c>
      <c r="Q226" s="34" t="s">
        <v>68</v>
      </c>
      <c r="R226" s="34" t="s">
        <v>69</v>
      </c>
      <c r="S226" s="35">
        <v>46064.0</v>
      </c>
      <c r="T226" s="34" t="s">
        <v>67</v>
      </c>
      <c r="U226" s="28" t="s">
        <v>68</v>
      </c>
      <c r="V226" s="28" t="s">
        <v>69</v>
      </c>
      <c r="W226" s="45" t="s">
        <v>76</v>
      </c>
      <c r="X226" s="40"/>
      <c r="Y226" s="47"/>
      <c r="Z226" s="47"/>
    </row>
    <row r="227">
      <c r="A227" s="28">
        <f t="shared" si="38"/>
        <v>225</v>
      </c>
      <c r="B227" s="20"/>
      <c r="C227" s="20"/>
      <c r="D227" s="42" t="s">
        <v>1042</v>
      </c>
      <c r="E227" s="20"/>
      <c r="F227" s="20"/>
      <c r="G227" s="42" t="s">
        <v>1021</v>
      </c>
      <c r="H227" s="42"/>
      <c r="I227" s="318"/>
      <c r="J227" s="305"/>
      <c r="K227" s="305"/>
      <c r="L227" s="305"/>
      <c r="M227" s="305"/>
      <c r="N227" s="305"/>
      <c r="O227" s="305"/>
      <c r="P227" s="34" t="s">
        <v>67</v>
      </c>
      <c r="Q227" s="34" t="s">
        <v>68</v>
      </c>
      <c r="R227" s="34" t="s">
        <v>69</v>
      </c>
      <c r="S227" s="35">
        <v>46064.0</v>
      </c>
      <c r="T227" s="34" t="s">
        <v>67</v>
      </c>
      <c r="U227" s="28" t="s">
        <v>68</v>
      </c>
      <c r="V227" s="28" t="s">
        <v>69</v>
      </c>
      <c r="W227" s="45" t="s">
        <v>76</v>
      </c>
      <c r="X227" s="40"/>
      <c r="Y227" s="47"/>
      <c r="Z227" s="47"/>
    </row>
    <row r="228">
      <c r="A228" s="28">
        <f t="shared" si="38"/>
        <v>226</v>
      </c>
      <c r="B228" s="21"/>
      <c r="C228" s="21"/>
      <c r="D228" s="31" t="s">
        <v>1003</v>
      </c>
      <c r="E228" s="21"/>
      <c r="F228" s="21"/>
      <c r="G228" s="31" t="s">
        <v>1045</v>
      </c>
      <c r="H228" s="31"/>
      <c r="I228" s="304" t="str">
        <f>'参照_ショップ'!$I$232</f>
        <v>1日10個</v>
      </c>
      <c r="J228" s="305"/>
      <c r="K228" s="305"/>
      <c r="L228" s="305"/>
      <c r="M228" s="305"/>
      <c r="N228" s="305"/>
      <c r="O228" s="305"/>
      <c r="P228" s="34" t="s">
        <v>67</v>
      </c>
      <c r="Q228" s="34" t="s">
        <v>68</v>
      </c>
      <c r="R228" s="34" t="s">
        <v>69</v>
      </c>
      <c r="S228" s="35">
        <v>46064.0</v>
      </c>
      <c r="T228" s="36"/>
      <c r="U228" s="36"/>
      <c r="V228" s="36"/>
      <c r="W228" s="36"/>
      <c r="X228" s="95" t="s">
        <v>1046</v>
      </c>
      <c r="Y228" s="47"/>
      <c r="Z228" s="47"/>
    </row>
  </sheetData>
  <customSheetViews>
    <customSheetView guid="{9FA1396E-99B0-44B1-8361-490FB13240C7}" filter="1" showAutoFilter="1">
      <autoFilter ref="$A$1:$Z$228">
        <filterColumn colId="19">
          <colorFilter dxfId="2"/>
        </filterColumn>
      </autoFilter>
    </customSheetView>
  </customSheetViews>
  <mergeCells count="126">
    <mergeCell ref="H1:H2"/>
    <mergeCell ref="I1:I2"/>
    <mergeCell ref="P1:S1"/>
    <mergeCell ref="T1:W1"/>
    <mergeCell ref="X1:X2"/>
    <mergeCell ref="Y1:Y2"/>
    <mergeCell ref="Z1:Z2"/>
    <mergeCell ref="A1:A2"/>
    <mergeCell ref="B1:B2"/>
    <mergeCell ref="C1:C2"/>
    <mergeCell ref="D1:D2"/>
    <mergeCell ref="E1:E2"/>
    <mergeCell ref="F1:F2"/>
    <mergeCell ref="G1:G2"/>
    <mergeCell ref="B3:B4"/>
    <mergeCell ref="C3:C4"/>
    <mergeCell ref="E3:E4"/>
    <mergeCell ref="F3:F4"/>
    <mergeCell ref="B6:B18"/>
    <mergeCell ref="E6:E18"/>
    <mergeCell ref="F6:F13"/>
    <mergeCell ref="F14:F18"/>
    <mergeCell ref="C6:C13"/>
    <mergeCell ref="C14:C18"/>
    <mergeCell ref="C19:C26"/>
    <mergeCell ref="E19:E31"/>
    <mergeCell ref="F19:F26"/>
    <mergeCell ref="C27:C31"/>
    <mergeCell ref="E32:E44"/>
    <mergeCell ref="F40:F44"/>
    <mergeCell ref="C52:C56"/>
    <mergeCell ref="C57:C62"/>
    <mergeCell ref="C68:C73"/>
    <mergeCell ref="C74:C78"/>
    <mergeCell ref="B57:B67"/>
    <mergeCell ref="B68:B78"/>
    <mergeCell ref="B19:B31"/>
    <mergeCell ref="B32:B44"/>
    <mergeCell ref="C32:C39"/>
    <mergeCell ref="C40:C44"/>
    <mergeCell ref="B45:B56"/>
    <mergeCell ref="C45:C51"/>
    <mergeCell ref="C63:C67"/>
    <mergeCell ref="C168:C172"/>
    <mergeCell ref="C173:C179"/>
    <mergeCell ref="C107:C111"/>
    <mergeCell ref="C112:C117"/>
    <mergeCell ref="C123:C134"/>
    <mergeCell ref="C135:C139"/>
    <mergeCell ref="C140:C151"/>
    <mergeCell ref="C152:C156"/>
    <mergeCell ref="C157:C167"/>
    <mergeCell ref="F185:F192"/>
    <mergeCell ref="F193:F197"/>
    <mergeCell ref="F135:F139"/>
    <mergeCell ref="F140:F151"/>
    <mergeCell ref="F152:F156"/>
    <mergeCell ref="F157:F167"/>
    <mergeCell ref="F168:F172"/>
    <mergeCell ref="F173:F179"/>
    <mergeCell ref="F180:F184"/>
    <mergeCell ref="C206:C210"/>
    <mergeCell ref="C212:C215"/>
    <mergeCell ref="E157:E172"/>
    <mergeCell ref="E173:E184"/>
    <mergeCell ref="C180:C184"/>
    <mergeCell ref="C185:C192"/>
    <mergeCell ref="E185:E197"/>
    <mergeCell ref="C193:C197"/>
    <mergeCell ref="C198:C205"/>
    <mergeCell ref="E212:E219"/>
    <mergeCell ref="E220:E228"/>
    <mergeCell ref="F224:F228"/>
    <mergeCell ref="C220:C223"/>
    <mergeCell ref="C224:C228"/>
    <mergeCell ref="E198:E210"/>
    <mergeCell ref="F198:F205"/>
    <mergeCell ref="F206:F210"/>
    <mergeCell ref="F212:F215"/>
    <mergeCell ref="C216:C219"/>
    <mergeCell ref="F216:F219"/>
    <mergeCell ref="F220:F223"/>
    <mergeCell ref="F27:F31"/>
    <mergeCell ref="F32:F39"/>
    <mergeCell ref="E45:E56"/>
    <mergeCell ref="F45:F51"/>
    <mergeCell ref="F52:F56"/>
    <mergeCell ref="F57:F62"/>
    <mergeCell ref="F63:F67"/>
    <mergeCell ref="F68:F73"/>
    <mergeCell ref="F74:F78"/>
    <mergeCell ref="C79:C84"/>
    <mergeCell ref="E79:E89"/>
    <mergeCell ref="F79:F84"/>
    <mergeCell ref="C85:C89"/>
    <mergeCell ref="F85:F89"/>
    <mergeCell ref="B79:B89"/>
    <mergeCell ref="B90:B100"/>
    <mergeCell ref="C90:C95"/>
    <mergeCell ref="C96:C100"/>
    <mergeCell ref="B101:B111"/>
    <mergeCell ref="C101:C106"/>
    <mergeCell ref="C118:C122"/>
    <mergeCell ref="F90:F95"/>
    <mergeCell ref="F96:F100"/>
    <mergeCell ref="F101:F106"/>
    <mergeCell ref="F107:F111"/>
    <mergeCell ref="F112:F117"/>
    <mergeCell ref="F118:F122"/>
    <mergeCell ref="F123:F134"/>
    <mergeCell ref="E57:E67"/>
    <mergeCell ref="E68:E78"/>
    <mergeCell ref="E90:E100"/>
    <mergeCell ref="E101:E111"/>
    <mergeCell ref="E112:E122"/>
    <mergeCell ref="E123:E139"/>
    <mergeCell ref="E140:E156"/>
    <mergeCell ref="B212:B219"/>
    <mergeCell ref="B220:B228"/>
    <mergeCell ref="B112:B122"/>
    <mergeCell ref="B123:B139"/>
    <mergeCell ref="B140:B156"/>
    <mergeCell ref="B157:B172"/>
    <mergeCell ref="B173:B184"/>
    <mergeCell ref="B185:B197"/>
    <mergeCell ref="B198:B210"/>
  </mergeCells>
  <conditionalFormatting sqref="M6:M228">
    <cfRule type="cellIs" dxfId="3" priority="1" operator="notEqual">
      <formula>H6</formula>
    </cfRule>
  </conditionalFormatting>
  <conditionalFormatting sqref="O6:O223">
    <cfRule type="cellIs" dxfId="3" priority="2" operator="notEqual">
      <formula>$I6</formula>
    </cfRule>
  </conditionalFormatting>
  <conditionalFormatting sqref="M6:M223">
    <cfRule type="cellIs" dxfId="5" priority="3" operator="equal">
      <formula>H6</formula>
    </cfRule>
  </conditionalFormatting>
  <conditionalFormatting sqref="O6:O223">
    <cfRule type="cellIs" dxfId="5" priority="4" operator="equal">
      <formula>I6</formula>
    </cfRule>
  </conditionalFormatting>
  <hyperlinks>
    <hyperlink r:id="rId1" ref="C3"/>
    <hyperlink r:id="rId2" ref="Z10"/>
  </hyperlinks>
  <printOptions/>
  <pageMargins bottom="0.75" footer="0.0" header="0.0" left="0.7" right="0.7" top="0.75"/>
  <pageSetup orientation="landscape"/>
  <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4.43" defaultRowHeight="15.0" outlineLevelCol="1"/>
  <cols>
    <col customWidth="1" min="1" max="1" width="24.43"/>
    <col min="2" max="4" width="14.43" outlineLevel="1"/>
    <col customWidth="1" min="5" max="5" width="43.0" outlineLevel="1"/>
    <col customWidth="1" min="6" max="6" width="17.14"/>
    <col collapsed="1" customWidth="1" min="7" max="7" width="43.0"/>
    <col hidden="1" min="8" max="8" width="14.43" outlineLevel="1"/>
    <col collapsed="1" min="9" max="9" width="14.43"/>
    <col hidden="1" min="10" max="10" width="14.43" outlineLevel="1"/>
    <col collapsed="1" min="11" max="11" width="14.43"/>
    <col hidden="1" min="12" max="16" width="14.43" outlineLevel="1"/>
    <col customWidth="1" min="17" max="17" width="25.71"/>
    <col collapsed="1" customWidth="1" min="18" max="18" width="25.71"/>
    <col customWidth="1" hidden="1" min="19" max="20" width="25.71" outlineLevel="1"/>
    <col customWidth="1" hidden="1" min="21" max="22" width="34.86" outlineLevel="1"/>
  </cols>
  <sheetData>
    <row r="1">
      <c r="A1" s="247" t="s">
        <v>1047</v>
      </c>
      <c r="B1" s="332"/>
      <c r="C1" s="332"/>
      <c r="G1" s="246"/>
    </row>
    <row r="2">
      <c r="A2" s="140"/>
      <c r="B2" s="333"/>
      <c r="C2" s="333"/>
      <c r="D2" s="140"/>
      <c r="E2" s="140"/>
      <c r="H2" s="140"/>
      <c r="I2" s="140">
        <f t="array" ref="I2:R2">SEQUENCE(1,COLUMNS(I:R))</f>
        <v>1</v>
      </c>
      <c r="J2" s="140">
        <v>2.0</v>
      </c>
      <c r="K2" s="140">
        <v>3.0</v>
      </c>
      <c r="L2" s="140">
        <v>4.0</v>
      </c>
      <c r="M2" s="140">
        <v>5.0</v>
      </c>
      <c r="N2" s="140">
        <v>6.0</v>
      </c>
      <c r="O2" s="140">
        <v>7.0</v>
      </c>
      <c r="P2" s="140">
        <v>8.0</v>
      </c>
      <c r="Q2" s="140">
        <v>9.0</v>
      </c>
      <c r="R2" s="140">
        <v>10.0</v>
      </c>
      <c r="S2" s="140"/>
      <c r="T2" s="140"/>
      <c r="U2" s="140"/>
      <c r="V2" s="140"/>
    </row>
    <row r="3">
      <c r="A3" s="334" t="s">
        <v>1048</v>
      </c>
      <c r="B3" s="335" t="s">
        <v>1049</v>
      </c>
      <c r="C3" s="335" t="s">
        <v>1050</v>
      </c>
      <c r="D3" s="334" t="s">
        <v>1051</v>
      </c>
      <c r="E3" s="334" t="s">
        <v>1052</v>
      </c>
      <c r="F3" s="143" t="s">
        <v>1053</v>
      </c>
      <c r="G3" s="143" t="s">
        <v>1054</v>
      </c>
      <c r="H3" s="334" t="s">
        <v>1055</v>
      </c>
      <c r="I3" s="334" t="s">
        <v>1056</v>
      </c>
      <c r="J3" s="334" t="s">
        <v>1057</v>
      </c>
      <c r="K3" s="334" t="s">
        <v>1058</v>
      </c>
      <c r="L3" s="334" t="s">
        <v>1059</v>
      </c>
      <c r="M3" s="334" t="s">
        <v>1060</v>
      </c>
      <c r="N3" s="334" t="s">
        <v>1061</v>
      </c>
      <c r="O3" s="334" t="s">
        <v>1062</v>
      </c>
      <c r="P3" s="334" t="s">
        <v>1063</v>
      </c>
      <c r="Q3" s="336" t="s">
        <v>1064</v>
      </c>
      <c r="R3" s="336" t="s">
        <v>1065</v>
      </c>
      <c r="S3" s="334" t="s">
        <v>1066</v>
      </c>
      <c r="T3" s="334" t="s">
        <v>1067</v>
      </c>
      <c r="U3" s="334" t="s">
        <v>1068</v>
      </c>
      <c r="V3" s="334" t="s">
        <v>1069</v>
      </c>
    </row>
    <row r="4">
      <c r="A4" s="337" t="s">
        <v>1070</v>
      </c>
      <c r="B4" s="338">
        <f>IFERROR(__xludf.DUMMYFUNCTION("ARRAYFORMULA(SPLIT(A4:A20,"":/""))"),76615.0)</f>
        <v>76615</v>
      </c>
      <c r="C4" s="339" t="str">
        <f>IFERROR(__xludf.DUMMYFUNCTION("""COMPUTED_VALUE"""),"csit00843_1")</f>
        <v>csit00843_1</v>
      </c>
      <c r="D4" s="340"/>
      <c r="E4" s="144" t="s">
        <v>1071</v>
      </c>
      <c r="F4" s="341" t="str">
        <f>IFERROR(__xludf.DUMMYFUNCTION("ARRAYFORMULA(TRIM(SPLIT(E4:E20,"":"",)))"),"set_0843001")</f>
        <v>set_0843001</v>
      </c>
      <c r="G4" s="143" t="str">
        <f>IFERROR(__xludf.DUMMYFUNCTION("""COMPUTED_VALUE"""),"Mystic Matrimony◆100 Coin Set")</f>
        <v>Mystic Matrimony◆100 Coin Set</v>
      </c>
      <c r="H4" s="342" t="s">
        <v>1072</v>
      </c>
      <c r="I4" s="343">
        <f t="array" ref="I4:I20">IF(LEN(H4:H20),VALUE(RIGHT(H4:H20,LEN(H4:H20)-4)),)</f>
        <v>13402</v>
      </c>
      <c r="J4" s="344" t="s">
        <v>230</v>
      </c>
      <c r="K4" s="344">
        <f t="array" ref="K4:K20">IF(LEN(J4:J20),VALUE(LEFT(J4:J20,LEN(J4:J20)-1)),)</f>
        <v>1</v>
      </c>
      <c r="L4" s="344">
        <v>1.0</v>
      </c>
      <c r="M4" s="345"/>
      <c r="N4" s="344" t="s">
        <v>1073</v>
      </c>
      <c r="O4" s="346" t="s">
        <v>1074</v>
      </c>
      <c r="P4" s="346" t="s">
        <v>1075</v>
      </c>
      <c r="Q4" s="347">
        <v>46074.708333333336</v>
      </c>
      <c r="R4" s="348">
        <v>46080.708333333336</v>
      </c>
      <c r="S4" s="349">
        <v>46074.708333333336</v>
      </c>
      <c r="T4" s="350">
        <v>46080.708333333336</v>
      </c>
      <c r="U4" s="349">
        <v>46074.708333333336</v>
      </c>
      <c r="V4" s="351">
        <v>46080.708333333336</v>
      </c>
    </row>
    <row r="5">
      <c r="A5" s="337" t="s">
        <v>1076</v>
      </c>
      <c r="B5" s="339">
        <f>IFERROR(__xludf.DUMMYFUNCTION("""COMPUTED_VALUE"""),76616.0)</f>
        <v>76616</v>
      </c>
      <c r="C5" s="339" t="str">
        <f>IFERROR(__xludf.DUMMYFUNCTION("""COMPUTED_VALUE"""),"csit00843_2")</f>
        <v>csit00843_2</v>
      </c>
      <c r="D5" s="340"/>
      <c r="E5" s="144" t="s">
        <v>1077</v>
      </c>
      <c r="F5" s="341" t="str">
        <f>IFERROR(__xludf.DUMMYFUNCTION("""COMPUTED_VALUE"""),"set_0843002")</f>
        <v>set_0843002</v>
      </c>
      <c r="G5" s="143" t="str">
        <f>IFERROR(__xludf.DUMMYFUNCTION("""COMPUTED_VALUE"""),"Mystic Matrimony◆Special Set")</f>
        <v>Mystic Matrimony◆Special Set</v>
      </c>
      <c r="H5" s="352" t="s">
        <v>1078</v>
      </c>
      <c r="I5" s="343">
        <v>13403.0</v>
      </c>
      <c r="J5" s="344" t="s">
        <v>230</v>
      </c>
      <c r="K5" s="344">
        <v>1.0</v>
      </c>
      <c r="L5" s="344">
        <v>2.0</v>
      </c>
      <c r="M5" s="345"/>
      <c r="N5" s="344" t="s">
        <v>1073</v>
      </c>
      <c r="O5" s="346" t="s">
        <v>1079</v>
      </c>
      <c r="P5" s="346" t="s">
        <v>1080</v>
      </c>
      <c r="Q5" s="347">
        <v>46074.708333333336</v>
      </c>
      <c r="R5" s="348">
        <v>46080.708333333336</v>
      </c>
      <c r="S5" s="349">
        <v>46074.708333333336</v>
      </c>
      <c r="T5" s="350">
        <v>46080.708333333336</v>
      </c>
      <c r="U5" s="349">
        <v>46074.708333333336</v>
      </c>
      <c r="V5" s="353">
        <v>46080.708333333336</v>
      </c>
    </row>
    <row r="6">
      <c r="A6" s="337" t="s">
        <v>1081</v>
      </c>
      <c r="B6" s="339">
        <f>IFERROR(__xludf.DUMMYFUNCTION("""COMPUTED_VALUE"""),76617.0)</f>
        <v>76617</v>
      </c>
      <c r="C6" s="339" t="str">
        <f>IFERROR(__xludf.DUMMYFUNCTION("""COMPUTED_VALUE"""),"csit00843_3")</f>
        <v>csit00843_3</v>
      </c>
      <c r="D6" s="340"/>
      <c r="E6" s="144" t="s">
        <v>1082</v>
      </c>
      <c r="F6" s="341" t="str">
        <f>IFERROR(__xludf.DUMMYFUNCTION("""COMPUTED_VALUE"""),"set_0843003")</f>
        <v>set_0843003</v>
      </c>
      <c r="G6" s="143" t="str">
        <f>IFERROR(__xludf.DUMMYFUNCTION("""COMPUTED_VALUE"""),"Mystic Matrimony◆Early Bird Set")</f>
        <v>Mystic Matrimony◆Early Bird Set</v>
      </c>
      <c r="H6" s="352" t="s">
        <v>1083</v>
      </c>
      <c r="I6" s="343">
        <v>13404.0</v>
      </c>
      <c r="J6" s="344" t="s">
        <v>240</v>
      </c>
      <c r="K6" s="344">
        <v>2.0</v>
      </c>
      <c r="L6" s="344">
        <v>3.0</v>
      </c>
      <c r="M6" s="345"/>
      <c r="N6" s="344" t="s">
        <v>1073</v>
      </c>
      <c r="O6" s="346" t="s">
        <v>1084</v>
      </c>
      <c r="P6" s="346" t="s">
        <v>1085</v>
      </c>
      <c r="Q6" s="347">
        <v>46074.708333333336</v>
      </c>
      <c r="R6" s="348">
        <v>46077.708333333336</v>
      </c>
      <c r="S6" s="349">
        <v>46074.708333333336</v>
      </c>
      <c r="T6" s="350">
        <v>46077.708333333336</v>
      </c>
      <c r="U6" s="349">
        <v>46074.708333333336</v>
      </c>
      <c r="V6" s="353">
        <v>46077.708333333336</v>
      </c>
    </row>
    <row r="7">
      <c r="A7" s="337" t="s">
        <v>1086</v>
      </c>
      <c r="B7" s="339">
        <f>IFERROR(__xludf.DUMMYFUNCTION("""COMPUTED_VALUE"""),76618.0)</f>
        <v>76618</v>
      </c>
      <c r="C7" s="339" t="str">
        <f>IFERROR(__xludf.DUMMYFUNCTION("""COMPUTED_VALUE"""),"csit00843_4")</f>
        <v>csit00843_4</v>
      </c>
      <c r="D7" s="340"/>
      <c r="E7" s="144" t="s">
        <v>1087</v>
      </c>
      <c r="F7" s="341" t="str">
        <f>IFERROR(__xludf.DUMMYFUNCTION("""COMPUTED_VALUE"""),"set_0843004")</f>
        <v>set_0843004</v>
      </c>
      <c r="G7" s="143" t="str">
        <f>IFERROR(__xludf.DUMMYFUNCTION("""COMPUTED_VALUE"""),"Mystic Matrimony◆Last Dash Set")</f>
        <v>Mystic Matrimony◆Last Dash Set</v>
      </c>
      <c r="H7" s="352" t="s">
        <v>1088</v>
      </c>
      <c r="I7" s="343">
        <v>13405.0</v>
      </c>
      <c r="J7" s="344" t="s">
        <v>1089</v>
      </c>
      <c r="K7" s="344">
        <v>3.0</v>
      </c>
      <c r="L7" s="344">
        <v>4.0</v>
      </c>
      <c r="M7" s="345"/>
      <c r="N7" s="344" t="s">
        <v>1073</v>
      </c>
      <c r="O7" s="346" t="s">
        <v>1090</v>
      </c>
      <c r="P7" s="346" t="s">
        <v>1091</v>
      </c>
      <c r="Q7" s="347">
        <v>46079.708333333336</v>
      </c>
      <c r="R7" s="348">
        <v>46080.708333333336</v>
      </c>
      <c r="S7" s="349">
        <v>46079.708333333336</v>
      </c>
      <c r="T7" s="350">
        <v>46080.708333333336</v>
      </c>
      <c r="U7" s="349">
        <v>46079.708333333336</v>
      </c>
      <c r="V7" s="353">
        <v>46080.708333333336</v>
      </c>
    </row>
    <row r="8">
      <c r="A8" s="337" t="s">
        <v>1092</v>
      </c>
      <c r="B8" s="339">
        <f>IFERROR(__xludf.DUMMYFUNCTION("""COMPUTED_VALUE"""),76619.0)</f>
        <v>76619</v>
      </c>
      <c r="C8" s="339" t="str">
        <f>IFERROR(__xludf.DUMMYFUNCTION("""COMPUTED_VALUE"""),"csit00843_5")</f>
        <v>csit00843_5</v>
      </c>
      <c r="D8" s="340"/>
      <c r="E8" s="144" t="s">
        <v>1093</v>
      </c>
      <c r="F8" s="341" t="str">
        <f>IFERROR(__xludf.DUMMYFUNCTION("""COMPUTED_VALUE"""),"set_0843005")</f>
        <v>set_0843005</v>
      </c>
      <c r="G8" s="143" t="str">
        <f>IFERROR(__xludf.DUMMYFUNCTION("""COMPUTED_VALUE"""),"Mystic Matrimony◆Lucky Story Set")</f>
        <v>Mystic Matrimony◆Lucky Story Set</v>
      </c>
      <c r="H8" s="352" t="s">
        <v>1094</v>
      </c>
      <c r="I8" s="343">
        <v>13406.0</v>
      </c>
      <c r="J8" s="344" t="s">
        <v>1089</v>
      </c>
      <c r="K8" s="344">
        <v>3.0</v>
      </c>
      <c r="L8" s="344">
        <v>5.0</v>
      </c>
      <c r="M8" s="345"/>
      <c r="N8" s="344" t="s">
        <v>1073</v>
      </c>
      <c r="O8" s="346" t="s">
        <v>1095</v>
      </c>
      <c r="P8" s="346" t="s">
        <v>1096</v>
      </c>
      <c r="Q8" s="347">
        <v>46074.708333333336</v>
      </c>
      <c r="R8" s="348">
        <v>46075.208333333336</v>
      </c>
      <c r="S8" s="349">
        <v>46074.708333333336</v>
      </c>
      <c r="T8" s="350">
        <v>46075.208333333336</v>
      </c>
      <c r="U8" s="349">
        <v>46074.708333333336</v>
      </c>
      <c r="V8" s="353">
        <v>46075.208333333336</v>
      </c>
    </row>
    <row r="9">
      <c r="A9" s="337" t="s">
        <v>1097</v>
      </c>
      <c r="B9" s="339">
        <f>IFERROR(__xludf.DUMMYFUNCTION("""COMPUTED_VALUE"""),76620.0)</f>
        <v>76620</v>
      </c>
      <c r="C9" s="339" t="str">
        <f>IFERROR(__xludf.DUMMYFUNCTION("""COMPUTED_VALUE"""),"csit00843_6")</f>
        <v>csit00843_6</v>
      </c>
      <c r="D9" s="340"/>
      <c r="E9" s="144" t="s">
        <v>1098</v>
      </c>
      <c r="F9" s="341" t="str">
        <f>IFERROR(__xludf.DUMMYFUNCTION("""COMPUTED_VALUE"""),"set_0843006")</f>
        <v>set_0843006</v>
      </c>
      <c r="G9" s="143" t="str">
        <f>IFERROR(__xludf.DUMMYFUNCTION("""COMPUTED_VALUE"""),"Mystic Matrimony◆Lucky Lesson Set")</f>
        <v>Mystic Matrimony◆Lucky Lesson Set</v>
      </c>
      <c r="H9" s="352" t="s">
        <v>1099</v>
      </c>
      <c r="I9" s="343">
        <v>13407.0</v>
      </c>
      <c r="J9" s="344" t="s">
        <v>1089</v>
      </c>
      <c r="K9" s="344">
        <v>3.0</v>
      </c>
      <c r="L9" s="344">
        <v>6.0</v>
      </c>
      <c r="M9" s="345"/>
      <c r="N9" s="344" t="s">
        <v>1073</v>
      </c>
      <c r="O9" s="346" t="s">
        <v>1100</v>
      </c>
      <c r="P9" s="346" t="s">
        <v>1101</v>
      </c>
      <c r="Q9" s="347">
        <v>46075.458333333336</v>
      </c>
      <c r="R9" s="348">
        <v>46076.208333333336</v>
      </c>
      <c r="S9" s="349">
        <v>46075.458333333336</v>
      </c>
      <c r="T9" s="350">
        <v>46076.208333333336</v>
      </c>
      <c r="U9" s="349">
        <v>46075.458333333336</v>
      </c>
      <c r="V9" s="353">
        <v>46076.208333333336</v>
      </c>
    </row>
    <row r="10">
      <c r="A10" s="337" t="s">
        <v>1102</v>
      </c>
      <c r="B10" s="339">
        <f>IFERROR(__xludf.DUMMYFUNCTION("""COMPUTED_VALUE"""),76621.0)</f>
        <v>76621</v>
      </c>
      <c r="C10" s="339" t="str">
        <f>IFERROR(__xludf.DUMMYFUNCTION("""COMPUTED_VALUE"""),"csit00843_7")</f>
        <v>csit00843_7</v>
      </c>
      <c r="D10" s="340"/>
      <c r="E10" s="144" t="s">
        <v>1103</v>
      </c>
      <c r="F10" s="341" t="str">
        <f>IFERROR(__xludf.DUMMYFUNCTION("""COMPUTED_VALUE"""),"set_0843007")</f>
        <v>set_0843007</v>
      </c>
      <c r="G10" s="143" t="str">
        <f>IFERROR(__xludf.DUMMYFUNCTION("""COMPUTED_VALUE"""),"Mystic Matrimony◆Lucky Story Set")</f>
        <v>Mystic Matrimony◆Lucky Story Set</v>
      </c>
      <c r="H10" s="352" t="s">
        <v>1104</v>
      </c>
      <c r="I10" s="343">
        <v>13408.0</v>
      </c>
      <c r="J10" s="344" t="s">
        <v>1089</v>
      </c>
      <c r="K10" s="344">
        <v>3.0</v>
      </c>
      <c r="L10" s="344">
        <v>7.0</v>
      </c>
      <c r="M10" s="345"/>
      <c r="N10" s="344" t="s">
        <v>1073</v>
      </c>
      <c r="O10" s="346" t="s">
        <v>1105</v>
      </c>
      <c r="P10" s="346" t="s">
        <v>1106</v>
      </c>
      <c r="Q10" s="347">
        <v>46076.708333333336</v>
      </c>
      <c r="R10" s="348">
        <v>46077.208333333336</v>
      </c>
      <c r="S10" s="349">
        <v>46076.708333333336</v>
      </c>
      <c r="T10" s="350">
        <v>46077.208333333336</v>
      </c>
      <c r="U10" s="349">
        <v>46076.708333333336</v>
      </c>
      <c r="V10" s="353">
        <v>46077.208333333336</v>
      </c>
    </row>
    <row r="11">
      <c r="A11" s="337" t="s">
        <v>1107</v>
      </c>
      <c r="B11" s="339">
        <f>IFERROR(__xludf.DUMMYFUNCTION("""COMPUTED_VALUE"""),76622.0)</f>
        <v>76622</v>
      </c>
      <c r="C11" s="339" t="str">
        <f>IFERROR(__xludf.DUMMYFUNCTION("""COMPUTED_VALUE"""),"csit00843_8")</f>
        <v>csit00843_8</v>
      </c>
      <c r="D11" s="340"/>
      <c r="E11" s="144" t="s">
        <v>1108</v>
      </c>
      <c r="F11" s="341" t="str">
        <f>IFERROR(__xludf.DUMMYFUNCTION("""COMPUTED_VALUE"""),"set_0843008")</f>
        <v>set_0843008</v>
      </c>
      <c r="G11" s="143" t="str">
        <f>IFERROR(__xludf.DUMMYFUNCTION("""COMPUTED_VALUE"""),"Mystic Matrimony◆Lucky Story Set")</f>
        <v>Mystic Matrimony◆Lucky Story Set</v>
      </c>
      <c r="H11" s="352" t="s">
        <v>1109</v>
      </c>
      <c r="I11" s="343">
        <v>13409.0</v>
      </c>
      <c r="J11" s="344" t="s">
        <v>1089</v>
      </c>
      <c r="K11" s="344">
        <v>3.0</v>
      </c>
      <c r="L11" s="344">
        <v>8.0</v>
      </c>
      <c r="M11" s="345"/>
      <c r="N11" s="344" t="s">
        <v>1073</v>
      </c>
      <c r="O11" s="346" t="s">
        <v>1110</v>
      </c>
      <c r="P11" s="346" t="s">
        <v>1111</v>
      </c>
      <c r="Q11" s="347">
        <v>46077.708333333336</v>
      </c>
      <c r="R11" s="348">
        <v>46078.208333333336</v>
      </c>
      <c r="S11" s="349">
        <v>46077.708333333336</v>
      </c>
      <c r="T11" s="350">
        <v>46078.208333333336</v>
      </c>
      <c r="U11" s="349">
        <v>46077.708333333336</v>
      </c>
      <c r="V11" s="353">
        <v>46078.208333333336</v>
      </c>
    </row>
    <row r="12">
      <c r="A12" s="337" t="s">
        <v>1112</v>
      </c>
      <c r="B12" s="339">
        <f>IFERROR(__xludf.DUMMYFUNCTION("""COMPUTED_VALUE"""),76623.0)</f>
        <v>76623</v>
      </c>
      <c r="C12" s="339" t="str">
        <f>IFERROR(__xludf.DUMMYFUNCTION("""COMPUTED_VALUE"""),"csit00843_9")</f>
        <v>csit00843_9</v>
      </c>
      <c r="D12" s="340"/>
      <c r="E12" s="144" t="s">
        <v>1113</v>
      </c>
      <c r="F12" s="341" t="str">
        <f>IFERROR(__xludf.DUMMYFUNCTION("""COMPUTED_VALUE"""),"set_0843009")</f>
        <v>set_0843009</v>
      </c>
      <c r="G12" s="143" t="str">
        <f>IFERROR(__xludf.DUMMYFUNCTION("""COMPUTED_VALUE"""),"Mystic Matrimony◆Lucky Lesson Set")</f>
        <v>Mystic Matrimony◆Lucky Lesson Set</v>
      </c>
      <c r="H12" s="352" t="s">
        <v>1114</v>
      </c>
      <c r="I12" s="343">
        <v>13410.0</v>
      </c>
      <c r="J12" s="344" t="s">
        <v>1089</v>
      </c>
      <c r="K12" s="344">
        <v>3.0</v>
      </c>
      <c r="L12" s="344">
        <v>9.0</v>
      </c>
      <c r="M12" s="345"/>
      <c r="N12" s="344" t="s">
        <v>1073</v>
      </c>
      <c r="O12" s="346" t="s">
        <v>1115</v>
      </c>
      <c r="P12" s="346" t="s">
        <v>1116</v>
      </c>
      <c r="Q12" s="347">
        <v>46078.458333333336</v>
      </c>
      <c r="R12" s="348">
        <v>46078.958333333336</v>
      </c>
      <c r="S12" s="349">
        <v>46078.458333333336</v>
      </c>
      <c r="T12" s="350">
        <v>46078.958333333336</v>
      </c>
      <c r="U12" s="349">
        <v>46078.458333333336</v>
      </c>
      <c r="V12" s="353">
        <v>46078.958333333336</v>
      </c>
    </row>
    <row r="13">
      <c r="A13" s="337" t="s">
        <v>1117</v>
      </c>
      <c r="B13" s="339">
        <f>IFERROR(__xludf.DUMMYFUNCTION("""COMPUTED_VALUE"""),76624.0)</f>
        <v>76624</v>
      </c>
      <c r="C13" s="339" t="str">
        <f>IFERROR(__xludf.DUMMYFUNCTION("""COMPUTED_VALUE"""),"csit00843_10")</f>
        <v>csit00843_10</v>
      </c>
      <c r="D13" s="340"/>
      <c r="E13" s="144" t="s">
        <v>1118</v>
      </c>
      <c r="F13" s="341" t="str">
        <f>IFERROR(__xludf.DUMMYFUNCTION("""COMPUTED_VALUE"""),"set_0843010")</f>
        <v>set_0843010</v>
      </c>
      <c r="G13" s="143" t="str">
        <f>IFERROR(__xludf.DUMMYFUNCTION("""COMPUTED_VALUE"""),"Mystic Matrimony◆Lucky Story Set")</f>
        <v>Mystic Matrimony◆Lucky Story Set</v>
      </c>
      <c r="H13" s="352" t="s">
        <v>1119</v>
      </c>
      <c r="I13" s="343">
        <v>13411.0</v>
      </c>
      <c r="J13" s="344" t="s">
        <v>1089</v>
      </c>
      <c r="K13" s="344">
        <v>3.0</v>
      </c>
      <c r="L13" s="344">
        <v>10.0</v>
      </c>
      <c r="M13" s="345"/>
      <c r="N13" s="344" t="s">
        <v>1073</v>
      </c>
      <c r="O13" s="346" t="s">
        <v>1120</v>
      </c>
      <c r="P13" s="346" t="s">
        <v>1121</v>
      </c>
      <c r="Q13" s="347">
        <v>46080.208333333336</v>
      </c>
      <c r="R13" s="348">
        <v>46080.708333333336</v>
      </c>
      <c r="S13" s="349">
        <v>46080.208333333336</v>
      </c>
      <c r="T13" s="350">
        <v>46080.708333333336</v>
      </c>
      <c r="U13" s="349">
        <v>46080.208333333336</v>
      </c>
      <c r="V13" s="353">
        <v>46080.708333333336</v>
      </c>
    </row>
    <row r="14">
      <c r="A14" s="337" t="s">
        <v>1122</v>
      </c>
      <c r="B14" s="339">
        <f>IFERROR(__xludf.DUMMYFUNCTION("""COMPUTED_VALUE"""),76625.0)</f>
        <v>76625</v>
      </c>
      <c r="C14" s="339" t="str">
        <f>IFERROR(__xludf.DUMMYFUNCTION("""COMPUTED_VALUE"""),"csit00843_11")</f>
        <v>csit00843_11</v>
      </c>
      <c r="D14" s="340"/>
      <c r="E14" s="144" t="s">
        <v>1123</v>
      </c>
      <c r="F14" s="341" t="str">
        <f>IFERROR(__xludf.DUMMYFUNCTION("""COMPUTED_VALUE"""),"set_0843011")</f>
        <v>set_0843011</v>
      </c>
      <c r="G14" s="143" t="str">
        <f>IFERROR(__xludf.DUMMYFUNCTION("""COMPUTED_VALUE"""),"Mystic Matrimony◆Mini Warlord Set A")</f>
        <v>Mystic Matrimony◆Mini Warlord Set A</v>
      </c>
      <c r="H14" s="352" t="s">
        <v>1124</v>
      </c>
      <c r="I14" s="343">
        <v>13412.0</v>
      </c>
      <c r="J14" s="344" t="s">
        <v>230</v>
      </c>
      <c r="K14" s="344">
        <v>1.0</v>
      </c>
      <c r="L14" s="344">
        <v>11.0</v>
      </c>
      <c r="M14" s="345"/>
      <c r="N14" s="344" t="s">
        <v>1073</v>
      </c>
      <c r="O14" s="346" t="s">
        <v>1125</v>
      </c>
      <c r="P14" s="346" t="s">
        <v>1126</v>
      </c>
      <c r="Q14" s="347">
        <v>46074.708333333336</v>
      </c>
      <c r="R14" s="348">
        <v>46080.708333333336</v>
      </c>
      <c r="S14" s="349">
        <v>46074.708333333336</v>
      </c>
      <c r="T14" s="350">
        <v>46080.708333333336</v>
      </c>
      <c r="U14" s="349">
        <v>46074.708333333336</v>
      </c>
      <c r="V14" s="353">
        <v>46080.708333333336</v>
      </c>
    </row>
    <row r="15">
      <c r="A15" s="337" t="s">
        <v>1127</v>
      </c>
      <c r="B15" s="339">
        <f>IFERROR(__xludf.DUMMYFUNCTION("""COMPUTED_VALUE"""),76626.0)</f>
        <v>76626</v>
      </c>
      <c r="C15" s="339" t="str">
        <f>IFERROR(__xludf.DUMMYFUNCTION("""COMPUTED_VALUE"""),"csit00843_12")</f>
        <v>csit00843_12</v>
      </c>
      <c r="D15" s="340"/>
      <c r="E15" s="144" t="s">
        <v>1128</v>
      </c>
      <c r="F15" s="341" t="str">
        <f>IFERROR(__xludf.DUMMYFUNCTION("""COMPUTED_VALUE"""),"set_0843012")</f>
        <v>set_0843012</v>
      </c>
      <c r="G15" s="143" t="str">
        <f>IFERROR(__xludf.DUMMYFUNCTION("""COMPUTED_VALUE"""),"Mystic Matrimony◆Mini Warlord Set B")</f>
        <v>Mystic Matrimony◆Mini Warlord Set B</v>
      </c>
      <c r="H15" s="352" t="s">
        <v>1129</v>
      </c>
      <c r="I15" s="343">
        <v>13413.0</v>
      </c>
      <c r="J15" s="344" t="s">
        <v>230</v>
      </c>
      <c r="K15" s="344">
        <v>1.0</v>
      </c>
      <c r="L15" s="344">
        <v>12.0</v>
      </c>
      <c r="M15" s="345"/>
      <c r="N15" s="344" t="s">
        <v>1073</v>
      </c>
      <c r="O15" s="346" t="s">
        <v>1130</v>
      </c>
      <c r="P15" s="346" t="s">
        <v>1131</v>
      </c>
      <c r="Q15" s="347">
        <v>46074.708333333336</v>
      </c>
      <c r="R15" s="348">
        <v>46080.708333333336</v>
      </c>
      <c r="S15" s="349">
        <v>46074.708333333336</v>
      </c>
      <c r="T15" s="350">
        <v>46080.708333333336</v>
      </c>
      <c r="U15" s="349">
        <v>46074.708333333336</v>
      </c>
      <c r="V15" s="353">
        <v>46080.708333333336</v>
      </c>
    </row>
    <row r="16">
      <c r="A16" s="337" t="s">
        <v>1132</v>
      </c>
      <c r="B16" s="339">
        <f>IFERROR(__xludf.DUMMYFUNCTION("""COMPUTED_VALUE"""),76627.0)</f>
        <v>76627</v>
      </c>
      <c r="C16" s="339" t="str">
        <f>IFERROR(__xludf.DUMMYFUNCTION("""COMPUTED_VALUE"""),"csit00843_13")</f>
        <v>csit00843_13</v>
      </c>
      <c r="D16" s="340"/>
      <c r="E16" s="144" t="s">
        <v>1133</v>
      </c>
      <c r="F16" s="341" t="str">
        <f>IFERROR(__xludf.DUMMYFUNCTION("""COMPUTED_VALUE"""),"set_0843013")</f>
        <v>set_0843013</v>
      </c>
      <c r="G16" s="143" t="str">
        <f>IFERROR(__xludf.DUMMYFUNCTION("""COMPUTED_VALUE"""),"Mystic Matrimony◆Mini Warlord Set C")</f>
        <v>Mystic Matrimony◆Mini Warlord Set C</v>
      </c>
      <c r="H16" s="352" t="s">
        <v>1134</v>
      </c>
      <c r="I16" s="343">
        <v>13414.0</v>
      </c>
      <c r="J16" s="344" t="s">
        <v>230</v>
      </c>
      <c r="K16" s="344">
        <v>1.0</v>
      </c>
      <c r="L16" s="344">
        <v>13.0</v>
      </c>
      <c r="M16" s="345"/>
      <c r="N16" s="344" t="s">
        <v>1073</v>
      </c>
      <c r="O16" s="346" t="s">
        <v>1135</v>
      </c>
      <c r="P16" s="346" t="s">
        <v>1136</v>
      </c>
      <c r="Q16" s="347">
        <v>46074.708333333336</v>
      </c>
      <c r="R16" s="348">
        <v>46080.708333333336</v>
      </c>
      <c r="S16" s="349">
        <v>46074.708333333336</v>
      </c>
      <c r="T16" s="350">
        <v>46080.708333333336</v>
      </c>
      <c r="U16" s="349">
        <v>46074.708333333336</v>
      </c>
      <c r="V16" s="353">
        <v>46080.708333333336</v>
      </c>
    </row>
    <row r="17">
      <c r="A17" s="337" t="s">
        <v>1137</v>
      </c>
      <c r="B17" s="339">
        <f>IFERROR(__xludf.DUMMYFUNCTION("""COMPUTED_VALUE"""),76628.0)</f>
        <v>76628</v>
      </c>
      <c r="C17" s="339" t="str">
        <f>IFERROR(__xludf.DUMMYFUNCTION("""COMPUTED_VALUE"""),"csit00843_14")</f>
        <v>csit00843_14</v>
      </c>
      <c r="D17" s="340"/>
      <c r="E17" s="144" t="s">
        <v>1138</v>
      </c>
      <c r="F17" s="341" t="str">
        <f>IFERROR(__xludf.DUMMYFUNCTION("""COMPUTED_VALUE"""),"set_0843014")</f>
        <v>set_0843014</v>
      </c>
      <c r="G17" s="143" t="str">
        <f>IFERROR(__xludf.DUMMYFUNCTION("""COMPUTED_VALUE"""),"Back Again! Demon of My Dreams◆Story Set")</f>
        <v>Back Again! Demon of My Dreams◆Story Set</v>
      </c>
      <c r="H17" s="352" t="s">
        <v>1139</v>
      </c>
      <c r="I17" s="343">
        <v>13415.0</v>
      </c>
      <c r="J17" s="344" t="s">
        <v>230</v>
      </c>
      <c r="K17" s="344">
        <v>1.0</v>
      </c>
      <c r="L17" s="344">
        <v>14.0</v>
      </c>
      <c r="M17" s="345"/>
      <c r="N17" s="344" t="s">
        <v>1073</v>
      </c>
      <c r="O17" s="346" t="s">
        <v>1140</v>
      </c>
      <c r="P17" s="346" t="s">
        <v>1141</v>
      </c>
      <c r="Q17" s="347">
        <v>46074.708333333336</v>
      </c>
      <c r="R17" s="348">
        <v>46080.708333333336</v>
      </c>
      <c r="S17" s="349">
        <v>46074.708333333336</v>
      </c>
      <c r="T17" s="350">
        <v>46080.708333333336</v>
      </c>
      <c r="U17" s="349">
        <v>46074.708333333336</v>
      </c>
      <c r="V17" s="353">
        <v>46080.708333333336</v>
      </c>
    </row>
    <row r="18">
      <c r="A18" s="337" t="s">
        <v>1142</v>
      </c>
      <c r="B18" s="339">
        <f>IFERROR(__xludf.DUMMYFUNCTION("""COMPUTED_VALUE"""),76629.0)</f>
        <v>76629</v>
      </c>
      <c r="C18" s="339" t="str">
        <f>IFERROR(__xludf.DUMMYFUNCTION("""COMPUTED_VALUE"""),"csit00843_15")</f>
        <v>csit00843_15</v>
      </c>
      <c r="D18" s="340"/>
      <c r="E18" s="144" t="s">
        <v>1143</v>
      </c>
      <c r="F18" s="341" t="str">
        <f>IFERROR(__xludf.DUMMYFUNCTION("""COMPUTED_VALUE"""),"set_0843015")</f>
        <v>set_0843015</v>
      </c>
      <c r="G18" s="143" t="str">
        <f>IFERROR(__xludf.DUMMYFUNCTION("""COMPUTED_VALUE"""),"Mystic Matrimony◆Story Set")</f>
        <v>Mystic Matrimony◆Story Set</v>
      </c>
      <c r="H18" s="352" t="s">
        <v>1144</v>
      </c>
      <c r="I18" s="343">
        <v>13416.0</v>
      </c>
      <c r="J18" s="344" t="s">
        <v>1145</v>
      </c>
      <c r="K18" s="344">
        <v>999.0</v>
      </c>
      <c r="L18" s="344">
        <v>15.0</v>
      </c>
      <c r="M18" s="345"/>
      <c r="N18" s="344" t="s">
        <v>1073</v>
      </c>
      <c r="O18" s="346" t="s">
        <v>1146</v>
      </c>
      <c r="P18" s="346" t="s">
        <v>1147</v>
      </c>
      <c r="Q18" s="347">
        <v>46074.708333333336</v>
      </c>
      <c r="R18" s="348">
        <v>46080.708333333336</v>
      </c>
      <c r="S18" s="349">
        <v>46074.708333333336</v>
      </c>
      <c r="T18" s="350">
        <v>46080.708333333336</v>
      </c>
      <c r="U18" s="349">
        <v>46074.708333333336</v>
      </c>
      <c r="V18" s="353">
        <v>46080.708333333336</v>
      </c>
    </row>
    <row r="19">
      <c r="A19" s="337" t="s">
        <v>1148</v>
      </c>
      <c r="B19" s="339">
        <f>IFERROR(__xludf.DUMMYFUNCTION("""COMPUTED_VALUE"""),76630.0)</f>
        <v>76630</v>
      </c>
      <c r="C19" s="339" t="str">
        <f>IFERROR(__xludf.DUMMYFUNCTION("""COMPUTED_VALUE"""),"csit00843_16")</f>
        <v>csit00843_16</v>
      </c>
      <c r="D19" s="340"/>
      <c r="E19" s="144" t="s">
        <v>1149</v>
      </c>
      <c r="F19" s="341" t="str">
        <f>IFERROR(__xludf.DUMMYFUNCTION("""COMPUTED_VALUE"""),"set_0843016")</f>
        <v>set_0843016</v>
      </c>
      <c r="G19" s="143" t="str">
        <f>IFERROR(__xludf.DUMMYFUNCTION("""COMPUTED_VALUE"""),"Mystic Matrimony◆Shaved Ice Set")</f>
        <v>Mystic Matrimony◆Shaved Ice Set</v>
      </c>
      <c r="H19" s="352" t="s">
        <v>1150</v>
      </c>
      <c r="I19" s="343">
        <v>13417.0</v>
      </c>
      <c r="J19" s="344" t="s">
        <v>1145</v>
      </c>
      <c r="K19" s="344">
        <v>999.0</v>
      </c>
      <c r="L19" s="344">
        <v>16.0</v>
      </c>
      <c r="M19" s="345"/>
      <c r="N19" s="344" t="s">
        <v>1073</v>
      </c>
      <c r="O19" s="346" t="s">
        <v>1151</v>
      </c>
      <c r="P19" s="346" t="s">
        <v>1152</v>
      </c>
      <c r="Q19" s="347">
        <v>46074.708333333336</v>
      </c>
      <c r="R19" s="348">
        <v>46080.708333333336</v>
      </c>
      <c r="S19" s="349">
        <v>46074.708333333336</v>
      </c>
      <c r="T19" s="350">
        <v>46080.708333333336</v>
      </c>
      <c r="U19" s="349">
        <v>46074.708333333336</v>
      </c>
      <c r="V19" s="353">
        <v>46080.708333333336</v>
      </c>
    </row>
    <row r="20">
      <c r="A20" s="337" t="s">
        <v>1153</v>
      </c>
      <c r="B20" s="339">
        <f>IFERROR(__xludf.DUMMYFUNCTION("""COMPUTED_VALUE"""),76631.0)</f>
        <v>76631</v>
      </c>
      <c r="C20" s="339" t="str">
        <f>IFERROR(__xludf.DUMMYFUNCTION("""COMPUTED_VALUE"""),"csit00843_17")</f>
        <v>csit00843_17</v>
      </c>
      <c r="D20" s="340"/>
      <c r="E20" s="144" t="s">
        <v>1154</v>
      </c>
      <c r="F20" s="341" t="str">
        <f>IFERROR(__xludf.DUMMYFUNCTION("""COMPUTED_VALUE"""),"set_0843017")</f>
        <v>set_0843017</v>
      </c>
      <c r="G20" s="143" t="str">
        <f>IFERROR(__xludf.DUMMYFUNCTION("""COMPUTED_VALUE"""),"Mystic Matrimony◆Story Set Mini")</f>
        <v>Mystic Matrimony◆Story Set Mini</v>
      </c>
      <c r="H20" s="352" t="s">
        <v>1155</v>
      </c>
      <c r="I20" s="343">
        <v>13418.0</v>
      </c>
      <c r="J20" s="344" t="s">
        <v>1145</v>
      </c>
      <c r="K20" s="344">
        <v>999.0</v>
      </c>
      <c r="L20" s="344">
        <v>17.0</v>
      </c>
      <c r="M20" s="345"/>
      <c r="N20" s="344" t="s">
        <v>1073</v>
      </c>
      <c r="O20" s="346" t="s">
        <v>1156</v>
      </c>
      <c r="P20" s="346" t="s">
        <v>1157</v>
      </c>
      <c r="Q20" s="347">
        <v>46074.708333333336</v>
      </c>
      <c r="R20" s="348">
        <v>46080.708333333336</v>
      </c>
      <c r="S20" s="349">
        <v>46074.708333333336</v>
      </c>
      <c r="T20" s="350">
        <v>46080.708333333336</v>
      </c>
      <c r="U20" s="349">
        <v>46074.708333333336</v>
      </c>
      <c r="V20" s="353">
        <v>46080.708333333336</v>
      </c>
    </row>
  </sheetData>
  <conditionalFormatting sqref="S4:S20 U4:U20">
    <cfRule type="cellIs" dxfId="5" priority="1" operator="equal">
      <formula>Q4</formula>
    </cfRule>
  </conditionalFormatting>
  <conditionalFormatting sqref="T4:T20 V4:V20">
    <cfRule type="cellIs" dxfId="5" priority="2" operator="equal">
      <formula>R4</formula>
    </cfRule>
  </conditionalFormatting>
  <hyperlinks>
    <hyperlink r:id="rId1" ref="A1"/>
    <hyperlink r:id="rId2" ref="E4"/>
    <hyperlink r:id="rId3" ref="H4"/>
    <hyperlink r:id="rId4" ref="O4"/>
    <hyperlink r:id="rId5" ref="P4"/>
    <hyperlink r:id="rId6" ref="E5"/>
    <hyperlink r:id="rId7" ref="H5"/>
    <hyperlink r:id="rId8" ref="O5"/>
    <hyperlink r:id="rId9" ref="P5"/>
    <hyperlink r:id="rId10" ref="E6"/>
    <hyperlink r:id="rId11" ref="H6"/>
    <hyperlink r:id="rId12" ref="O6"/>
    <hyperlink r:id="rId13" ref="P6"/>
    <hyperlink r:id="rId14" ref="E7"/>
    <hyperlink r:id="rId15" ref="H7"/>
    <hyperlink r:id="rId16" ref="O7"/>
    <hyperlink r:id="rId17" ref="P7"/>
    <hyperlink r:id="rId18" ref="E8"/>
    <hyperlink r:id="rId19" ref="H8"/>
    <hyperlink r:id="rId20" ref="O8"/>
    <hyperlink r:id="rId21" ref="P8"/>
    <hyperlink r:id="rId22" ref="E9"/>
    <hyperlink r:id="rId23" ref="H9"/>
    <hyperlink r:id="rId24" ref="O9"/>
    <hyperlink r:id="rId25" ref="P9"/>
    <hyperlink r:id="rId26" ref="E10"/>
    <hyperlink r:id="rId27" ref="H10"/>
    <hyperlink r:id="rId28" ref="O10"/>
    <hyperlink r:id="rId29" ref="P10"/>
    <hyperlink r:id="rId30" ref="E11"/>
    <hyperlink r:id="rId31" ref="H11"/>
    <hyperlink r:id="rId32" ref="O11"/>
    <hyperlink r:id="rId33" ref="P11"/>
    <hyperlink r:id="rId34" ref="E12"/>
    <hyperlink r:id="rId35" ref="H12"/>
    <hyperlink r:id="rId36" ref="O12"/>
    <hyperlink r:id="rId37" ref="P12"/>
    <hyperlink r:id="rId38" ref="E13"/>
    <hyperlink r:id="rId39" ref="H13"/>
    <hyperlink r:id="rId40" ref="O13"/>
    <hyperlink r:id="rId41" ref="P13"/>
    <hyperlink r:id="rId42" ref="E14"/>
    <hyperlink r:id="rId43" ref="H14"/>
    <hyperlink r:id="rId44" ref="O14"/>
    <hyperlink r:id="rId45" ref="P14"/>
    <hyperlink r:id="rId46" ref="E15"/>
    <hyperlink r:id="rId47" ref="H15"/>
    <hyperlink r:id="rId48" ref="O15"/>
    <hyperlink r:id="rId49" ref="P15"/>
    <hyperlink r:id="rId50" ref="E16"/>
    <hyperlink r:id="rId51" ref="H16"/>
    <hyperlink r:id="rId52" ref="O16"/>
    <hyperlink r:id="rId53" ref="P16"/>
    <hyperlink r:id="rId54" ref="E17"/>
    <hyperlink r:id="rId55" ref="H17"/>
    <hyperlink r:id="rId56" ref="O17"/>
    <hyperlink r:id="rId57" ref="P17"/>
    <hyperlink r:id="rId58" ref="E18"/>
    <hyperlink r:id="rId59" ref="H18"/>
    <hyperlink r:id="rId60" ref="O18"/>
    <hyperlink r:id="rId61" ref="P18"/>
    <hyperlink r:id="rId62" ref="E19"/>
    <hyperlink r:id="rId63" ref="H19"/>
    <hyperlink r:id="rId64" ref="O19"/>
    <hyperlink r:id="rId65" ref="P19"/>
    <hyperlink r:id="rId66" ref="E20"/>
    <hyperlink r:id="rId67" ref="H20"/>
    <hyperlink r:id="rId68" ref="O20"/>
    <hyperlink r:id="rId69" ref="P20"/>
  </hyperlinks>
  <drawing r:id="rId70"/>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5.71"/>
    <col customWidth="1" min="2" max="2" width="10.57"/>
    <col customWidth="1" min="3" max="3" width="21.71"/>
    <col customWidth="1" min="4" max="4" width="32.14"/>
    <col customWidth="1" min="5" max="5" width="5.29"/>
    <col customWidth="1" min="6" max="6" width="41.86"/>
  </cols>
  <sheetData>
    <row r="1">
      <c r="A1" s="155" t="s">
        <v>1158</v>
      </c>
    </row>
    <row r="3">
      <c r="B3" s="140">
        <f t="array" ref="B3:F3">SEQUENCE(1,COLUMNS(B:F))</f>
        <v>1</v>
      </c>
      <c r="C3" s="140">
        <v>2.0</v>
      </c>
      <c r="D3" s="140">
        <v>3.0</v>
      </c>
      <c r="E3" s="140">
        <v>4.0</v>
      </c>
      <c r="F3" s="140">
        <v>5.0</v>
      </c>
    </row>
    <row r="4">
      <c r="A4" s="354" t="s">
        <v>1159</v>
      </c>
      <c r="B4" s="354" t="s">
        <v>25</v>
      </c>
      <c r="C4" s="354" t="s">
        <v>1160</v>
      </c>
      <c r="D4" s="354" t="s">
        <v>1161</v>
      </c>
      <c r="E4" s="354" t="s">
        <v>698</v>
      </c>
      <c r="F4" s="354" t="s">
        <v>51</v>
      </c>
    </row>
    <row r="5">
      <c r="A5" s="143">
        <v>13402.0</v>
      </c>
      <c r="B5" s="143">
        <v>163278.0</v>
      </c>
      <c r="C5" s="143" t="s">
        <v>1162</v>
      </c>
      <c r="D5" s="143" t="s">
        <v>1163</v>
      </c>
      <c r="E5" s="143">
        <v>5.0</v>
      </c>
      <c r="F5" s="143" t="s">
        <v>1164</v>
      </c>
    </row>
    <row r="6">
      <c r="A6" s="143">
        <v>13402.0</v>
      </c>
      <c r="B6" s="143">
        <v>163279.0</v>
      </c>
      <c r="C6" s="143" t="s">
        <v>1162</v>
      </c>
      <c r="D6" s="143" t="s">
        <v>646</v>
      </c>
      <c r="E6" s="143">
        <v>1.0</v>
      </c>
      <c r="F6" s="143" t="s">
        <v>1164</v>
      </c>
    </row>
    <row r="7">
      <c r="A7" s="143">
        <v>13402.0</v>
      </c>
      <c r="B7" s="143">
        <v>163280.0</v>
      </c>
      <c r="C7" s="143" t="s">
        <v>1162</v>
      </c>
      <c r="D7" s="143" t="s">
        <v>657</v>
      </c>
      <c r="E7" s="143">
        <v>1.0</v>
      </c>
      <c r="F7" s="143" t="s">
        <v>1164</v>
      </c>
    </row>
    <row r="8">
      <c r="A8" s="246"/>
      <c r="B8" s="246"/>
      <c r="C8" s="246"/>
      <c r="D8" s="246"/>
      <c r="E8" s="246"/>
      <c r="F8" s="246"/>
    </row>
    <row r="9">
      <c r="A9" s="143">
        <v>13403.0</v>
      </c>
      <c r="B9" s="143">
        <v>163281.0</v>
      </c>
      <c r="C9" s="143" t="s">
        <v>1162</v>
      </c>
      <c r="D9" s="143" t="s">
        <v>654</v>
      </c>
      <c r="E9" s="143">
        <v>55.0</v>
      </c>
      <c r="F9" s="143" t="s">
        <v>1165</v>
      </c>
    </row>
    <row r="10">
      <c r="A10" s="143">
        <v>13403.0</v>
      </c>
      <c r="B10" s="143">
        <v>163282.0</v>
      </c>
      <c r="C10" s="143" t="s">
        <v>1162</v>
      </c>
      <c r="D10" s="143" t="s">
        <v>1163</v>
      </c>
      <c r="E10" s="143">
        <v>30.0</v>
      </c>
      <c r="F10" s="143" t="s">
        <v>1165</v>
      </c>
    </row>
    <row r="11">
      <c r="A11" s="143">
        <v>13403.0</v>
      </c>
      <c r="B11" s="143">
        <v>163283.0</v>
      </c>
      <c r="C11" s="143" t="s">
        <v>1162</v>
      </c>
      <c r="D11" s="143" t="s">
        <v>657</v>
      </c>
      <c r="E11" s="143">
        <v>5.0</v>
      </c>
      <c r="F11" s="143" t="s">
        <v>1165</v>
      </c>
    </row>
    <row r="12">
      <c r="A12" s="246"/>
      <c r="B12" s="246"/>
      <c r="C12" s="246"/>
      <c r="D12" s="246"/>
      <c r="E12" s="246"/>
      <c r="F12" s="246"/>
    </row>
    <row r="13">
      <c r="A13" s="143">
        <v>13404.0</v>
      </c>
      <c r="B13" s="143">
        <v>163284.0</v>
      </c>
      <c r="C13" s="143" t="s">
        <v>1162</v>
      </c>
      <c r="D13" s="143" t="s">
        <v>654</v>
      </c>
      <c r="E13" s="143">
        <v>55.0</v>
      </c>
      <c r="F13" s="143" t="s">
        <v>1166</v>
      </c>
    </row>
    <row r="14">
      <c r="A14" s="143">
        <v>13404.0</v>
      </c>
      <c r="B14" s="143">
        <v>163285.0</v>
      </c>
      <c r="C14" s="143" t="s">
        <v>1162</v>
      </c>
      <c r="D14" s="143" t="s">
        <v>1163</v>
      </c>
      <c r="E14" s="143">
        <v>30.0</v>
      </c>
      <c r="F14" s="143" t="s">
        <v>1166</v>
      </c>
    </row>
    <row r="15">
      <c r="A15" s="143">
        <v>13404.0</v>
      </c>
      <c r="B15" s="143">
        <v>163286.0</v>
      </c>
      <c r="C15" s="143" t="s">
        <v>1162</v>
      </c>
      <c r="D15" s="143" t="s">
        <v>657</v>
      </c>
      <c r="E15" s="143">
        <v>5.0</v>
      </c>
      <c r="F15" s="143" t="s">
        <v>1166</v>
      </c>
    </row>
    <row r="16">
      <c r="A16" s="246"/>
      <c r="B16" s="246"/>
      <c r="C16" s="246"/>
      <c r="D16" s="246"/>
      <c r="E16" s="246"/>
      <c r="F16" s="246"/>
    </row>
    <row r="17">
      <c r="A17" s="143">
        <v>13405.0</v>
      </c>
      <c r="B17" s="143">
        <v>163287.0</v>
      </c>
      <c r="C17" s="143" t="s">
        <v>1162</v>
      </c>
      <c r="D17" s="143" t="s">
        <v>1163</v>
      </c>
      <c r="E17" s="143">
        <v>50.0</v>
      </c>
      <c r="F17" s="143" t="s">
        <v>1167</v>
      </c>
    </row>
    <row r="18">
      <c r="A18" s="143">
        <v>13405.0</v>
      </c>
      <c r="B18" s="143">
        <v>163288.0</v>
      </c>
      <c r="C18" s="143" t="s">
        <v>1162</v>
      </c>
      <c r="D18" s="143" t="s">
        <v>657</v>
      </c>
      <c r="E18" s="143">
        <v>10.0</v>
      </c>
      <c r="F18" s="143" t="s">
        <v>1167</v>
      </c>
    </row>
    <row r="19">
      <c r="A19" s="246"/>
      <c r="B19" s="249"/>
      <c r="C19" s="246"/>
      <c r="D19" s="246"/>
      <c r="E19" s="246"/>
      <c r="F19" s="246"/>
    </row>
    <row r="20">
      <c r="A20" s="143">
        <v>13406.0</v>
      </c>
      <c r="B20" s="143">
        <v>163289.0</v>
      </c>
      <c r="C20" s="143" t="s">
        <v>1162</v>
      </c>
      <c r="D20" s="143" t="s">
        <v>654</v>
      </c>
      <c r="E20" s="143">
        <v>20.0</v>
      </c>
      <c r="F20" s="143" t="s">
        <v>1168</v>
      </c>
    </row>
    <row r="21">
      <c r="A21" s="246"/>
      <c r="B21" s="246"/>
      <c r="C21" s="246"/>
      <c r="D21" s="246"/>
      <c r="E21" s="246"/>
      <c r="F21" s="246"/>
    </row>
    <row r="22">
      <c r="A22" s="143">
        <v>13407.0</v>
      </c>
      <c r="B22" s="143">
        <v>163290.0</v>
      </c>
      <c r="C22" s="143" t="s">
        <v>1162</v>
      </c>
      <c r="D22" s="143" t="s">
        <v>657</v>
      </c>
      <c r="E22" s="143">
        <v>12.0</v>
      </c>
      <c r="F22" s="143" t="s">
        <v>1169</v>
      </c>
    </row>
    <row r="23">
      <c r="A23" s="246"/>
      <c r="B23" s="246"/>
      <c r="C23" s="246"/>
      <c r="D23" s="246"/>
      <c r="E23" s="246"/>
      <c r="F23" s="246"/>
    </row>
    <row r="24">
      <c r="A24" s="143">
        <v>13408.0</v>
      </c>
      <c r="B24" s="143">
        <v>163291.0</v>
      </c>
      <c r="C24" s="143" t="s">
        <v>1162</v>
      </c>
      <c r="D24" s="143" t="s">
        <v>654</v>
      </c>
      <c r="E24" s="143">
        <v>20.0</v>
      </c>
      <c r="F24" s="143" t="s">
        <v>1168</v>
      </c>
    </row>
    <row r="25">
      <c r="A25" s="246"/>
      <c r="B25" s="246"/>
      <c r="C25" s="246"/>
      <c r="D25" s="246"/>
      <c r="E25" s="246"/>
      <c r="F25" s="246"/>
    </row>
    <row r="26">
      <c r="A26" s="143">
        <v>13409.0</v>
      </c>
      <c r="B26" s="143">
        <v>163292.0</v>
      </c>
      <c r="C26" s="143" t="s">
        <v>1162</v>
      </c>
      <c r="D26" s="143" t="s">
        <v>654</v>
      </c>
      <c r="E26" s="143">
        <v>20.0</v>
      </c>
      <c r="F26" s="143" t="s">
        <v>1168</v>
      </c>
    </row>
    <row r="27">
      <c r="A27" s="246"/>
      <c r="B27" s="246"/>
      <c r="C27" s="246"/>
      <c r="D27" s="246"/>
      <c r="E27" s="246"/>
      <c r="F27" s="246"/>
    </row>
    <row r="28">
      <c r="A28" s="143">
        <v>13410.0</v>
      </c>
      <c r="B28" s="143">
        <v>163293.0</v>
      </c>
      <c r="C28" s="143" t="s">
        <v>1162</v>
      </c>
      <c r="D28" s="143" t="s">
        <v>657</v>
      </c>
      <c r="E28" s="143">
        <v>12.0</v>
      </c>
      <c r="F28" s="143" t="s">
        <v>1169</v>
      </c>
    </row>
    <row r="29">
      <c r="A29" s="246"/>
      <c r="B29" s="246"/>
      <c r="C29" s="246"/>
      <c r="D29" s="246"/>
      <c r="E29" s="246"/>
      <c r="F29" s="246"/>
    </row>
    <row r="30">
      <c r="A30" s="143">
        <v>13411.0</v>
      </c>
      <c r="B30" s="143">
        <v>163294.0</v>
      </c>
      <c r="C30" s="143" t="s">
        <v>1162</v>
      </c>
      <c r="D30" s="143" t="s">
        <v>654</v>
      </c>
      <c r="E30" s="143">
        <v>20.0</v>
      </c>
      <c r="F30" s="143" t="s">
        <v>1168</v>
      </c>
    </row>
    <row r="31">
      <c r="A31" s="246"/>
      <c r="B31" s="249"/>
      <c r="C31" s="246"/>
      <c r="D31" s="246"/>
      <c r="E31" s="246"/>
      <c r="F31" s="246"/>
    </row>
    <row r="32">
      <c r="A32" s="143">
        <v>13412.0</v>
      </c>
      <c r="B32" s="143">
        <v>163295.0</v>
      </c>
      <c r="C32" s="143" t="s">
        <v>1162</v>
      </c>
      <c r="D32" s="143" t="s">
        <v>863</v>
      </c>
      <c r="E32" s="143">
        <v>1.0</v>
      </c>
      <c r="F32" s="143" t="s">
        <v>1170</v>
      </c>
    </row>
    <row r="33">
      <c r="A33" s="143">
        <v>13412.0</v>
      </c>
      <c r="B33" s="143">
        <v>163296.0</v>
      </c>
      <c r="C33" s="143" t="s">
        <v>1162</v>
      </c>
      <c r="D33" s="143" t="s">
        <v>866</v>
      </c>
      <c r="E33" s="143">
        <v>1.0</v>
      </c>
      <c r="F33" s="143" t="s">
        <v>1170</v>
      </c>
    </row>
    <row r="34">
      <c r="A34" s="143">
        <v>13412.0</v>
      </c>
      <c r="B34" s="143">
        <v>163297.0</v>
      </c>
      <c r="C34" s="143" t="s">
        <v>1162</v>
      </c>
      <c r="D34" s="143" t="s">
        <v>869</v>
      </c>
      <c r="E34" s="143">
        <v>1.0</v>
      </c>
      <c r="F34" s="143" t="s">
        <v>1170</v>
      </c>
    </row>
    <row r="35">
      <c r="A35" s="143">
        <v>13412.0</v>
      </c>
      <c r="B35" s="143">
        <v>163298.0</v>
      </c>
      <c r="C35" s="143" t="s">
        <v>1162</v>
      </c>
      <c r="D35" s="143" t="s">
        <v>872</v>
      </c>
      <c r="E35" s="143">
        <v>1.0</v>
      </c>
      <c r="F35" s="143" t="s">
        <v>1170</v>
      </c>
    </row>
    <row r="36">
      <c r="A36" s="143">
        <v>13412.0</v>
      </c>
      <c r="B36" s="143">
        <v>163299.0</v>
      </c>
      <c r="C36" s="143" t="s">
        <v>1162</v>
      </c>
      <c r="D36" s="143" t="s">
        <v>650</v>
      </c>
      <c r="E36" s="143">
        <v>4.0</v>
      </c>
      <c r="F36" s="143" t="s">
        <v>1170</v>
      </c>
    </row>
    <row r="37">
      <c r="A37" s="143">
        <v>13412.0</v>
      </c>
      <c r="B37" s="143">
        <v>163300.0</v>
      </c>
      <c r="C37" s="143" t="s">
        <v>1162</v>
      </c>
      <c r="D37" s="143" t="s">
        <v>657</v>
      </c>
      <c r="E37" s="143">
        <v>1.0</v>
      </c>
      <c r="F37" s="143" t="s">
        <v>1170</v>
      </c>
    </row>
    <row r="38">
      <c r="A38" s="143">
        <v>13412.0</v>
      </c>
      <c r="B38" s="143">
        <v>163301.0</v>
      </c>
      <c r="C38" s="143" t="s">
        <v>1162</v>
      </c>
      <c r="D38" s="143" t="s">
        <v>1163</v>
      </c>
      <c r="E38" s="143">
        <v>30.0</v>
      </c>
      <c r="F38" s="143" t="s">
        <v>1170</v>
      </c>
    </row>
    <row r="39">
      <c r="A39" s="246"/>
      <c r="B39" s="249"/>
      <c r="C39" s="246"/>
      <c r="D39" s="246"/>
      <c r="E39" s="246"/>
      <c r="F39" s="246"/>
    </row>
    <row r="40">
      <c r="A40" s="143">
        <v>13413.0</v>
      </c>
      <c r="B40" s="143">
        <v>163302.0</v>
      </c>
      <c r="C40" s="143" t="s">
        <v>1162</v>
      </c>
      <c r="D40" s="143" t="s">
        <v>875</v>
      </c>
      <c r="E40" s="143">
        <v>1.0</v>
      </c>
      <c r="F40" s="143" t="s">
        <v>1171</v>
      </c>
    </row>
    <row r="41">
      <c r="A41" s="143">
        <v>13413.0</v>
      </c>
      <c r="B41" s="143">
        <v>163303.0</v>
      </c>
      <c r="C41" s="143" t="s">
        <v>1162</v>
      </c>
      <c r="D41" s="143" t="s">
        <v>878</v>
      </c>
      <c r="E41" s="143">
        <v>1.0</v>
      </c>
      <c r="F41" s="143" t="s">
        <v>1171</v>
      </c>
    </row>
    <row r="42">
      <c r="A42" s="143">
        <v>13413.0</v>
      </c>
      <c r="B42" s="143">
        <v>163304.0</v>
      </c>
      <c r="C42" s="143" t="s">
        <v>1162</v>
      </c>
      <c r="D42" s="143" t="s">
        <v>912</v>
      </c>
      <c r="E42" s="143">
        <v>1.0</v>
      </c>
      <c r="F42" s="143" t="s">
        <v>1171</v>
      </c>
    </row>
    <row r="43">
      <c r="A43" s="143">
        <v>13413.0</v>
      </c>
      <c r="B43" s="143">
        <v>163305.0</v>
      </c>
      <c r="C43" s="143" t="s">
        <v>1162</v>
      </c>
      <c r="D43" s="143" t="s">
        <v>908</v>
      </c>
      <c r="E43" s="143">
        <v>1.0</v>
      </c>
      <c r="F43" s="143" t="s">
        <v>1171</v>
      </c>
    </row>
    <row r="44">
      <c r="A44" s="143">
        <v>13413.0</v>
      </c>
      <c r="B44" s="143">
        <v>163306.0</v>
      </c>
      <c r="C44" s="143" t="s">
        <v>1162</v>
      </c>
      <c r="D44" s="143" t="s">
        <v>650</v>
      </c>
      <c r="E44" s="143">
        <v>4.0</v>
      </c>
      <c r="F44" s="143" t="s">
        <v>1171</v>
      </c>
    </row>
    <row r="45">
      <c r="A45" s="143">
        <v>13413.0</v>
      </c>
      <c r="B45" s="143">
        <v>163307.0</v>
      </c>
      <c r="C45" s="143" t="s">
        <v>1162</v>
      </c>
      <c r="D45" s="143" t="s">
        <v>657</v>
      </c>
      <c r="E45" s="143">
        <v>1.0</v>
      </c>
      <c r="F45" s="143" t="s">
        <v>1171</v>
      </c>
    </row>
    <row r="46">
      <c r="A46" s="143">
        <v>13413.0</v>
      </c>
      <c r="B46" s="143">
        <v>163308.0</v>
      </c>
      <c r="C46" s="143" t="s">
        <v>1162</v>
      </c>
      <c r="D46" s="143" t="s">
        <v>1163</v>
      </c>
      <c r="E46" s="143">
        <v>30.0</v>
      </c>
      <c r="F46" s="143" t="s">
        <v>1171</v>
      </c>
    </row>
    <row r="47">
      <c r="A47" s="246"/>
      <c r="B47" s="246"/>
      <c r="C47" s="246"/>
      <c r="D47" s="246"/>
      <c r="E47" s="246"/>
      <c r="F47" s="246"/>
    </row>
    <row r="48">
      <c r="A48" s="143">
        <v>13414.0</v>
      </c>
      <c r="B48" s="143">
        <v>163309.0</v>
      </c>
      <c r="C48" s="143" t="s">
        <v>1162</v>
      </c>
      <c r="D48" s="143" t="s">
        <v>904</v>
      </c>
      <c r="E48" s="143">
        <v>1.0</v>
      </c>
      <c r="F48" s="143" t="s">
        <v>1172</v>
      </c>
    </row>
    <row r="49">
      <c r="A49" s="143">
        <v>13414.0</v>
      </c>
      <c r="B49" s="143">
        <v>163310.0</v>
      </c>
      <c r="C49" s="143" t="s">
        <v>1162</v>
      </c>
      <c r="D49" s="143" t="s">
        <v>896</v>
      </c>
      <c r="E49" s="143">
        <v>1.0</v>
      </c>
      <c r="F49" s="143" t="s">
        <v>1172</v>
      </c>
    </row>
    <row r="50">
      <c r="A50" s="143">
        <v>13414.0</v>
      </c>
      <c r="B50" s="143">
        <v>163311.0</v>
      </c>
      <c r="C50" s="143" t="s">
        <v>1162</v>
      </c>
      <c r="D50" s="143" t="s">
        <v>902</v>
      </c>
      <c r="E50" s="143">
        <v>1.0</v>
      </c>
      <c r="F50" s="143" t="s">
        <v>1172</v>
      </c>
    </row>
    <row r="51">
      <c r="A51" s="143">
        <v>13414.0</v>
      </c>
      <c r="B51" s="143">
        <v>163312.0</v>
      </c>
      <c r="C51" s="143" t="s">
        <v>1162</v>
      </c>
      <c r="D51" s="143" t="s">
        <v>650</v>
      </c>
      <c r="E51" s="143">
        <v>3.0</v>
      </c>
      <c r="F51" s="143" t="s">
        <v>1172</v>
      </c>
    </row>
    <row r="52">
      <c r="A52" s="143">
        <v>13414.0</v>
      </c>
      <c r="B52" s="143">
        <v>163313.0</v>
      </c>
      <c r="C52" s="143" t="s">
        <v>1162</v>
      </c>
      <c r="D52" s="143" t="s">
        <v>657</v>
      </c>
      <c r="E52" s="143">
        <v>1.0</v>
      </c>
      <c r="F52" s="143" t="s">
        <v>1172</v>
      </c>
    </row>
    <row r="53">
      <c r="A53" s="143">
        <v>13414.0</v>
      </c>
      <c r="B53" s="143">
        <v>163314.0</v>
      </c>
      <c r="C53" s="143" t="s">
        <v>1162</v>
      </c>
      <c r="D53" s="143" t="s">
        <v>1163</v>
      </c>
      <c r="E53" s="143">
        <v>30.0</v>
      </c>
      <c r="F53" s="143" t="s">
        <v>1172</v>
      </c>
    </row>
    <row r="54">
      <c r="A54" s="246"/>
      <c r="B54" s="246"/>
      <c r="C54" s="246"/>
      <c r="D54" s="246"/>
      <c r="E54" s="246"/>
      <c r="F54" s="246"/>
    </row>
    <row r="55">
      <c r="A55" s="143">
        <v>13415.0</v>
      </c>
      <c r="B55" s="143">
        <v>163315.0</v>
      </c>
      <c r="C55" s="143" t="s">
        <v>1173</v>
      </c>
      <c r="D55" s="249"/>
      <c r="E55" s="249"/>
      <c r="F55" s="143" t="s">
        <v>611</v>
      </c>
    </row>
    <row r="56">
      <c r="A56" s="143">
        <v>13415.0</v>
      </c>
      <c r="B56" s="143">
        <v>163316.0</v>
      </c>
      <c r="C56" s="143" t="s">
        <v>1173</v>
      </c>
      <c r="D56" s="249"/>
      <c r="E56" s="249"/>
      <c r="F56" s="143" t="s">
        <v>613</v>
      </c>
    </row>
    <row r="57">
      <c r="A57" s="143">
        <v>13415.0</v>
      </c>
      <c r="B57" s="143">
        <v>163317.0</v>
      </c>
      <c r="C57" s="143" t="s">
        <v>1173</v>
      </c>
      <c r="D57" s="249"/>
      <c r="E57" s="249"/>
      <c r="F57" s="143" t="s">
        <v>579</v>
      </c>
    </row>
    <row r="58">
      <c r="A58" s="143">
        <v>13415.0</v>
      </c>
      <c r="B58" s="143">
        <v>163318.0</v>
      </c>
      <c r="C58" s="143" t="s">
        <v>1173</v>
      </c>
      <c r="D58" s="249"/>
      <c r="E58" s="249"/>
      <c r="F58" s="143" t="s">
        <v>583</v>
      </c>
    </row>
    <row r="59">
      <c r="A59" s="143">
        <v>13415.0</v>
      </c>
      <c r="B59" s="143">
        <v>163319.0</v>
      </c>
      <c r="C59" s="143" t="s">
        <v>1173</v>
      </c>
      <c r="D59" s="249"/>
      <c r="E59" s="249"/>
      <c r="F59" s="143" t="s">
        <v>605</v>
      </c>
    </row>
    <row r="60">
      <c r="A60" s="143">
        <v>13415.0</v>
      </c>
      <c r="B60" s="143">
        <v>163320.0</v>
      </c>
      <c r="C60" s="143" t="s">
        <v>1173</v>
      </c>
      <c r="D60" s="249"/>
      <c r="E60" s="249"/>
      <c r="F60" s="143" t="s">
        <v>607</v>
      </c>
    </row>
    <row r="61">
      <c r="A61" s="143">
        <v>13415.0</v>
      </c>
      <c r="B61" s="143">
        <v>163321.0</v>
      </c>
      <c r="C61" s="143" t="s">
        <v>1173</v>
      </c>
      <c r="D61" s="249"/>
      <c r="E61" s="249"/>
      <c r="F61" s="143" t="s">
        <v>1174</v>
      </c>
    </row>
    <row r="62">
      <c r="A62" s="246"/>
      <c r="B62" s="246"/>
      <c r="C62" s="246"/>
      <c r="D62" s="246"/>
      <c r="E62" s="246"/>
      <c r="F62" s="246"/>
    </row>
    <row r="63">
      <c r="A63" s="143">
        <v>13416.0</v>
      </c>
      <c r="B63" s="143">
        <v>163322.0</v>
      </c>
      <c r="C63" s="143" t="s">
        <v>1162</v>
      </c>
      <c r="D63" s="143" t="s">
        <v>654</v>
      </c>
      <c r="E63" s="143">
        <v>35.0</v>
      </c>
      <c r="F63" s="143" t="s">
        <v>1175</v>
      </c>
    </row>
    <row r="64">
      <c r="A64" s="143">
        <v>13416.0</v>
      </c>
      <c r="B64" s="143">
        <v>163323.0</v>
      </c>
      <c r="C64" s="143" t="s">
        <v>1162</v>
      </c>
      <c r="D64" s="143" t="s">
        <v>1176</v>
      </c>
      <c r="E64" s="143">
        <v>2.0</v>
      </c>
      <c r="F64" s="143" t="s">
        <v>1175</v>
      </c>
    </row>
    <row r="65">
      <c r="A65" s="246"/>
      <c r="B65" s="246"/>
      <c r="C65" s="246"/>
      <c r="D65" s="246"/>
      <c r="E65" s="246"/>
      <c r="F65" s="246"/>
    </row>
    <row r="66">
      <c r="A66" s="143">
        <v>13417.0</v>
      </c>
      <c r="B66" s="143">
        <v>163324.0</v>
      </c>
      <c r="C66" s="143" t="s">
        <v>1162</v>
      </c>
      <c r="D66" s="143" t="s">
        <v>1163</v>
      </c>
      <c r="E66" s="143">
        <v>20.0</v>
      </c>
      <c r="F66" s="143" t="s">
        <v>1177</v>
      </c>
    </row>
    <row r="67">
      <c r="A67" s="143">
        <v>13417.0</v>
      </c>
      <c r="B67" s="143">
        <v>163325.0</v>
      </c>
      <c r="C67" s="143" t="s">
        <v>1162</v>
      </c>
      <c r="D67" s="143" t="s">
        <v>657</v>
      </c>
      <c r="E67" s="143">
        <v>7.0</v>
      </c>
      <c r="F67" s="143" t="s">
        <v>1177</v>
      </c>
    </row>
    <row r="68">
      <c r="A68" s="143">
        <v>13417.0</v>
      </c>
      <c r="B68" s="143">
        <v>163326.0</v>
      </c>
      <c r="C68" s="143" t="s">
        <v>1162</v>
      </c>
      <c r="D68" s="143" t="s">
        <v>636</v>
      </c>
      <c r="E68" s="143">
        <v>1.0</v>
      </c>
      <c r="F68" s="143" t="s">
        <v>1177</v>
      </c>
    </row>
    <row r="69">
      <c r="A69" s="246"/>
      <c r="B69" s="246"/>
      <c r="C69" s="246"/>
      <c r="D69" s="246"/>
      <c r="E69" s="246"/>
      <c r="F69" s="246"/>
    </row>
    <row r="70">
      <c r="A70" s="143">
        <v>13418.0</v>
      </c>
      <c r="B70" s="143">
        <v>163327.0</v>
      </c>
      <c r="C70" s="143" t="s">
        <v>1162</v>
      </c>
      <c r="D70" s="143" t="s">
        <v>654</v>
      </c>
      <c r="E70" s="143">
        <v>10.0</v>
      </c>
      <c r="F70" s="143" t="s">
        <v>1178</v>
      </c>
    </row>
    <row r="71">
      <c r="A71" s="143">
        <v>13418.0</v>
      </c>
      <c r="B71" s="143">
        <v>163328.0</v>
      </c>
      <c r="C71" s="143" t="s">
        <v>1162</v>
      </c>
      <c r="D71" s="143" t="s">
        <v>1179</v>
      </c>
      <c r="E71" s="143">
        <v>1.0</v>
      </c>
      <c r="F71" s="143" t="s">
        <v>1178</v>
      </c>
    </row>
    <row r="72">
      <c r="A72" s="143">
        <v>13418.0</v>
      </c>
      <c r="B72" s="143">
        <v>163329.0</v>
      </c>
      <c r="C72" s="143" t="s">
        <v>1162</v>
      </c>
      <c r="D72" s="143" t="s">
        <v>1180</v>
      </c>
      <c r="E72" s="143">
        <v>1.0</v>
      </c>
      <c r="F72" s="143" t="s">
        <v>1178</v>
      </c>
    </row>
  </sheetData>
  <autoFilter ref="$A$4:$F$72"/>
  <hyperlinks>
    <hyperlink r:id="rId1" ref="A1"/>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outlineLevelCol="1"/>
  <cols>
    <col collapsed="1" min="1" max="1" width="14.43"/>
    <col hidden="1" min="2" max="3" width="14.43" outlineLevel="1"/>
    <col customWidth="1" hidden="1" min="4" max="4" width="40.43" outlineLevel="1"/>
    <col collapsed="1" customWidth="1" min="5" max="5" width="45.14"/>
    <col customWidth="1" hidden="1" min="6" max="6" width="9.71" outlineLevel="1"/>
    <col customWidth="1" min="10" max="11" width="17.57"/>
  </cols>
  <sheetData>
    <row r="1">
      <c r="A1" s="155" t="s">
        <v>1181</v>
      </c>
    </row>
    <row r="2">
      <c r="A2" s="140">
        <f t="array" ref="A2:K2">SEQUENCE(1,COLUMNS(A:K))</f>
        <v>1</v>
      </c>
      <c r="B2" s="154">
        <v>2.0</v>
      </c>
      <c r="C2" s="154">
        <v>3.0</v>
      </c>
      <c r="D2" s="154">
        <v>4.0</v>
      </c>
      <c r="E2" s="154">
        <v>5.0</v>
      </c>
      <c r="F2" s="154">
        <v>6.0</v>
      </c>
      <c r="G2" s="154">
        <v>7.0</v>
      </c>
      <c r="H2" s="154">
        <v>8.0</v>
      </c>
      <c r="I2" s="154">
        <v>9.0</v>
      </c>
      <c r="J2" s="154">
        <v>10.0</v>
      </c>
      <c r="K2" s="154">
        <v>11.0</v>
      </c>
    </row>
    <row r="3">
      <c r="E3" s="140">
        <f t="array" ref="E3:K3">SEQUENCE(1,COLUMNS(E:K))</f>
        <v>1</v>
      </c>
      <c r="F3" s="140">
        <v>2.0</v>
      </c>
      <c r="G3" s="140">
        <v>3.0</v>
      </c>
      <c r="H3" s="140">
        <v>4.0</v>
      </c>
      <c r="I3" s="140">
        <v>5.0</v>
      </c>
      <c r="J3" s="140">
        <v>6.0</v>
      </c>
      <c r="K3" s="140">
        <v>7.0</v>
      </c>
    </row>
    <row r="4">
      <c r="A4" s="355" t="s">
        <v>25</v>
      </c>
      <c r="B4" s="355" t="s">
        <v>691</v>
      </c>
      <c r="C4" s="355" t="s">
        <v>1182</v>
      </c>
      <c r="D4" s="356" t="s">
        <v>697</v>
      </c>
      <c r="E4" s="281" t="s">
        <v>1183</v>
      </c>
      <c r="F4" s="281" t="s">
        <v>699</v>
      </c>
      <c r="G4" s="355" t="s">
        <v>1184</v>
      </c>
      <c r="H4" s="281" t="s">
        <v>1185</v>
      </c>
      <c r="I4" s="281" t="s">
        <v>1186</v>
      </c>
      <c r="J4" s="281" t="s">
        <v>1187</v>
      </c>
      <c r="K4" s="281" t="s">
        <v>1188</v>
      </c>
    </row>
    <row r="5">
      <c r="A5" s="357">
        <v>11883.0</v>
      </c>
      <c r="B5" s="358"/>
      <c r="C5" s="357" t="s">
        <v>1189</v>
      </c>
      <c r="D5" s="359" t="s">
        <v>1163</v>
      </c>
      <c r="E5" s="360" t="s">
        <v>1038</v>
      </c>
      <c r="F5" s="361"/>
      <c r="G5" s="357">
        <v>1.0</v>
      </c>
      <c r="H5" s="359">
        <v>70.0</v>
      </c>
      <c r="I5" s="362">
        <v>0.0</v>
      </c>
      <c r="J5" s="363">
        <v>46074.708333333336</v>
      </c>
      <c r="K5" s="364">
        <v>46080.708333333336</v>
      </c>
    </row>
    <row r="6">
      <c r="A6" s="357">
        <v>11884.0</v>
      </c>
      <c r="B6" s="358"/>
      <c r="C6" s="357" t="s">
        <v>1189</v>
      </c>
      <c r="D6" s="359" t="s">
        <v>1163</v>
      </c>
      <c r="E6" s="360" t="s">
        <v>1043</v>
      </c>
      <c r="F6" s="361"/>
      <c r="G6" s="357">
        <v>1.0</v>
      </c>
      <c r="H6" s="359">
        <v>0.0</v>
      </c>
      <c r="I6" s="362">
        <v>2000.0</v>
      </c>
      <c r="J6" s="363">
        <v>46074.708333333336</v>
      </c>
      <c r="K6" s="364">
        <v>46080.708333333336</v>
      </c>
    </row>
    <row r="7">
      <c r="A7" s="357">
        <v>11885.0</v>
      </c>
      <c r="B7" s="358"/>
      <c r="C7" s="357" t="s">
        <v>1190</v>
      </c>
      <c r="D7" s="359" t="s">
        <v>1164</v>
      </c>
      <c r="E7" s="360" t="s">
        <v>1164</v>
      </c>
      <c r="F7" s="361"/>
      <c r="G7" s="357">
        <v>1.0</v>
      </c>
      <c r="H7" s="359">
        <v>100.0</v>
      </c>
      <c r="I7" s="362">
        <v>0.0</v>
      </c>
      <c r="J7" s="363">
        <v>46074.708333333336</v>
      </c>
      <c r="K7" s="364">
        <v>46080.708333333336</v>
      </c>
    </row>
    <row r="8">
      <c r="A8" s="357">
        <v>11886.0</v>
      </c>
      <c r="B8" s="358"/>
      <c r="C8" s="357" t="s">
        <v>1190</v>
      </c>
      <c r="D8" s="359" t="s">
        <v>1165</v>
      </c>
      <c r="E8" s="360" t="s">
        <v>1165</v>
      </c>
      <c r="F8" s="361"/>
      <c r="G8" s="357">
        <v>1.0</v>
      </c>
      <c r="H8" s="359">
        <v>5300.0</v>
      </c>
      <c r="I8" s="362">
        <v>0.0</v>
      </c>
      <c r="J8" s="363">
        <v>46074.708333333336</v>
      </c>
      <c r="K8" s="364">
        <v>46080.708333333336</v>
      </c>
    </row>
    <row r="9">
      <c r="A9" s="357">
        <v>11887.0</v>
      </c>
      <c r="B9" s="358"/>
      <c r="C9" s="357" t="s">
        <v>1190</v>
      </c>
      <c r="D9" s="359" t="s">
        <v>1166</v>
      </c>
      <c r="E9" s="360" t="s">
        <v>1166</v>
      </c>
      <c r="F9" s="361"/>
      <c r="G9" s="357">
        <v>1.0</v>
      </c>
      <c r="H9" s="359">
        <v>5300.0</v>
      </c>
      <c r="I9" s="362">
        <v>0.0</v>
      </c>
      <c r="J9" s="363">
        <v>46074.708333333336</v>
      </c>
      <c r="K9" s="364">
        <v>46077.708333333336</v>
      </c>
    </row>
    <row r="10">
      <c r="A10" s="357">
        <v>11888.0</v>
      </c>
      <c r="B10" s="358"/>
      <c r="C10" s="357" t="s">
        <v>1190</v>
      </c>
      <c r="D10" s="359" t="s">
        <v>1167</v>
      </c>
      <c r="E10" s="360" t="s">
        <v>1167</v>
      </c>
      <c r="F10" s="361"/>
      <c r="G10" s="357">
        <v>1.0</v>
      </c>
      <c r="H10" s="359">
        <v>3500.0</v>
      </c>
      <c r="I10" s="362">
        <v>0.0</v>
      </c>
      <c r="J10" s="363">
        <v>46079.708333333336</v>
      </c>
      <c r="K10" s="364">
        <v>46080.708333333336</v>
      </c>
    </row>
    <row r="11">
      <c r="A11" s="357">
        <v>11889.0</v>
      </c>
      <c r="B11" s="358"/>
      <c r="C11" s="357" t="s">
        <v>1190</v>
      </c>
      <c r="D11" s="359" t="s">
        <v>1168</v>
      </c>
      <c r="E11" s="360" t="s">
        <v>1168</v>
      </c>
      <c r="F11" s="361"/>
      <c r="G11" s="357">
        <v>1.0</v>
      </c>
      <c r="H11" s="359">
        <v>1500.0</v>
      </c>
      <c r="I11" s="362">
        <v>0.0</v>
      </c>
      <c r="J11" s="363">
        <v>46074.708333333336</v>
      </c>
      <c r="K11" s="364">
        <v>46075.208333333336</v>
      </c>
    </row>
    <row r="12">
      <c r="A12" s="357">
        <v>11890.0</v>
      </c>
      <c r="B12" s="358"/>
      <c r="C12" s="357" t="s">
        <v>1190</v>
      </c>
      <c r="D12" s="359" t="s">
        <v>1169</v>
      </c>
      <c r="E12" s="360" t="s">
        <v>1169</v>
      </c>
      <c r="F12" s="361"/>
      <c r="G12" s="357">
        <v>1.0</v>
      </c>
      <c r="H12" s="359">
        <v>1500.0</v>
      </c>
      <c r="I12" s="362">
        <v>0.0</v>
      </c>
      <c r="J12" s="363">
        <v>46075.458333333336</v>
      </c>
      <c r="K12" s="364">
        <v>46076.208333333336</v>
      </c>
    </row>
    <row r="13">
      <c r="A13" s="357">
        <v>11891.0</v>
      </c>
      <c r="B13" s="358"/>
      <c r="C13" s="357" t="s">
        <v>1190</v>
      </c>
      <c r="D13" s="359" t="s">
        <v>1168</v>
      </c>
      <c r="E13" s="360" t="s">
        <v>1168</v>
      </c>
      <c r="F13" s="361"/>
      <c r="G13" s="357">
        <v>1.0</v>
      </c>
      <c r="H13" s="359">
        <v>1500.0</v>
      </c>
      <c r="I13" s="362">
        <v>0.0</v>
      </c>
      <c r="J13" s="363">
        <v>46076.708333333336</v>
      </c>
      <c r="K13" s="364">
        <v>46077.208333333336</v>
      </c>
    </row>
    <row r="14">
      <c r="A14" s="357">
        <v>11892.0</v>
      </c>
      <c r="B14" s="358"/>
      <c r="C14" s="357" t="s">
        <v>1190</v>
      </c>
      <c r="D14" s="359" t="s">
        <v>1168</v>
      </c>
      <c r="E14" s="360" t="s">
        <v>1168</v>
      </c>
      <c r="F14" s="361"/>
      <c r="G14" s="357">
        <v>1.0</v>
      </c>
      <c r="H14" s="359">
        <v>1500.0</v>
      </c>
      <c r="I14" s="362">
        <v>0.0</v>
      </c>
      <c r="J14" s="363">
        <v>46077.708333333336</v>
      </c>
      <c r="K14" s="364">
        <v>46078.208333333336</v>
      </c>
    </row>
    <row r="15">
      <c r="A15" s="357">
        <v>11893.0</v>
      </c>
      <c r="B15" s="358"/>
      <c r="C15" s="357" t="s">
        <v>1190</v>
      </c>
      <c r="D15" s="359" t="s">
        <v>1169</v>
      </c>
      <c r="E15" s="360" t="s">
        <v>1169</v>
      </c>
      <c r="F15" s="361"/>
      <c r="G15" s="357">
        <v>1.0</v>
      </c>
      <c r="H15" s="359">
        <v>1500.0</v>
      </c>
      <c r="I15" s="362">
        <v>0.0</v>
      </c>
      <c r="J15" s="363">
        <v>46078.458333333336</v>
      </c>
      <c r="K15" s="364">
        <v>46078.958333333336</v>
      </c>
    </row>
    <row r="16">
      <c r="A16" s="357">
        <v>11894.0</v>
      </c>
      <c r="B16" s="358"/>
      <c r="C16" s="357" t="s">
        <v>1190</v>
      </c>
      <c r="D16" s="359" t="s">
        <v>1168</v>
      </c>
      <c r="E16" s="360" t="s">
        <v>1168</v>
      </c>
      <c r="F16" s="361"/>
      <c r="G16" s="357">
        <v>1.0</v>
      </c>
      <c r="H16" s="359">
        <v>1500.0</v>
      </c>
      <c r="I16" s="362">
        <v>0.0</v>
      </c>
      <c r="J16" s="363">
        <v>46080.208333333336</v>
      </c>
      <c r="K16" s="364">
        <v>46080.708333333336</v>
      </c>
    </row>
    <row r="17">
      <c r="A17" s="357">
        <v>11895.0</v>
      </c>
      <c r="B17" s="358"/>
      <c r="C17" s="357" t="s">
        <v>1190</v>
      </c>
      <c r="D17" s="359" t="s">
        <v>1170</v>
      </c>
      <c r="E17" s="360" t="s">
        <v>1170</v>
      </c>
      <c r="F17" s="361"/>
      <c r="G17" s="357">
        <v>1.0</v>
      </c>
      <c r="H17" s="359">
        <v>2000.0</v>
      </c>
      <c r="I17" s="362">
        <v>0.0</v>
      </c>
      <c r="J17" s="363">
        <v>46074.708333333336</v>
      </c>
      <c r="K17" s="364">
        <v>46080.708333333336</v>
      </c>
    </row>
    <row r="18">
      <c r="A18" s="357">
        <v>11896.0</v>
      </c>
      <c r="B18" s="358"/>
      <c r="C18" s="357" t="s">
        <v>1190</v>
      </c>
      <c r="D18" s="359" t="s">
        <v>1171</v>
      </c>
      <c r="E18" s="360" t="s">
        <v>1171</v>
      </c>
      <c r="F18" s="361"/>
      <c r="G18" s="357">
        <v>1.0</v>
      </c>
      <c r="H18" s="359">
        <v>2000.0</v>
      </c>
      <c r="I18" s="362">
        <v>0.0</v>
      </c>
      <c r="J18" s="363">
        <v>46074.708333333336</v>
      </c>
      <c r="K18" s="364">
        <v>46080.708333333336</v>
      </c>
    </row>
    <row r="19">
      <c r="A19" s="357">
        <v>11897.0</v>
      </c>
      <c r="B19" s="358"/>
      <c r="C19" s="357" t="s">
        <v>1190</v>
      </c>
      <c r="D19" s="359" t="s">
        <v>1172</v>
      </c>
      <c r="E19" s="360" t="s">
        <v>1172</v>
      </c>
      <c r="F19" s="361"/>
      <c r="G19" s="357">
        <v>1.0</v>
      </c>
      <c r="H19" s="359">
        <v>2000.0</v>
      </c>
      <c r="I19" s="362">
        <v>0.0</v>
      </c>
      <c r="J19" s="363">
        <v>46074.708333333336</v>
      </c>
      <c r="K19" s="364">
        <v>46080.708333333336</v>
      </c>
    </row>
    <row r="20">
      <c r="A20" s="357">
        <v>11899.0</v>
      </c>
      <c r="B20" s="358"/>
      <c r="C20" s="357" t="s">
        <v>1190</v>
      </c>
      <c r="D20" s="359" t="s">
        <v>1175</v>
      </c>
      <c r="E20" s="360" t="s">
        <v>1175</v>
      </c>
      <c r="F20" s="361"/>
      <c r="G20" s="357">
        <v>1.0</v>
      </c>
      <c r="H20" s="359">
        <v>3500.0</v>
      </c>
      <c r="I20" s="362">
        <v>0.0</v>
      </c>
      <c r="J20" s="363">
        <v>46074.708333333336</v>
      </c>
      <c r="K20" s="364">
        <v>46080.708333333336</v>
      </c>
    </row>
    <row r="21">
      <c r="A21" s="357">
        <v>11900.0</v>
      </c>
      <c r="B21" s="358"/>
      <c r="C21" s="357" t="s">
        <v>1190</v>
      </c>
      <c r="D21" s="359" t="s">
        <v>1177</v>
      </c>
      <c r="E21" s="360" t="s">
        <v>1177</v>
      </c>
      <c r="F21" s="361"/>
      <c r="G21" s="357">
        <v>1.0</v>
      </c>
      <c r="H21" s="359">
        <v>2050.0</v>
      </c>
      <c r="I21" s="362">
        <v>0.0</v>
      </c>
      <c r="J21" s="363">
        <v>46074.708333333336</v>
      </c>
      <c r="K21" s="364">
        <v>46080.708333333336</v>
      </c>
    </row>
    <row r="22">
      <c r="A22" s="357">
        <v>11901.0</v>
      </c>
      <c r="B22" s="358"/>
      <c r="C22" s="357" t="s">
        <v>1190</v>
      </c>
      <c r="D22" s="359" t="s">
        <v>1178</v>
      </c>
      <c r="E22" s="360" t="s">
        <v>1178</v>
      </c>
      <c r="F22" s="361"/>
      <c r="G22" s="357">
        <v>1.0</v>
      </c>
      <c r="H22" s="359">
        <v>1020.0</v>
      </c>
      <c r="I22" s="362">
        <v>0.0</v>
      </c>
      <c r="J22" s="363">
        <v>46074.708333333336</v>
      </c>
      <c r="K22" s="364">
        <v>46080.708333333336</v>
      </c>
    </row>
  </sheetData>
  <hyperlinks>
    <hyperlink r:id="rId1" ref="A1"/>
  </hyperlinks>
  <drawing r:id="rId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sheetPr>
  <sheetViews>
    <sheetView workbookViewId="0"/>
  </sheetViews>
  <sheetFormatPr customHeight="1" defaultColWidth="14.43" defaultRowHeight="15.0"/>
  <cols>
    <col customWidth="1" min="1" max="1" width="4.43"/>
    <col customWidth="1" min="2" max="2" width="20.14"/>
    <col customWidth="1" min="3" max="16" width="7.29"/>
    <col customWidth="1" min="17" max="19" width="8.71"/>
  </cols>
  <sheetData>
    <row r="1" ht="30.0" customHeight="1">
      <c r="A1" s="365"/>
      <c r="B1" s="366" t="s">
        <v>1191</v>
      </c>
      <c r="C1" s="367"/>
      <c r="D1" s="367"/>
      <c r="E1" s="367"/>
      <c r="F1" s="367"/>
      <c r="G1" s="367"/>
      <c r="H1" s="367"/>
      <c r="I1" s="367"/>
      <c r="J1" s="367"/>
      <c r="K1" s="367"/>
      <c r="L1" s="367"/>
      <c r="M1" s="367"/>
      <c r="N1" s="367"/>
      <c r="O1" s="367"/>
      <c r="P1" s="367"/>
      <c r="Q1" s="367"/>
      <c r="R1" s="367"/>
      <c r="S1" s="367"/>
    </row>
    <row r="2">
      <c r="A2" s="368"/>
      <c r="B2" s="369"/>
      <c r="C2" s="370"/>
      <c r="D2" s="370"/>
      <c r="E2" s="370"/>
      <c r="F2" s="370"/>
      <c r="G2" s="370"/>
      <c r="H2" s="370"/>
      <c r="I2" s="370"/>
      <c r="J2" s="370"/>
      <c r="K2" s="370"/>
      <c r="L2" s="370"/>
      <c r="M2" s="370"/>
      <c r="N2" s="370"/>
      <c r="O2" s="370"/>
      <c r="P2" s="370"/>
      <c r="Q2" s="370"/>
      <c r="R2" s="370"/>
      <c r="S2" s="370"/>
    </row>
    <row r="3">
      <c r="A3" s="368"/>
      <c r="B3" s="371" t="s">
        <v>52</v>
      </c>
      <c r="C3" s="372"/>
      <c r="D3" s="372"/>
      <c r="E3" s="372"/>
      <c r="F3" s="372"/>
      <c r="G3" s="372"/>
      <c r="H3" s="372"/>
      <c r="I3" s="372"/>
      <c r="J3" s="372"/>
      <c r="K3" s="372"/>
      <c r="L3" s="372"/>
      <c r="M3" s="372"/>
      <c r="N3" s="372"/>
      <c r="O3" s="372"/>
      <c r="P3" s="372"/>
      <c r="Q3" s="370"/>
      <c r="R3" s="370"/>
      <c r="S3" s="370"/>
    </row>
    <row r="4">
      <c r="A4" s="373"/>
      <c r="B4" s="374" t="s">
        <v>60</v>
      </c>
      <c r="C4" s="375">
        <v>45930.0</v>
      </c>
      <c r="D4" s="375">
        <f t="shared" ref="D4:P4" si="1">C4+1</f>
        <v>45931</v>
      </c>
      <c r="E4" s="375">
        <f t="shared" si="1"/>
        <v>45932</v>
      </c>
      <c r="F4" s="375">
        <f t="shared" si="1"/>
        <v>45933</v>
      </c>
      <c r="G4" s="375">
        <f t="shared" si="1"/>
        <v>45934</v>
      </c>
      <c r="H4" s="375">
        <f t="shared" si="1"/>
        <v>45935</v>
      </c>
      <c r="I4" s="375">
        <f t="shared" si="1"/>
        <v>45936</v>
      </c>
      <c r="J4" s="375">
        <f t="shared" si="1"/>
        <v>45937</v>
      </c>
      <c r="K4" s="375">
        <f t="shared" si="1"/>
        <v>45938</v>
      </c>
      <c r="L4" s="375">
        <f t="shared" si="1"/>
        <v>45939</v>
      </c>
      <c r="M4" s="375">
        <f t="shared" si="1"/>
        <v>45940</v>
      </c>
      <c r="N4" s="375">
        <f t="shared" si="1"/>
        <v>45941</v>
      </c>
      <c r="O4" s="375">
        <f t="shared" si="1"/>
        <v>45942</v>
      </c>
      <c r="P4" s="375">
        <f t="shared" si="1"/>
        <v>45943</v>
      </c>
      <c r="Q4" s="370"/>
      <c r="R4" s="370"/>
      <c r="S4" s="370"/>
    </row>
    <row r="5">
      <c r="A5" s="376"/>
      <c r="B5" s="40" t="s">
        <v>1192</v>
      </c>
      <c r="C5" s="377">
        <f t="shared" ref="C5:P5" si="2">COUNTIF(INDIRECT("'"&amp;$B$5&amp;"'!$F$1:$H$1000"),C$4)</f>
        <v>0</v>
      </c>
      <c r="D5" s="377">
        <f t="shared" si="2"/>
        <v>0</v>
      </c>
      <c r="E5" s="377">
        <f t="shared" si="2"/>
        <v>0</v>
      </c>
      <c r="F5" s="377">
        <f t="shared" si="2"/>
        <v>0</v>
      </c>
      <c r="G5" s="377">
        <f t="shared" si="2"/>
        <v>0</v>
      </c>
      <c r="H5" s="377">
        <f t="shared" si="2"/>
        <v>0</v>
      </c>
      <c r="I5" s="377">
        <f t="shared" si="2"/>
        <v>0</v>
      </c>
      <c r="J5" s="377">
        <f t="shared" si="2"/>
        <v>0</v>
      </c>
      <c r="K5" s="377">
        <f t="shared" si="2"/>
        <v>0</v>
      </c>
      <c r="L5" s="377">
        <f t="shared" si="2"/>
        <v>0</v>
      </c>
      <c r="M5" s="377">
        <f t="shared" si="2"/>
        <v>0</v>
      </c>
      <c r="N5" s="377">
        <f t="shared" si="2"/>
        <v>0</v>
      </c>
      <c r="O5" s="377">
        <f t="shared" si="2"/>
        <v>0</v>
      </c>
      <c r="P5" s="377">
        <f t="shared" si="2"/>
        <v>0</v>
      </c>
      <c r="Q5" s="370"/>
      <c r="R5" s="370"/>
      <c r="S5" s="370"/>
    </row>
    <row r="6">
      <c r="A6" s="378"/>
      <c r="B6" s="40" t="s">
        <v>1193</v>
      </c>
      <c r="C6" s="377">
        <f t="shared" ref="C6:P6" si="3">COUNTIF(INDIRECT("'"&amp;$B$6&amp;"'!$F$1:$H$1000"),C$4)</f>
        <v>0</v>
      </c>
      <c r="D6" s="377">
        <f t="shared" si="3"/>
        <v>0</v>
      </c>
      <c r="E6" s="377">
        <f t="shared" si="3"/>
        <v>0</v>
      </c>
      <c r="F6" s="377">
        <f t="shared" si="3"/>
        <v>0</v>
      </c>
      <c r="G6" s="377">
        <f t="shared" si="3"/>
        <v>0</v>
      </c>
      <c r="H6" s="377">
        <f t="shared" si="3"/>
        <v>0</v>
      </c>
      <c r="I6" s="377">
        <f t="shared" si="3"/>
        <v>0</v>
      </c>
      <c r="J6" s="377">
        <f t="shared" si="3"/>
        <v>0</v>
      </c>
      <c r="K6" s="377">
        <f t="shared" si="3"/>
        <v>0</v>
      </c>
      <c r="L6" s="377">
        <f t="shared" si="3"/>
        <v>0</v>
      </c>
      <c r="M6" s="377">
        <f t="shared" si="3"/>
        <v>0</v>
      </c>
      <c r="N6" s="377">
        <f t="shared" si="3"/>
        <v>0</v>
      </c>
      <c r="O6" s="377">
        <f t="shared" si="3"/>
        <v>0</v>
      </c>
      <c r="P6" s="377">
        <f t="shared" si="3"/>
        <v>0</v>
      </c>
      <c r="Q6" s="370"/>
      <c r="R6" s="370"/>
      <c r="S6" s="370"/>
    </row>
    <row r="7">
      <c r="A7" s="378"/>
      <c r="B7" s="40" t="s">
        <v>1194</v>
      </c>
      <c r="C7" s="377">
        <f t="shared" ref="C7:P7" si="4">COUNTIF(INDIRECT("'"&amp;$B$7&amp;"'!$F$1:$H$1000"),C$4)</f>
        <v>0</v>
      </c>
      <c r="D7" s="377">
        <f t="shared" si="4"/>
        <v>0</v>
      </c>
      <c r="E7" s="377">
        <f t="shared" si="4"/>
        <v>0</v>
      </c>
      <c r="F7" s="377">
        <f t="shared" si="4"/>
        <v>0</v>
      </c>
      <c r="G7" s="377">
        <f t="shared" si="4"/>
        <v>0</v>
      </c>
      <c r="H7" s="377">
        <f t="shared" si="4"/>
        <v>0</v>
      </c>
      <c r="I7" s="377">
        <f t="shared" si="4"/>
        <v>0</v>
      </c>
      <c r="J7" s="377">
        <f t="shared" si="4"/>
        <v>0</v>
      </c>
      <c r="K7" s="377">
        <f t="shared" si="4"/>
        <v>0</v>
      </c>
      <c r="L7" s="377">
        <f t="shared" si="4"/>
        <v>0</v>
      </c>
      <c r="M7" s="377">
        <f t="shared" si="4"/>
        <v>0</v>
      </c>
      <c r="N7" s="377">
        <f t="shared" si="4"/>
        <v>0</v>
      </c>
      <c r="O7" s="377">
        <f t="shared" si="4"/>
        <v>0</v>
      </c>
      <c r="P7" s="377">
        <f t="shared" si="4"/>
        <v>0</v>
      </c>
      <c r="Q7" s="370"/>
      <c r="R7" s="370"/>
      <c r="S7" s="370"/>
    </row>
    <row r="8">
      <c r="A8" s="378"/>
      <c r="B8" s="40" t="s">
        <v>1195</v>
      </c>
      <c r="C8" s="377">
        <f t="shared" ref="C8:P8" si="5">COUNTIF(INDIRECT("'"&amp;$B$8&amp;"'!$G$1:$I$1000"),C$4)</f>
        <v>0</v>
      </c>
      <c r="D8" s="377">
        <f t="shared" si="5"/>
        <v>0</v>
      </c>
      <c r="E8" s="377">
        <f t="shared" si="5"/>
        <v>0</v>
      </c>
      <c r="F8" s="377">
        <f t="shared" si="5"/>
        <v>0</v>
      </c>
      <c r="G8" s="377">
        <f t="shared" si="5"/>
        <v>0</v>
      </c>
      <c r="H8" s="377">
        <f t="shared" si="5"/>
        <v>0</v>
      </c>
      <c r="I8" s="377">
        <f t="shared" si="5"/>
        <v>0</v>
      </c>
      <c r="J8" s="377">
        <f t="shared" si="5"/>
        <v>0</v>
      </c>
      <c r="K8" s="377">
        <f t="shared" si="5"/>
        <v>0</v>
      </c>
      <c r="L8" s="377">
        <f t="shared" si="5"/>
        <v>0</v>
      </c>
      <c r="M8" s="377">
        <f t="shared" si="5"/>
        <v>0</v>
      </c>
      <c r="N8" s="377">
        <f t="shared" si="5"/>
        <v>0</v>
      </c>
      <c r="O8" s="377">
        <f t="shared" si="5"/>
        <v>0</v>
      </c>
      <c r="P8" s="377">
        <f t="shared" si="5"/>
        <v>0</v>
      </c>
      <c r="Q8" s="370"/>
      <c r="R8" s="370"/>
      <c r="S8" s="370"/>
    </row>
    <row r="9">
      <c r="A9" s="378"/>
      <c r="B9" s="40" t="s">
        <v>1196</v>
      </c>
      <c r="C9" s="377">
        <f t="shared" ref="C9:P9" si="6">COUNTIF(INDIRECT("'"&amp;$B$9&amp;"'!$F$1:$H$1000"),C$4)</f>
        <v>0</v>
      </c>
      <c r="D9" s="377">
        <f t="shared" si="6"/>
        <v>0</v>
      </c>
      <c r="E9" s="377">
        <f t="shared" si="6"/>
        <v>0</v>
      </c>
      <c r="F9" s="377">
        <f t="shared" si="6"/>
        <v>0</v>
      </c>
      <c r="G9" s="377">
        <f t="shared" si="6"/>
        <v>0</v>
      </c>
      <c r="H9" s="377">
        <f t="shared" si="6"/>
        <v>0</v>
      </c>
      <c r="I9" s="377">
        <f t="shared" si="6"/>
        <v>0</v>
      </c>
      <c r="J9" s="377">
        <f t="shared" si="6"/>
        <v>0</v>
      </c>
      <c r="K9" s="377">
        <f t="shared" si="6"/>
        <v>0</v>
      </c>
      <c r="L9" s="377">
        <f t="shared" si="6"/>
        <v>0</v>
      </c>
      <c r="M9" s="377">
        <f t="shared" si="6"/>
        <v>0</v>
      </c>
      <c r="N9" s="377">
        <f t="shared" si="6"/>
        <v>0</v>
      </c>
      <c r="O9" s="377">
        <f t="shared" si="6"/>
        <v>0</v>
      </c>
      <c r="P9" s="377">
        <f t="shared" si="6"/>
        <v>0</v>
      </c>
      <c r="Q9" s="370"/>
      <c r="R9" s="370"/>
      <c r="S9" s="370"/>
    </row>
    <row r="10">
      <c r="A10" s="378"/>
      <c r="B10" s="40" t="s">
        <v>1197</v>
      </c>
      <c r="C10" s="377">
        <f t="shared" ref="C10:P10" si="7">COUNTIF(INDIRECT("'"&amp;$B$10&amp;"'!$F$1:$H$1000"),C$4)</f>
        <v>0</v>
      </c>
      <c r="D10" s="377">
        <f t="shared" si="7"/>
        <v>0</v>
      </c>
      <c r="E10" s="377">
        <f t="shared" si="7"/>
        <v>0</v>
      </c>
      <c r="F10" s="377">
        <f t="shared" si="7"/>
        <v>0</v>
      </c>
      <c r="G10" s="377">
        <f t="shared" si="7"/>
        <v>0</v>
      </c>
      <c r="H10" s="377">
        <f t="shared" si="7"/>
        <v>0</v>
      </c>
      <c r="I10" s="377">
        <f t="shared" si="7"/>
        <v>0</v>
      </c>
      <c r="J10" s="377">
        <f t="shared" si="7"/>
        <v>0</v>
      </c>
      <c r="K10" s="377">
        <f t="shared" si="7"/>
        <v>0</v>
      </c>
      <c r="L10" s="377">
        <f t="shared" si="7"/>
        <v>0</v>
      </c>
      <c r="M10" s="377">
        <f t="shared" si="7"/>
        <v>0</v>
      </c>
      <c r="N10" s="377">
        <f t="shared" si="7"/>
        <v>0</v>
      </c>
      <c r="O10" s="377">
        <f t="shared" si="7"/>
        <v>0</v>
      </c>
      <c r="P10" s="377">
        <f t="shared" si="7"/>
        <v>0</v>
      </c>
      <c r="Q10" s="370"/>
      <c r="R10" s="370"/>
      <c r="S10" s="370"/>
    </row>
    <row r="11">
      <c r="A11" s="378"/>
      <c r="B11" s="40" t="s">
        <v>1198</v>
      </c>
      <c r="C11" s="377">
        <f t="shared" ref="C11:P11" si="8">COUNTIF(INDIRECT("'"&amp;$B$11&amp;"'!$F$1:$H$1000"),C$4)</f>
        <v>0</v>
      </c>
      <c r="D11" s="377">
        <f t="shared" si="8"/>
        <v>0</v>
      </c>
      <c r="E11" s="377">
        <f t="shared" si="8"/>
        <v>0</v>
      </c>
      <c r="F11" s="377">
        <f t="shared" si="8"/>
        <v>0</v>
      </c>
      <c r="G11" s="377">
        <f t="shared" si="8"/>
        <v>0</v>
      </c>
      <c r="H11" s="377">
        <f t="shared" si="8"/>
        <v>0</v>
      </c>
      <c r="I11" s="377">
        <f t="shared" si="8"/>
        <v>0</v>
      </c>
      <c r="J11" s="377">
        <f t="shared" si="8"/>
        <v>0</v>
      </c>
      <c r="K11" s="377">
        <f t="shared" si="8"/>
        <v>0</v>
      </c>
      <c r="L11" s="377">
        <f t="shared" si="8"/>
        <v>0</v>
      </c>
      <c r="M11" s="377">
        <f t="shared" si="8"/>
        <v>0</v>
      </c>
      <c r="N11" s="377">
        <f t="shared" si="8"/>
        <v>0</v>
      </c>
      <c r="O11" s="377">
        <f t="shared" si="8"/>
        <v>0</v>
      </c>
      <c r="P11" s="377">
        <f t="shared" si="8"/>
        <v>0</v>
      </c>
      <c r="Q11" s="370"/>
      <c r="R11" s="370"/>
      <c r="S11" s="370"/>
    </row>
    <row r="12">
      <c r="A12" s="378"/>
      <c r="B12" s="40" t="s">
        <v>1199</v>
      </c>
      <c r="C12" s="377">
        <f t="shared" ref="C12:P12" si="9">COUNTIF(INDIRECT("'"&amp;$B$12&amp;"'!$F$1:$H$1000"),C$4)</f>
        <v>0</v>
      </c>
      <c r="D12" s="377">
        <f t="shared" si="9"/>
        <v>0</v>
      </c>
      <c r="E12" s="377">
        <f t="shared" si="9"/>
        <v>0</v>
      </c>
      <c r="F12" s="377">
        <f t="shared" si="9"/>
        <v>0</v>
      </c>
      <c r="G12" s="377">
        <f t="shared" si="9"/>
        <v>0</v>
      </c>
      <c r="H12" s="377">
        <f t="shared" si="9"/>
        <v>0</v>
      </c>
      <c r="I12" s="377">
        <f t="shared" si="9"/>
        <v>0</v>
      </c>
      <c r="J12" s="377">
        <f t="shared" si="9"/>
        <v>0</v>
      </c>
      <c r="K12" s="377">
        <f t="shared" si="9"/>
        <v>0</v>
      </c>
      <c r="L12" s="377">
        <f t="shared" si="9"/>
        <v>0</v>
      </c>
      <c r="M12" s="377">
        <f t="shared" si="9"/>
        <v>0</v>
      </c>
      <c r="N12" s="377">
        <f t="shared" si="9"/>
        <v>0</v>
      </c>
      <c r="O12" s="377">
        <f t="shared" si="9"/>
        <v>0</v>
      </c>
      <c r="P12" s="377">
        <f t="shared" si="9"/>
        <v>0</v>
      </c>
      <c r="Q12" s="370"/>
      <c r="R12" s="370"/>
      <c r="S12" s="370"/>
    </row>
    <row r="13">
      <c r="A13" s="378"/>
      <c r="B13" s="40" t="s">
        <v>1190</v>
      </c>
      <c r="C13" s="377">
        <f t="shared" ref="C13:P13" si="10">COUNTIF(INDIRECT("'"&amp;$B$13&amp;"'!$G$1:$I$1000"),C$4)</f>
        <v>0</v>
      </c>
      <c r="D13" s="377">
        <f t="shared" si="10"/>
        <v>0</v>
      </c>
      <c r="E13" s="377">
        <f t="shared" si="10"/>
        <v>0</v>
      </c>
      <c r="F13" s="377">
        <f t="shared" si="10"/>
        <v>0</v>
      </c>
      <c r="G13" s="377">
        <f t="shared" si="10"/>
        <v>0</v>
      </c>
      <c r="H13" s="377">
        <f t="shared" si="10"/>
        <v>0</v>
      </c>
      <c r="I13" s="377">
        <f t="shared" si="10"/>
        <v>0</v>
      </c>
      <c r="J13" s="377">
        <f t="shared" si="10"/>
        <v>0</v>
      </c>
      <c r="K13" s="377">
        <f t="shared" si="10"/>
        <v>0</v>
      </c>
      <c r="L13" s="377">
        <f t="shared" si="10"/>
        <v>0</v>
      </c>
      <c r="M13" s="377">
        <f t="shared" si="10"/>
        <v>0</v>
      </c>
      <c r="N13" s="377">
        <f t="shared" si="10"/>
        <v>0</v>
      </c>
      <c r="O13" s="377">
        <f t="shared" si="10"/>
        <v>0</v>
      </c>
      <c r="P13" s="377">
        <f t="shared" si="10"/>
        <v>0</v>
      </c>
      <c r="Q13" s="370"/>
      <c r="R13" s="370"/>
      <c r="S13" s="370"/>
    </row>
    <row r="14">
      <c r="A14" s="368"/>
      <c r="B14" s="379" t="s">
        <v>1200</v>
      </c>
      <c r="C14" s="380">
        <f t="shared" ref="C14:P14" si="11">SUM(C5:C13)</f>
        <v>0</v>
      </c>
      <c r="D14" s="380">
        <f t="shared" si="11"/>
        <v>0</v>
      </c>
      <c r="E14" s="380">
        <f t="shared" si="11"/>
        <v>0</v>
      </c>
      <c r="F14" s="380">
        <f t="shared" si="11"/>
        <v>0</v>
      </c>
      <c r="G14" s="380">
        <f t="shared" si="11"/>
        <v>0</v>
      </c>
      <c r="H14" s="380">
        <f t="shared" si="11"/>
        <v>0</v>
      </c>
      <c r="I14" s="380">
        <f t="shared" si="11"/>
        <v>0</v>
      </c>
      <c r="J14" s="380">
        <f t="shared" si="11"/>
        <v>0</v>
      </c>
      <c r="K14" s="380">
        <f t="shared" si="11"/>
        <v>0</v>
      </c>
      <c r="L14" s="380">
        <f t="shared" si="11"/>
        <v>0</v>
      </c>
      <c r="M14" s="380">
        <f t="shared" si="11"/>
        <v>0</v>
      </c>
      <c r="N14" s="380">
        <f t="shared" si="11"/>
        <v>0</v>
      </c>
      <c r="O14" s="380">
        <f t="shared" si="11"/>
        <v>0</v>
      </c>
      <c r="P14" s="380">
        <f t="shared" si="11"/>
        <v>0</v>
      </c>
      <c r="Q14" s="370"/>
      <c r="R14" s="370"/>
      <c r="S14" s="370"/>
    </row>
    <row r="15">
      <c r="A15" s="368"/>
      <c r="B15" s="370"/>
      <c r="C15" s="370"/>
      <c r="D15" s="370"/>
      <c r="E15" s="370"/>
      <c r="F15" s="370"/>
      <c r="G15" s="370"/>
      <c r="H15" s="370"/>
      <c r="I15" s="370"/>
      <c r="J15" s="370"/>
      <c r="K15" s="370"/>
      <c r="L15" s="370"/>
      <c r="M15" s="370"/>
      <c r="N15" s="370"/>
      <c r="O15" s="370"/>
      <c r="P15" s="370"/>
      <c r="Q15" s="370"/>
      <c r="R15" s="370"/>
      <c r="S15" s="370"/>
    </row>
    <row r="16">
      <c r="A16" s="368"/>
      <c r="B16" s="370"/>
      <c r="C16" s="370"/>
      <c r="D16" s="370"/>
      <c r="E16" s="370"/>
      <c r="F16" s="370"/>
      <c r="G16" s="370"/>
      <c r="H16" s="370"/>
      <c r="I16" s="370"/>
      <c r="J16" s="370"/>
      <c r="K16" s="370"/>
      <c r="L16" s="370"/>
      <c r="M16" s="370"/>
      <c r="N16" s="370"/>
      <c r="O16" s="370"/>
      <c r="P16" s="370"/>
      <c r="Q16" s="370"/>
      <c r="R16" s="370"/>
      <c r="S16" s="370"/>
    </row>
    <row r="17">
      <c r="A17" s="368"/>
      <c r="B17" s="371" t="s">
        <v>53</v>
      </c>
      <c r="C17" s="372"/>
      <c r="D17" s="372"/>
      <c r="E17" s="372"/>
      <c r="F17" s="372"/>
      <c r="G17" s="372"/>
      <c r="H17" s="372"/>
      <c r="I17" s="372"/>
      <c r="J17" s="372"/>
      <c r="K17" s="372"/>
      <c r="L17" s="372"/>
      <c r="M17" s="372"/>
      <c r="N17" s="372"/>
      <c r="O17" s="372"/>
      <c r="P17" s="372"/>
      <c r="Q17" s="370"/>
      <c r="R17" s="370"/>
      <c r="S17" s="370"/>
    </row>
    <row r="18">
      <c r="A18" s="368"/>
      <c r="B18" s="374" t="s">
        <v>60</v>
      </c>
      <c r="C18" s="375">
        <f>$C$4</f>
        <v>45930</v>
      </c>
      <c r="D18" s="375">
        <f t="shared" ref="D18:P18" si="12">C18+1</f>
        <v>45931</v>
      </c>
      <c r="E18" s="375">
        <f t="shared" si="12"/>
        <v>45932</v>
      </c>
      <c r="F18" s="375">
        <f t="shared" si="12"/>
        <v>45933</v>
      </c>
      <c r="G18" s="375">
        <f t="shared" si="12"/>
        <v>45934</v>
      </c>
      <c r="H18" s="375">
        <f t="shared" si="12"/>
        <v>45935</v>
      </c>
      <c r="I18" s="375">
        <f t="shared" si="12"/>
        <v>45936</v>
      </c>
      <c r="J18" s="375">
        <f t="shared" si="12"/>
        <v>45937</v>
      </c>
      <c r="K18" s="375">
        <f t="shared" si="12"/>
        <v>45938</v>
      </c>
      <c r="L18" s="375">
        <f t="shared" si="12"/>
        <v>45939</v>
      </c>
      <c r="M18" s="375">
        <f t="shared" si="12"/>
        <v>45940</v>
      </c>
      <c r="N18" s="375">
        <f t="shared" si="12"/>
        <v>45941</v>
      </c>
      <c r="O18" s="375">
        <f t="shared" si="12"/>
        <v>45942</v>
      </c>
      <c r="P18" s="375">
        <f t="shared" si="12"/>
        <v>45943</v>
      </c>
      <c r="Q18" s="370"/>
      <c r="R18" s="370"/>
      <c r="S18" s="370"/>
    </row>
    <row r="19">
      <c r="A19" s="368"/>
      <c r="B19" s="40" t="s">
        <v>1192</v>
      </c>
      <c r="C19" s="377">
        <f t="shared" ref="C19:P19" si="13">COUNTIF(INDIRECT("'"&amp;$B$5&amp;"'!$I$1:$K$1000"),C$4)</f>
        <v>0</v>
      </c>
      <c r="D19" s="377">
        <f t="shared" si="13"/>
        <v>0</v>
      </c>
      <c r="E19" s="377">
        <f t="shared" si="13"/>
        <v>0</v>
      </c>
      <c r="F19" s="377">
        <f t="shared" si="13"/>
        <v>0</v>
      </c>
      <c r="G19" s="377">
        <f t="shared" si="13"/>
        <v>0</v>
      </c>
      <c r="H19" s="377">
        <f t="shared" si="13"/>
        <v>0</v>
      </c>
      <c r="I19" s="377">
        <f t="shared" si="13"/>
        <v>0</v>
      </c>
      <c r="J19" s="377">
        <f t="shared" si="13"/>
        <v>0</v>
      </c>
      <c r="K19" s="377">
        <f t="shared" si="13"/>
        <v>0</v>
      </c>
      <c r="L19" s="377">
        <f t="shared" si="13"/>
        <v>0</v>
      </c>
      <c r="M19" s="377">
        <f t="shared" si="13"/>
        <v>0</v>
      </c>
      <c r="N19" s="377">
        <f t="shared" si="13"/>
        <v>0</v>
      </c>
      <c r="O19" s="377">
        <f t="shared" si="13"/>
        <v>0</v>
      </c>
      <c r="P19" s="377">
        <f t="shared" si="13"/>
        <v>0</v>
      </c>
      <c r="Q19" s="370"/>
      <c r="R19" s="370"/>
      <c r="S19" s="370"/>
    </row>
    <row r="20">
      <c r="A20" s="368"/>
      <c r="B20" s="40" t="s">
        <v>1193</v>
      </c>
      <c r="C20" s="377">
        <f t="shared" ref="C20:P20" si="14">COUNTIF(INDIRECT("'"&amp;$B$6&amp;"'!$I$1:$K$1000"),C$4)</f>
        <v>0</v>
      </c>
      <c r="D20" s="377">
        <f t="shared" si="14"/>
        <v>0</v>
      </c>
      <c r="E20" s="377">
        <f t="shared" si="14"/>
        <v>0</v>
      </c>
      <c r="F20" s="377">
        <f t="shared" si="14"/>
        <v>0</v>
      </c>
      <c r="G20" s="377">
        <f t="shared" si="14"/>
        <v>0</v>
      </c>
      <c r="H20" s="377">
        <f t="shared" si="14"/>
        <v>0</v>
      </c>
      <c r="I20" s="377">
        <f t="shared" si="14"/>
        <v>0</v>
      </c>
      <c r="J20" s="377">
        <f t="shared" si="14"/>
        <v>0</v>
      </c>
      <c r="K20" s="377">
        <f t="shared" si="14"/>
        <v>0</v>
      </c>
      <c r="L20" s="377">
        <f t="shared" si="14"/>
        <v>0</v>
      </c>
      <c r="M20" s="377">
        <f t="shared" si="14"/>
        <v>0</v>
      </c>
      <c r="N20" s="377">
        <f t="shared" si="14"/>
        <v>0</v>
      </c>
      <c r="O20" s="377">
        <f t="shared" si="14"/>
        <v>0</v>
      </c>
      <c r="P20" s="377">
        <f t="shared" si="14"/>
        <v>0</v>
      </c>
      <c r="Q20" s="370"/>
      <c r="R20" s="370"/>
      <c r="S20" s="370"/>
    </row>
    <row r="21" ht="15.75" customHeight="1">
      <c r="A21" s="368"/>
      <c r="B21" s="40" t="s">
        <v>1194</v>
      </c>
      <c r="C21" s="377">
        <f t="shared" ref="C21:P21" si="15">COUNTIF(INDIRECT("'"&amp;$B$7&amp;"'!$I$1:$K$1000"),C$4)</f>
        <v>0</v>
      </c>
      <c r="D21" s="377">
        <f t="shared" si="15"/>
        <v>0</v>
      </c>
      <c r="E21" s="377">
        <f t="shared" si="15"/>
        <v>0</v>
      </c>
      <c r="F21" s="377">
        <f t="shared" si="15"/>
        <v>0</v>
      </c>
      <c r="G21" s="377">
        <f t="shared" si="15"/>
        <v>0</v>
      </c>
      <c r="H21" s="377">
        <f t="shared" si="15"/>
        <v>0</v>
      </c>
      <c r="I21" s="377">
        <f t="shared" si="15"/>
        <v>0</v>
      </c>
      <c r="J21" s="377">
        <f t="shared" si="15"/>
        <v>0</v>
      </c>
      <c r="K21" s="377">
        <f t="shared" si="15"/>
        <v>0</v>
      </c>
      <c r="L21" s="377">
        <f t="shared" si="15"/>
        <v>0</v>
      </c>
      <c r="M21" s="377">
        <f t="shared" si="15"/>
        <v>0</v>
      </c>
      <c r="N21" s="377">
        <f t="shared" si="15"/>
        <v>0</v>
      </c>
      <c r="O21" s="377">
        <f t="shared" si="15"/>
        <v>0</v>
      </c>
      <c r="P21" s="377">
        <f t="shared" si="15"/>
        <v>0</v>
      </c>
      <c r="Q21" s="370"/>
      <c r="R21" s="370"/>
      <c r="S21" s="370"/>
    </row>
    <row r="22" ht="15.75" customHeight="1">
      <c r="A22" s="368"/>
      <c r="B22" s="40" t="s">
        <v>1195</v>
      </c>
      <c r="C22" s="377">
        <f t="shared" ref="C22:P22" si="16">COUNTIF(INDIRECT("'"&amp;$B$8&amp;"'!$J$1:$L$1000"),C$4)</f>
        <v>0</v>
      </c>
      <c r="D22" s="377">
        <f t="shared" si="16"/>
        <v>0</v>
      </c>
      <c r="E22" s="377">
        <f t="shared" si="16"/>
        <v>0</v>
      </c>
      <c r="F22" s="377">
        <f t="shared" si="16"/>
        <v>0</v>
      </c>
      <c r="G22" s="377">
        <f t="shared" si="16"/>
        <v>0</v>
      </c>
      <c r="H22" s="377">
        <f t="shared" si="16"/>
        <v>0</v>
      </c>
      <c r="I22" s="377">
        <f t="shared" si="16"/>
        <v>0</v>
      </c>
      <c r="J22" s="377">
        <f t="shared" si="16"/>
        <v>0</v>
      </c>
      <c r="K22" s="377">
        <f t="shared" si="16"/>
        <v>0</v>
      </c>
      <c r="L22" s="377">
        <f t="shared" si="16"/>
        <v>0</v>
      </c>
      <c r="M22" s="377">
        <f t="shared" si="16"/>
        <v>0</v>
      </c>
      <c r="N22" s="377">
        <f t="shared" si="16"/>
        <v>0</v>
      </c>
      <c r="O22" s="377">
        <f t="shared" si="16"/>
        <v>0</v>
      </c>
      <c r="P22" s="377">
        <f t="shared" si="16"/>
        <v>0</v>
      </c>
      <c r="Q22" s="370"/>
      <c r="R22" s="370"/>
      <c r="S22" s="370"/>
    </row>
    <row r="23" ht="15.75" customHeight="1">
      <c r="A23" s="368"/>
      <c r="B23" s="40" t="s">
        <v>1196</v>
      </c>
      <c r="C23" s="377">
        <f t="shared" ref="C23:P23" si="17">COUNTIF(INDIRECT("'"&amp;$B$9&amp;"'!$I$1:$K$1000"),C$4)</f>
        <v>0</v>
      </c>
      <c r="D23" s="377">
        <f t="shared" si="17"/>
        <v>0</v>
      </c>
      <c r="E23" s="377">
        <f t="shared" si="17"/>
        <v>0</v>
      </c>
      <c r="F23" s="377">
        <f t="shared" si="17"/>
        <v>0</v>
      </c>
      <c r="G23" s="377">
        <f t="shared" si="17"/>
        <v>0</v>
      </c>
      <c r="H23" s="377">
        <f t="shared" si="17"/>
        <v>0</v>
      </c>
      <c r="I23" s="377">
        <f t="shared" si="17"/>
        <v>0</v>
      </c>
      <c r="J23" s="377">
        <f t="shared" si="17"/>
        <v>0</v>
      </c>
      <c r="K23" s="377">
        <f t="shared" si="17"/>
        <v>0</v>
      </c>
      <c r="L23" s="377">
        <f t="shared" si="17"/>
        <v>0</v>
      </c>
      <c r="M23" s="377">
        <f t="shared" si="17"/>
        <v>0</v>
      </c>
      <c r="N23" s="377">
        <f t="shared" si="17"/>
        <v>0</v>
      </c>
      <c r="O23" s="377">
        <f t="shared" si="17"/>
        <v>0</v>
      </c>
      <c r="P23" s="377">
        <f t="shared" si="17"/>
        <v>0</v>
      </c>
      <c r="Q23" s="370"/>
      <c r="R23" s="370"/>
      <c r="S23" s="370"/>
    </row>
    <row r="24" ht="15.75" customHeight="1">
      <c r="A24" s="368"/>
      <c r="B24" s="40" t="s">
        <v>1197</v>
      </c>
      <c r="C24" s="377">
        <f t="shared" ref="C24:P24" si="18">COUNTIF(INDIRECT("'"&amp;$B$10&amp;"'!$I$1:$K$1000"),C$4)</f>
        <v>0</v>
      </c>
      <c r="D24" s="377">
        <f t="shared" si="18"/>
        <v>0</v>
      </c>
      <c r="E24" s="377">
        <f t="shared" si="18"/>
        <v>0</v>
      </c>
      <c r="F24" s="377">
        <f t="shared" si="18"/>
        <v>0</v>
      </c>
      <c r="G24" s="377">
        <f t="shared" si="18"/>
        <v>0</v>
      </c>
      <c r="H24" s="377">
        <f t="shared" si="18"/>
        <v>0</v>
      </c>
      <c r="I24" s="377">
        <f t="shared" si="18"/>
        <v>0</v>
      </c>
      <c r="J24" s="377">
        <f t="shared" si="18"/>
        <v>0</v>
      </c>
      <c r="K24" s="377">
        <f t="shared" si="18"/>
        <v>0</v>
      </c>
      <c r="L24" s="377">
        <f t="shared" si="18"/>
        <v>0</v>
      </c>
      <c r="M24" s="377">
        <f t="shared" si="18"/>
        <v>0</v>
      </c>
      <c r="N24" s="377">
        <f t="shared" si="18"/>
        <v>0</v>
      </c>
      <c r="O24" s="377">
        <f t="shared" si="18"/>
        <v>0</v>
      </c>
      <c r="P24" s="377">
        <f t="shared" si="18"/>
        <v>0</v>
      </c>
      <c r="Q24" s="370"/>
      <c r="R24" s="370"/>
      <c r="S24" s="370"/>
    </row>
    <row r="25" ht="15.75" customHeight="1">
      <c r="A25" s="368"/>
      <c r="B25" s="40" t="s">
        <v>1198</v>
      </c>
      <c r="C25" s="377">
        <f t="shared" ref="C25:P25" si="19">COUNTIF(INDIRECT("'"&amp;$B$11&amp;"'!$I$1:$K$1000"),C$4)</f>
        <v>0</v>
      </c>
      <c r="D25" s="377">
        <f t="shared" si="19"/>
        <v>0</v>
      </c>
      <c r="E25" s="377">
        <f t="shared" si="19"/>
        <v>0</v>
      </c>
      <c r="F25" s="377">
        <f t="shared" si="19"/>
        <v>0</v>
      </c>
      <c r="G25" s="377">
        <f t="shared" si="19"/>
        <v>0</v>
      </c>
      <c r="H25" s="377">
        <f t="shared" si="19"/>
        <v>0</v>
      </c>
      <c r="I25" s="377">
        <f t="shared" si="19"/>
        <v>0</v>
      </c>
      <c r="J25" s="377">
        <f t="shared" si="19"/>
        <v>0</v>
      </c>
      <c r="K25" s="377">
        <f t="shared" si="19"/>
        <v>0</v>
      </c>
      <c r="L25" s="377">
        <f t="shared" si="19"/>
        <v>0</v>
      </c>
      <c r="M25" s="377">
        <f t="shared" si="19"/>
        <v>0</v>
      </c>
      <c r="N25" s="377">
        <f t="shared" si="19"/>
        <v>0</v>
      </c>
      <c r="O25" s="377">
        <f t="shared" si="19"/>
        <v>0</v>
      </c>
      <c r="P25" s="377">
        <f t="shared" si="19"/>
        <v>0</v>
      </c>
      <c r="Q25" s="370"/>
      <c r="R25" s="370"/>
      <c r="S25" s="370"/>
    </row>
    <row r="26" ht="15.75" customHeight="1">
      <c r="A26" s="368"/>
      <c r="B26" s="40" t="s">
        <v>1199</v>
      </c>
      <c r="C26" s="377">
        <f t="shared" ref="C26:P26" si="20">COUNTIF(INDIRECT("'"&amp;$B$12&amp;"'!$I$1:$K$1000"),C$4)</f>
        <v>0</v>
      </c>
      <c r="D26" s="377">
        <f t="shared" si="20"/>
        <v>0</v>
      </c>
      <c r="E26" s="377">
        <f t="shared" si="20"/>
        <v>0</v>
      </c>
      <c r="F26" s="377">
        <f t="shared" si="20"/>
        <v>0</v>
      </c>
      <c r="G26" s="377">
        <f t="shared" si="20"/>
        <v>0</v>
      </c>
      <c r="H26" s="377">
        <f t="shared" si="20"/>
        <v>0</v>
      </c>
      <c r="I26" s="377">
        <f t="shared" si="20"/>
        <v>0</v>
      </c>
      <c r="J26" s="377">
        <f t="shared" si="20"/>
        <v>0</v>
      </c>
      <c r="K26" s="377">
        <f t="shared" si="20"/>
        <v>0</v>
      </c>
      <c r="L26" s="377">
        <f t="shared" si="20"/>
        <v>0</v>
      </c>
      <c r="M26" s="377">
        <f t="shared" si="20"/>
        <v>0</v>
      </c>
      <c r="N26" s="377">
        <f t="shared" si="20"/>
        <v>0</v>
      </c>
      <c r="O26" s="377">
        <f t="shared" si="20"/>
        <v>0</v>
      </c>
      <c r="P26" s="377">
        <f t="shared" si="20"/>
        <v>0</v>
      </c>
      <c r="Q26" s="370"/>
      <c r="R26" s="370"/>
      <c r="S26" s="370"/>
    </row>
    <row r="27" ht="15.75" customHeight="1">
      <c r="A27" s="368"/>
      <c r="B27" s="40" t="s">
        <v>1190</v>
      </c>
      <c r="C27" s="377">
        <f t="shared" ref="C27:P27" si="21">COUNTIF(INDIRECT("'"&amp;$B$13&amp;"'!$J$1:$L$1000"),C$4)</f>
        <v>0</v>
      </c>
      <c r="D27" s="377">
        <f t="shared" si="21"/>
        <v>0</v>
      </c>
      <c r="E27" s="377">
        <f t="shared" si="21"/>
        <v>0</v>
      </c>
      <c r="F27" s="377">
        <f t="shared" si="21"/>
        <v>0</v>
      </c>
      <c r="G27" s="377">
        <f t="shared" si="21"/>
        <v>0</v>
      </c>
      <c r="H27" s="377">
        <f t="shared" si="21"/>
        <v>0</v>
      </c>
      <c r="I27" s="377">
        <f t="shared" si="21"/>
        <v>0</v>
      </c>
      <c r="J27" s="377">
        <f t="shared" si="21"/>
        <v>0</v>
      </c>
      <c r="K27" s="377">
        <f t="shared" si="21"/>
        <v>0</v>
      </c>
      <c r="L27" s="377">
        <f t="shared" si="21"/>
        <v>0</v>
      </c>
      <c r="M27" s="377">
        <f t="shared" si="21"/>
        <v>0</v>
      </c>
      <c r="N27" s="377">
        <f t="shared" si="21"/>
        <v>0</v>
      </c>
      <c r="O27" s="377">
        <f t="shared" si="21"/>
        <v>0</v>
      </c>
      <c r="P27" s="377">
        <f t="shared" si="21"/>
        <v>0</v>
      </c>
      <c r="Q27" s="370"/>
      <c r="R27" s="370"/>
      <c r="S27" s="370"/>
    </row>
    <row r="28" ht="15.75" customHeight="1">
      <c r="A28" s="368"/>
      <c r="B28" s="379" t="s">
        <v>1200</v>
      </c>
      <c r="C28" s="380">
        <f t="shared" ref="C28:P28" si="22">SUM(C19:C27)</f>
        <v>0</v>
      </c>
      <c r="D28" s="380">
        <f t="shared" si="22"/>
        <v>0</v>
      </c>
      <c r="E28" s="380">
        <f t="shared" si="22"/>
        <v>0</v>
      </c>
      <c r="F28" s="380">
        <f t="shared" si="22"/>
        <v>0</v>
      </c>
      <c r="G28" s="380">
        <f t="shared" si="22"/>
        <v>0</v>
      </c>
      <c r="H28" s="380">
        <f t="shared" si="22"/>
        <v>0</v>
      </c>
      <c r="I28" s="380">
        <f t="shared" si="22"/>
        <v>0</v>
      </c>
      <c r="J28" s="380">
        <f t="shared" si="22"/>
        <v>0</v>
      </c>
      <c r="K28" s="380">
        <f t="shared" si="22"/>
        <v>0</v>
      </c>
      <c r="L28" s="380">
        <f t="shared" si="22"/>
        <v>0</v>
      </c>
      <c r="M28" s="380">
        <f t="shared" si="22"/>
        <v>0</v>
      </c>
      <c r="N28" s="380">
        <f t="shared" si="22"/>
        <v>0</v>
      </c>
      <c r="O28" s="380">
        <f t="shared" si="22"/>
        <v>0</v>
      </c>
      <c r="P28" s="380">
        <f t="shared" si="22"/>
        <v>0</v>
      </c>
      <c r="Q28" s="370"/>
      <c r="R28" s="370"/>
      <c r="S28" s="370"/>
    </row>
    <row r="29" ht="15.75" customHeight="1">
      <c r="A29" s="368"/>
      <c r="B29" s="368"/>
      <c r="C29" s="370"/>
      <c r="D29" s="370"/>
      <c r="E29" s="370"/>
      <c r="F29" s="370"/>
      <c r="G29" s="370"/>
      <c r="H29" s="370"/>
      <c r="I29" s="370"/>
      <c r="J29" s="370"/>
      <c r="K29" s="370"/>
      <c r="L29" s="370"/>
      <c r="M29" s="370"/>
      <c r="N29" s="370"/>
      <c r="O29" s="370"/>
      <c r="P29" s="370"/>
      <c r="Q29" s="370"/>
      <c r="R29" s="370"/>
      <c r="S29" s="370"/>
    </row>
    <row r="30" ht="15.75" customHeight="1">
      <c r="A30" s="368"/>
      <c r="B30" s="368"/>
      <c r="C30" s="370"/>
      <c r="D30" s="370"/>
      <c r="E30" s="370"/>
      <c r="F30" s="370"/>
      <c r="G30" s="370"/>
      <c r="H30" s="370"/>
      <c r="I30" s="370"/>
      <c r="J30" s="370"/>
      <c r="K30" s="370"/>
      <c r="L30" s="370"/>
      <c r="M30" s="370"/>
      <c r="N30" s="370"/>
      <c r="O30" s="370"/>
      <c r="P30" s="370"/>
      <c r="Q30" s="370"/>
      <c r="R30" s="370"/>
      <c r="S30" s="370"/>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Q5:S14">
    <cfRule type="cellIs" dxfId="6" priority="1" operator="equal">
      <formula>0</formula>
    </cfRule>
  </conditionalFormatting>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43"/>
    <col customWidth="1" min="2" max="2" width="25.86"/>
    <col customWidth="1" min="3" max="4" width="21.57"/>
    <col customWidth="1" min="5" max="5" width="43.0"/>
    <col customWidth="1" min="6" max="6" width="33.0"/>
    <col customWidth="1" min="7" max="9" width="8.71"/>
  </cols>
  <sheetData>
    <row r="1" ht="30.0" customHeight="1">
      <c r="A1" s="381"/>
      <c r="B1" s="382" t="str">
        <f>"本編促進「"&amp;E12&amp;"」 概要"</f>
        <v>本編促進「あやかし恋遊戯」 概要</v>
      </c>
      <c r="C1" s="381"/>
      <c r="D1" s="381"/>
      <c r="E1" s="381"/>
      <c r="F1" s="381"/>
      <c r="G1" s="381"/>
      <c r="H1" s="381"/>
      <c r="I1" s="381"/>
    </row>
    <row r="2">
      <c r="A2" s="383"/>
      <c r="B2" s="384"/>
      <c r="C2" s="384"/>
      <c r="D2" s="384"/>
      <c r="E2" s="384"/>
      <c r="F2" s="384"/>
      <c r="G2" s="383"/>
      <c r="H2" s="383"/>
      <c r="I2" s="383"/>
    </row>
    <row r="3">
      <c r="A3" s="385"/>
      <c r="B3" s="386" t="s">
        <v>1201</v>
      </c>
      <c r="C3" s="387"/>
      <c r="D3" s="387"/>
      <c r="E3" s="387"/>
      <c r="F3" s="388"/>
      <c r="G3" s="383"/>
      <c r="H3" s="383"/>
      <c r="I3" s="383"/>
    </row>
    <row r="4">
      <c r="A4" s="385"/>
      <c r="B4" s="389"/>
      <c r="C4" s="390"/>
      <c r="D4" s="390"/>
      <c r="E4" s="390"/>
      <c r="F4" s="391"/>
      <c r="G4" s="383"/>
      <c r="H4" s="383"/>
      <c r="I4" s="383"/>
    </row>
    <row r="5">
      <c r="A5" s="385"/>
      <c r="B5" s="392"/>
      <c r="F5" s="393"/>
      <c r="G5" s="383"/>
      <c r="H5" s="383"/>
      <c r="I5" s="383"/>
    </row>
    <row r="6">
      <c r="A6" s="385"/>
      <c r="B6" s="392"/>
      <c r="F6" s="393"/>
      <c r="G6" s="383"/>
      <c r="H6" s="383"/>
      <c r="I6" s="383"/>
    </row>
    <row r="7">
      <c r="A7" s="385"/>
      <c r="B7" s="392"/>
      <c r="F7" s="393"/>
      <c r="G7" s="383"/>
      <c r="H7" s="383"/>
      <c r="I7" s="383"/>
    </row>
    <row r="8">
      <c r="A8" s="385"/>
      <c r="B8" s="394"/>
      <c r="C8" s="395"/>
      <c r="D8" s="395"/>
      <c r="E8" s="395"/>
      <c r="F8" s="396"/>
      <c r="G8" s="383"/>
      <c r="H8" s="383"/>
      <c r="I8" s="383"/>
    </row>
    <row r="9">
      <c r="A9" s="383"/>
      <c r="B9" s="383"/>
      <c r="C9" s="383"/>
      <c r="D9" s="383"/>
      <c r="E9" s="383"/>
      <c r="F9" s="383"/>
      <c r="G9" s="383"/>
      <c r="H9" s="383"/>
      <c r="I9" s="383"/>
    </row>
    <row r="10">
      <c r="A10" s="383"/>
      <c r="B10" s="397" t="s">
        <v>1202</v>
      </c>
      <c r="C10" s="384"/>
      <c r="D10" s="384"/>
      <c r="E10" s="383"/>
      <c r="F10" s="383"/>
      <c r="G10" s="383"/>
      <c r="H10" s="383"/>
      <c r="I10" s="383"/>
    </row>
    <row r="11">
      <c r="A11" s="385"/>
      <c r="B11" s="398" t="s">
        <v>1203</v>
      </c>
      <c r="C11" s="399" t="s">
        <v>1204</v>
      </c>
      <c r="D11" s="388"/>
      <c r="E11" s="383"/>
      <c r="F11" s="383"/>
      <c r="G11" s="383"/>
      <c r="H11" s="383"/>
      <c r="I11" s="383"/>
    </row>
    <row r="12">
      <c r="A12" s="385"/>
      <c r="B12" s="400" t="s">
        <v>699</v>
      </c>
      <c r="C12" s="401" t="s">
        <v>692</v>
      </c>
      <c r="D12" s="388"/>
      <c r="E12" s="402" t="s">
        <v>1205</v>
      </c>
      <c r="F12" s="383"/>
      <c r="G12" s="383"/>
      <c r="H12" s="383"/>
      <c r="I12" s="383"/>
    </row>
    <row r="13">
      <c r="A13" s="385"/>
      <c r="B13" s="400" t="s">
        <v>1206</v>
      </c>
      <c r="C13" s="401" t="s">
        <v>26</v>
      </c>
      <c r="D13" s="388"/>
      <c r="E13" s="383"/>
      <c r="F13" s="383"/>
      <c r="G13" s="383"/>
      <c r="H13" s="383"/>
      <c r="I13" s="383"/>
    </row>
    <row r="14">
      <c r="A14" s="383"/>
      <c r="B14" s="383"/>
      <c r="C14" s="383"/>
      <c r="D14" s="383"/>
      <c r="E14" s="383"/>
      <c r="F14" s="383"/>
      <c r="G14" s="383"/>
      <c r="H14" s="383"/>
      <c r="I14" s="383"/>
    </row>
    <row r="15">
      <c r="A15" s="383"/>
      <c r="B15" s="397" t="s">
        <v>1207</v>
      </c>
      <c r="C15" s="383"/>
      <c r="D15" s="383"/>
      <c r="E15" s="383"/>
      <c r="F15" s="383"/>
      <c r="G15" s="383"/>
      <c r="H15" s="383"/>
      <c r="I15" s="383"/>
    </row>
    <row r="16">
      <c r="A16" s="383"/>
      <c r="B16" s="403" t="s">
        <v>1203</v>
      </c>
      <c r="C16" s="403" t="s">
        <v>700</v>
      </c>
      <c r="D16" s="403" t="s">
        <v>701</v>
      </c>
      <c r="E16" s="403" t="s">
        <v>1208</v>
      </c>
      <c r="F16" s="403" t="s">
        <v>1209</v>
      </c>
      <c r="G16" s="383"/>
      <c r="H16" s="383"/>
      <c r="I16" s="383"/>
    </row>
    <row r="17">
      <c r="A17" s="385"/>
      <c r="B17" s="404" t="s">
        <v>1210</v>
      </c>
      <c r="C17" s="405">
        <v>46074.708333333336</v>
      </c>
      <c r="D17" s="405">
        <v>46080.708333333336</v>
      </c>
      <c r="E17" s="406" t="s">
        <v>1211</v>
      </c>
      <c r="F17" s="407"/>
      <c r="G17" s="383"/>
      <c r="H17" s="383"/>
      <c r="I17" s="383"/>
    </row>
    <row r="18">
      <c r="A18" s="385"/>
      <c r="B18" s="404" t="s">
        <v>1212</v>
      </c>
      <c r="C18" s="408">
        <f t="shared" ref="C18:D18" si="1">C17</f>
        <v>46074.70833</v>
      </c>
      <c r="D18" s="408">
        <f t="shared" si="1"/>
        <v>46080.70833</v>
      </c>
      <c r="E18" s="114"/>
      <c r="F18" s="407" t="s">
        <v>1213</v>
      </c>
      <c r="G18" s="383"/>
      <c r="H18" s="383"/>
      <c r="I18" s="383"/>
    </row>
    <row r="19">
      <c r="A19" s="385"/>
      <c r="B19" s="404" t="s">
        <v>1214</v>
      </c>
      <c r="C19" s="408">
        <f>D17+TIME(0,30,0)</f>
        <v>46080.72917</v>
      </c>
      <c r="D19" s="408">
        <f>C19+7</f>
        <v>46087.72917</v>
      </c>
      <c r="E19" s="409" t="s">
        <v>1215</v>
      </c>
      <c r="F19" s="407" t="s">
        <v>1216</v>
      </c>
      <c r="G19" s="383"/>
      <c r="H19" s="383"/>
      <c r="I19" s="383"/>
    </row>
    <row r="20">
      <c r="A20" s="383"/>
      <c r="B20" s="383"/>
      <c r="C20" s="383"/>
      <c r="D20" s="383"/>
      <c r="E20" s="383"/>
      <c r="F20" s="383"/>
      <c r="G20" s="383"/>
      <c r="H20" s="383"/>
      <c r="I20" s="383"/>
    </row>
    <row r="21" ht="15.75" customHeight="1">
      <c r="A21" s="383"/>
      <c r="B21" s="410" t="s">
        <v>1196</v>
      </c>
      <c r="C21" s="383"/>
      <c r="D21" s="383"/>
      <c r="E21" s="383"/>
      <c r="F21" s="383"/>
      <c r="G21" s="383"/>
      <c r="H21" s="383"/>
      <c r="I21" s="383"/>
    </row>
    <row r="22" ht="15.75" customHeight="1">
      <c r="A22" s="383"/>
      <c r="B22" s="403" t="s">
        <v>1203</v>
      </c>
      <c r="C22" s="403" t="s">
        <v>700</v>
      </c>
      <c r="D22" s="403" t="s">
        <v>701</v>
      </c>
      <c r="E22" s="403" t="s">
        <v>1217</v>
      </c>
      <c r="F22" s="403" t="s">
        <v>1218</v>
      </c>
      <c r="G22" s="383"/>
      <c r="H22" s="383"/>
      <c r="I22" s="383"/>
    </row>
    <row r="23" ht="15.75" customHeight="1">
      <c r="A23" s="385"/>
      <c r="B23" s="404" t="s">
        <v>1219</v>
      </c>
      <c r="C23" s="405">
        <v>46074.708333333336</v>
      </c>
      <c r="D23" s="408">
        <f>C23+TIME(12,0,0)</f>
        <v>46075.20833</v>
      </c>
      <c r="E23" s="411">
        <v>1.0</v>
      </c>
      <c r="F23" s="411">
        <v>3.0</v>
      </c>
      <c r="G23" s="383"/>
      <c r="H23" s="383"/>
      <c r="I23" s="383"/>
    </row>
    <row r="24" ht="15.75" customHeight="1">
      <c r="A24" s="385"/>
      <c r="B24" s="404" t="s">
        <v>1220</v>
      </c>
      <c r="C24" s="405">
        <v>46075.458333333336</v>
      </c>
      <c r="D24" s="408">
        <f>C24+TIME(18,0,0)</f>
        <v>46076.20833</v>
      </c>
      <c r="E24" s="377">
        <v>3.0</v>
      </c>
      <c r="F24" s="377">
        <v>1.0</v>
      </c>
      <c r="G24" s="383"/>
      <c r="H24" s="383"/>
      <c r="I24" s="383"/>
    </row>
    <row r="25" ht="15.75" customHeight="1">
      <c r="A25" s="385"/>
      <c r="B25" s="404" t="s">
        <v>1221</v>
      </c>
      <c r="C25" s="405">
        <v>46076.708333333336</v>
      </c>
      <c r="D25" s="408">
        <f t="shared" ref="D25:D28" si="2">C25+TIME(12,0,0)</f>
        <v>46077.20833</v>
      </c>
      <c r="E25" s="411">
        <v>1.0</v>
      </c>
      <c r="F25" s="411">
        <v>3.0</v>
      </c>
      <c r="G25" s="383"/>
      <c r="H25" s="383"/>
      <c r="I25" s="383"/>
    </row>
    <row r="26" ht="15.75" customHeight="1">
      <c r="A26" s="385"/>
      <c r="B26" s="404" t="s">
        <v>1222</v>
      </c>
      <c r="C26" s="405">
        <v>46077.708333333336</v>
      </c>
      <c r="D26" s="408">
        <f t="shared" si="2"/>
        <v>46078.20833</v>
      </c>
      <c r="E26" s="411">
        <v>1.0</v>
      </c>
      <c r="F26" s="411">
        <v>3.0</v>
      </c>
      <c r="G26" s="383"/>
      <c r="H26" s="383"/>
      <c r="I26" s="383"/>
    </row>
    <row r="27" ht="15.75" customHeight="1">
      <c r="A27" s="385"/>
      <c r="B27" s="404" t="s">
        <v>1223</v>
      </c>
      <c r="C27" s="405">
        <v>46078.458333333336</v>
      </c>
      <c r="D27" s="408">
        <f t="shared" si="2"/>
        <v>46078.95833</v>
      </c>
      <c r="E27" s="411">
        <v>3.0</v>
      </c>
      <c r="F27" s="411">
        <v>1.0</v>
      </c>
      <c r="G27" s="383"/>
      <c r="H27" s="383"/>
      <c r="I27" s="383"/>
    </row>
    <row r="28" ht="15.75" customHeight="1">
      <c r="A28" s="385"/>
      <c r="B28" s="404" t="s">
        <v>1224</v>
      </c>
      <c r="C28" s="412">
        <v>46080.208333333336</v>
      </c>
      <c r="D28" s="408">
        <f t="shared" si="2"/>
        <v>46080.70833</v>
      </c>
      <c r="E28" s="411">
        <v>1.0</v>
      </c>
      <c r="F28" s="411">
        <v>3.0</v>
      </c>
      <c r="G28" s="383"/>
      <c r="H28" s="383"/>
      <c r="I28" s="383"/>
    </row>
    <row r="29" ht="15.75" hidden="1" customHeight="1">
      <c r="A29" s="385"/>
      <c r="B29" s="404"/>
      <c r="C29" s="408"/>
      <c r="D29" s="408"/>
      <c r="E29" s="411">
        <v>1.0</v>
      </c>
      <c r="F29" s="411">
        <v>2.0</v>
      </c>
      <c r="G29" s="383"/>
      <c r="H29" s="383"/>
      <c r="I29" s="383"/>
    </row>
    <row r="30" ht="15.75" hidden="1" customHeight="1">
      <c r="A30" s="385"/>
      <c r="B30" s="404"/>
      <c r="C30" s="408"/>
      <c r="D30" s="408"/>
      <c r="E30" s="411">
        <v>1.0</v>
      </c>
      <c r="F30" s="411">
        <v>2.0</v>
      </c>
      <c r="G30" s="383"/>
      <c r="H30" s="383"/>
      <c r="I30" s="383"/>
    </row>
    <row r="31" ht="15.75" hidden="1" customHeight="1">
      <c r="A31" s="385"/>
      <c r="B31" s="404"/>
      <c r="C31" s="408"/>
      <c r="D31" s="408"/>
      <c r="E31" s="411">
        <v>1.0</v>
      </c>
      <c r="F31" s="411">
        <v>2.0</v>
      </c>
      <c r="G31" s="383"/>
      <c r="H31" s="383"/>
      <c r="I31" s="383"/>
    </row>
    <row r="32" ht="15.75" hidden="1" customHeight="1">
      <c r="A32" s="385"/>
      <c r="B32" s="404"/>
      <c r="C32" s="408"/>
      <c r="D32" s="408"/>
      <c r="E32" s="411">
        <v>1.0</v>
      </c>
      <c r="F32" s="411">
        <v>2.0</v>
      </c>
      <c r="G32" s="383"/>
      <c r="H32" s="383"/>
      <c r="I32" s="383"/>
    </row>
    <row r="33" ht="15.75" customHeight="1">
      <c r="A33" s="368"/>
      <c r="B33" s="368"/>
      <c r="C33" s="368"/>
      <c r="D33" s="368"/>
      <c r="E33" s="368"/>
      <c r="F33" s="368"/>
      <c r="G33" s="383"/>
      <c r="H33" s="368"/>
      <c r="I33" s="368"/>
    </row>
    <row r="34" ht="15.75" customHeight="1">
      <c r="A34" s="368"/>
      <c r="B34" s="410" t="s">
        <v>1225</v>
      </c>
      <c r="C34" s="383"/>
      <c r="D34" s="383"/>
      <c r="E34" s="368"/>
      <c r="F34" s="368"/>
      <c r="G34" s="368"/>
      <c r="H34" s="368"/>
      <c r="I34" s="368"/>
    </row>
    <row r="35" ht="15.75" customHeight="1">
      <c r="A35" s="368"/>
      <c r="B35" s="403" t="s">
        <v>1203</v>
      </c>
      <c r="C35" s="403" t="s">
        <v>700</v>
      </c>
      <c r="D35" s="403" t="s">
        <v>701</v>
      </c>
      <c r="E35" s="368"/>
      <c r="F35" s="368"/>
      <c r="G35" s="368"/>
      <c r="H35" s="368"/>
      <c r="I35" s="368"/>
    </row>
    <row r="36" ht="15.75" customHeight="1">
      <c r="A36" s="368"/>
      <c r="B36" s="404" t="s">
        <v>1226</v>
      </c>
      <c r="C36" s="408">
        <f t="shared" ref="C36:D36" si="3">C17</f>
        <v>46074.70833</v>
      </c>
      <c r="D36" s="408">
        <f t="shared" si="3"/>
        <v>46080.70833</v>
      </c>
      <c r="E36" s="368"/>
      <c r="F36" s="368"/>
      <c r="G36" s="368"/>
      <c r="H36" s="368"/>
      <c r="I36" s="368"/>
    </row>
    <row r="37" ht="15.75" customHeight="1">
      <c r="A37" s="368"/>
      <c r="B37" s="404" t="s">
        <v>1227</v>
      </c>
      <c r="C37" s="408">
        <f>D37-1</f>
        <v>46079.70833</v>
      </c>
      <c r="D37" s="408">
        <f>D18</f>
        <v>46080.70833</v>
      </c>
      <c r="E37" s="368"/>
      <c r="F37" s="368"/>
      <c r="G37" s="368"/>
      <c r="H37" s="368"/>
      <c r="I37" s="368"/>
    </row>
    <row r="38" ht="15.75" customHeight="1">
      <c r="A38" s="368"/>
      <c r="B38" s="404" t="s">
        <v>1228</v>
      </c>
      <c r="C38" s="408">
        <f t="shared" ref="C38:D38" si="4">C17</f>
        <v>46074.70833</v>
      </c>
      <c r="D38" s="408">
        <f t="shared" si="4"/>
        <v>46080.70833</v>
      </c>
      <c r="E38" s="368"/>
      <c r="F38" s="368"/>
      <c r="G38" s="368"/>
      <c r="H38" s="368"/>
      <c r="I38" s="368"/>
    </row>
    <row r="39" ht="15.75" customHeight="1">
      <c r="A39" s="368"/>
      <c r="B39" s="404" t="s">
        <v>1229</v>
      </c>
      <c r="C39" s="408">
        <f t="shared" ref="C39:D39" si="5">C17</f>
        <v>46074.70833</v>
      </c>
      <c r="D39" s="408">
        <f t="shared" si="5"/>
        <v>46080.70833</v>
      </c>
      <c r="E39" s="368"/>
      <c r="F39" s="368"/>
      <c r="G39" s="368"/>
      <c r="H39" s="368"/>
      <c r="I39" s="368"/>
    </row>
    <row r="40" ht="15.75" customHeight="1">
      <c r="A40" s="368"/>
      <c r="B40" s="368"/>
      <c r="C40" s="368"/>
      <c r="D40" s="368"/>
      <c r="E40" s="368"/>
      <c r="F40" s="368"/>
      <c r="G40" s="368"/>
      <c r="H40" s="368"/>
      <c r="I40" s="368"/>
    </row>
    <row r="41" ht="15.75" customHeight="1">
      <c r="A41" s="368"/>
      <c r="B41" s="410" t="s">
        <v>1230</v>
      </c>
      <c r="C41" s="383"/>
      <c r="D41" s="383"/>
      <c r="E41" s="368"/>
      <c r="F41" s="368"/>
      <c r="G41" s="368"/>
      <c r="H41" s="368"/>
      <c r="I41" s="368"/>
    </row>
    <row r="42" ht="15.75" customHeight="1">
      <c r="A42" s="368"/>
      <c r="B42" s="403" t="s">
        <v>571</v>
      </c>
      <c r="C42" s="403" t="s">
        <v>700</v>
      </c>
      <c r="D42" s="403" t="s">
        <v>701</v>
      </c>
      <c r="E42" s="368"/>
      <c r="F42" s="368"/>
      <c r="G42" s="368"/>
      <c r="H42" s="368"/>
      <c r="I42" s="368"/>
    </row>
    <row r="43" ht="15.75" customHeight="1">
      <c r="A43" s="368"/>
      <c r="B43" s="404"/>
      <c r="C43" s="408"/>
      <c r="D43" s="408"/>
      <c r="E43" s="368"/>
      <c r="F43" s="368"/>
      <c r="G43" s="368"/>
      <c r="H43" s="368"/>
      <c r="I43" s="368"/>
    </row>
    <row r="44" ht="15.75" customHeight="1">
      <c r="A44" s="368"/>
      <c r="B44" s="368"/>
      <c r="C44" s="368"/>
      <c r="D44" s="368"/>
      <c r="E44" s="368"/>
      <c r="F44" s="368"/>
      <c r="G44" s="368"/>
      <c r="H44" s="368"/>
      <c r="I44" s="368"/>
    </row>
    <row r="45" ht="15.75" customHeight="1">
      <c r="A45" s="368"/>
      <c r="B45" s="413" t="s">
        <v>1231</v>
      </c>
      <c r="C45" s="8"/>
      <c r="D45" s="8"/>
      <c r="E45" s="9"/>
      <c r="F45" s="368"/>
      <c r="G45" s="368"/>
      <c r="H45" s="368"/>
      <c r="I45" s="368"/>
    </row>
    <row r="46" ht="15.75" customHeight="1">
      <c r="B46" s="414"/>
      <c r="C46" s="415"/>
      <c r="D46" s="415"/>
      <c r="E46" s="416"/>
    </row>
    <row r="47" ht="15.75" customHeight="1">
      <c r="B47" s="417"/>
      <c r="E47" s="393"/>
    </row>
    <row r="48" ht="15.75" customHeight="1">
      <c r="B48" s="417"/>
      <c r="E48" s="393"/>
    </row>
    <row r="49" ht="15.75" customHeight="1">
      <c r="B49" s="417"/>
      <c r="E49" s="393"/>
    </row>
    <row r="50" ht="15.75" customHeight="1">
      <c r="B50" s="418"/>
      <c r="C50" s="395"/>
      <c r="D50" s="395"/>
      <c r="E50" s="396"/>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3:F3"/>
    <mergeCell ref="B4:F8"/>
    <mergeCell ref="C11:D11"/>
    <mergeCell ref="C12:D12"/>
    <mergeCell ref="C13:D13"/>
    <mergeCell ref="B45:E45"/>
    <mergeCell ref="B46:E50"/>
  </mergeCells>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Col="1"/>
  <cols>
    <col customWidth="1" min="1" max="2" width="4.43"/>
    <col customWidth="1" min="3" max="3" width="40.14"/>
    <col customWidth="1" min="4" max="4" width="50.14"/>
    <col collapsed="1" customWidth="1" min="5" max="5" width="35.86"/>
    <col customWidth="1" hidden="1" min="6" max="6" width="21.86" outlineLevel="1"/>
    <col customWidth="1" min="7" max="7" width="10.71"/>
    <col customWidth="1" min="8" max="8" width="8.71"/>
  </cols>
  <sheetData>
    <row r="1" ht="30.0" customHeight="1">
      <c r="A1" s="419"/>
      <c r="B1" s="382" t="str">
        <f>"本編促進「"&amp;'参照_概要'!$E$12&amp;"」 仕様"</f>
        <v>本編促進「あやかし恋遊戯」 仕様</v>
      </c>
      <c r="C1" s="382"/>
      <c r="D1" s="382"/>
      <c r="E1" s="420"/>
      <c r="F1" s="381"/>
      <c r="G1" s="381"/>
      <c r="H1" s="381"/>
    </row>
    <row r="2">
      <c r="A2" s="421"/>
      <c r="B2" s="421"/>
      <c r="C2" s="421"/>
      <c r="D2" s="421"/>
      <c r="E2" s="421"/>
      <c r="F2" s="422"/>
      <c r="G2" s="422"/>
      <c r="H2" s="422"/>
    </row>
    <row r="3">
      <c r="A3" s="421"/>
      <c r="B3" s="423" t="s">
        <v>211</v>
      </c>
      <c r="C3" s="424"/>
      <c r="D3" s="421"/>
      <c r="E3" s="421"/>
      <c r="F3" s="422"/>
      <c r="G3" s="422"/>
      <c r="H3" s="422"/>
    </row>
    <row r="4">
      <c r="A4" s="421"/>
      <c r="B4" s="425" t="s">
        <v>47</v>
      </c>
      <c r="C4" s="425" t="s">
        <v>1161</v>
      </c>
      <c r="D4" s="425" t="s">
        <v>1232</v>
      </c>
      <c r="E4" s="425" t="s">
        <v>1233</v>
      </c>
      <c r="F4" s="422"/>
      <c r="G4" s="422"/>
      <c r="H4" s="422"/>
    </row>
    <row r="5">
      <c r="A5" s="421"/>
      <c r="B5" s="426">
        <v>1.0</v>
      </c>
      <c r="C5" s="409" t="s">
        <v>636</v>
      </c>
      <c r="D5" s="427">
        <f>'参照_概要'!$C$17</f>
        <v>46074.70833</v>
      </c>
      <c r="E5" s="427">
        <f>'参照_概要'!$D$17</f>
        <v>46080.70833</v>
      </c>
      <c r="F5" s="422"/>
      <c r="G5" s="422"/>
      <c r="H5" s="422"/>
    </row>
    <row r="6">
      <c r="A6" s="421"/>
      <c r="B6" s="426">
        <v>2.0</v>
      </c>
      <c r="C6" s="409" t="s">
        <v>657</v>
      </c>
      <c r="D6" s="427">
        <f>'参照_概要'!$C$17</f>
        <v>46074.70833</v>
      </c>
      <c r="E6" s="427">
        <f>'参照_概要'!$D$17</f>
        <v>46080.70833</v>
      </c>
      <c r="F6" s="422"/>
      <c r="G6" s="422"/>
      <c r="H6" s="422"/>
    </row>
    <row r="7">
      <c r="A7" s="421"/>
      <c r="B7" s="426">
        <v>3.0</v>
      </c>
      <c r="C7" s="409" t="s">
        <v>654</v>
      </c>
      <c r="D7" s="427">
        <f>'参照_概要'!$C$17</f>
        <v>46074.70833</v>
      </c>
      <c r="E7" s="427">
        <f>'参照_概要'!$D$17</f>
        <v>46080.70833</v>
      </c>
      <c r="F7" s="422"/>
      <c r="G7" s="422"/>
      <c r="H7" s="422"/>
    </row>
    <row r="8">
      <c r="A8" s="421"/>
      <c r="B8" s="422"/>
      <c r="C8" s="422"/>
      <c r="D8" s="422"/>
      <c r="E8" s="422"/>
      <c r="F8" s="422"/>
      <c r="G8" s="422"/>
      <c r="H8" s="422"/>
    </row>
    <row r="9">
      <c r="A9" s="421"/>
      <c r="B9" s="428" t="s">
        <v>1234</v>
      </c>
      <c r="C9" s="429"/>
      <c r="D9" s="421"/>
      <c r="E9" s="421"/>
      <c r="F9" s="421"/>
      <c r="G9" s="422"/>
      <c r="H9" s="422"/>
    </row>
    <row r="10">
      <c r="A10" s="421"/>
      <c r="B10" s="425" t="s">
        <v>47</v>
      </c>
      <c r="C10" s="425" t="s">
        <v>1235</v>
      </c>
      <c r="D10" s="425" t="s">
        <v>925</v>
      </c>
      <c r="E10" s="425" t="s">
        <v>1236</v>
      </c>
      <c r="F10" s="422"/>
    </row>
    <row r="11">
      <c r="A11" s="421"/>
      <c r="B11" s="411">
        <v>1.0</v>
      </c>
      <c r="C11" s="406" t="s">
        <v>673</v>
      </c>
      <c r="D11" s="430" t="s">
        <v>1237</v>
      </c>
      <c r="E11" s="431" t="s">
        <v>694</v>
      </c>
      <c r="F11" s="422" t="str">
        <f>IFERROR(__xludf.DUMMYFUNCTION("ARRAYFORMULA(SPLIT(C11:C28,""～()""))"),"Mystic Matrimony Bonus Story ")</f>
        <v>Mystic Matrimony Bonus Story </v>
      </c>
      <c r="G11" s="154" t="str">
        <f>IFERROR(__xludf.DUMMYFUNCTION("""COMPUTED_VALUE"""),"Masamune")</f>
        <v>Masamune</v>
      </c>
    </row>
    <row r="12">
      <c r="A12" s="421"/>
      <c r="B12" s="411">
        <f t="shared" ref="B12:B31" si="1">B11+1</f>
        <v>2</v>
      </c>
      <c r="C12" s="432" t="s">
        <v>668</v>
      </c>
      <c r="D12" s="430" t="s">
        <v>1238</v>
      </c>
      <c r="E12" s="433" t="s">
        <v>694</v>
      </c>
      <c r="F12" s="422" t="str">
        <f>IFERROR(__xludf.DUMMYFUNCTION("""COMPUTED_VALUE"""),"Mystic Matrimony Bonus Story ")</f>
        <v>Mystic Matrimony Bonus Story </v>
      </c>
      <c r="G12" s="154" t="str">
        <f>IFERROR(__xludf.DUMMYFUNCTION("""COMPUTED_VALUE"""),"Nobunaga")</f>
        <v>Nobunaga</v>
      </c>
    </row>
    <row r="13">
      <c r="A13" s="421"/>
      <c r="B13" s="411">
        <f t="shared" si="1"/>
        <v>3</v>
      </c>
      <c r="C13" s="432" t="s">
        <v>664</v>
      </c>
      <c r="D13" s="430" t="s">
        <v>1239</v>
      </c>
      <c r="E13" s="431" t="s">
        <v>694</v>
      </c>
      <c r="F13" s="422" t="str">
        <f>IFERROR(__xludf.DUMMYFUNCTION("""COMPUTED_VALUE"""),"Mystic Matrimony Bonus Story ")</f>
        <v>Mystic Matrimony Bonus Story </v>
      </c>
      <c r="G13" s="154" t="str">
        <f>IFERROR(__xludf.DUMMYFUNCTION("""COMPUTED_VALUE"""),"Kanetsugu")</f>
        <v>Kanetsugu</v>
      </c>
    </row>
    <row r="14">
      <c r="A14" s="421"/>
      <c r="B14" s="411">
        <f t="shared" si="1"/>
        <v>4</v>
      </c>
      <c r="C14" s="432" t="s">
        <v>658</v>
      </c>
      <c r="D14" s="430" t="s">
        <v>1240</v>
      </c>
      <c r="E14" s="433" t="s">
        <v>694</v>
      </c>
      <c r="F14" s="422" t="str">
        <f>IFERROR(__xludf.DUMMYFUNCTION("""COMPUTED_VALUE"""),"Mystic Matrimony Bonus Story ")</f>
        <v>Mystic Matrimony Bonus Story </v>
      </c>
      <c r="G14" s="154" t="str">
        <f>IFERROR(__xludf.DUMMYFUNCTION("""COMPUTED_VALUE"""),"Kicho")</f>
        <v>Kicho</v>
      </c>
    </row>
    <row r="15">
      <c r="A15" s="421"/>
      <c r="B15" s="411">
        <f t="shared" si="1"/>
        <v>5</v>
      </c>
      <c r="C15" s="432" t="s">
        <v>653</v>
      </c>
      <c r="D15" s="434" t="s">
        <v>1241</v>
      </c>
      <c r="E15" s="433" t="s">
        <v>694</v>
      </c>
      <c r="F15" s="422" t="str">
        <f>IFERROR(__xludf.DUMMYFUNCTION("""COMPUTED_VALUE"""),"Mystic Matrimony Bonus Story ")</f>
        <v>Mystic Matrimony Bonus Story </v>
      </c>
      <c r="G15" s="154" t="str">
        <f>IFERROR(__xludf.DUMMYFUNCTION("""COMPUTED_VALUE"""),"Motonari")</f>
        <v>Motonari</v>
      </c>
    </row>
    <row r="16">
      <c r="A16" s="421"/>
      <c r="B16" s="411">
        <f t="shared" si="1"/>
        <v>6</v>
      </c>
      <c r="C16" s="432" t="s">
        <v>648</v>
      </c>
      <c r="D16" s="434" t="s">
        <v>1242</v>
      </c>
      <c r="E16" s="433" t="s">
        <v>694</v>
      </c>
      <c r="F16" s="422" t="str">
        <f>IFERROR(__xludf.DUMMYFUNCTION("""COMPUTED_VALUE"""),"Mystic Matrimony Bonus Story ")</f>
        <v>Mystic Matrimony Bonus Story </v>
      </c>
      <c r="G16" s="154" t="str">
        <f>IFERROR(__xludf.DUMMYFUNCTION("""COMPUTED_VALUE"""),"Yoshimoto")</f>
        <v>Yoshimoto</v>
      </c>
    </row>
    <row r="17">
      <c r="A17" s="421"/>
      <c r="B17" s="411">
        <f t="shared" si="1"/>
        <v>7</v>
      </c>
      <c r="C17" s="432" t="s">
        <v>1243</v>
      </c>
      <c r="D17" s="434" t="s">
        <v>1237</v>
      </c>
      <c r="E17" s="433" t="s">
        <v>695</v>
      </c>
      <c r="F17" s="422" t="str">
        <f>IFERROR(__xludf.DUMMYFUNCTION("""COMPUTED_VALUE"""),"Mystic Matrimony After Story ")</f>
        <v>Mystic Matrimony After Story </v>
      </c>
      <c r="G17" s="154" t="str">
        <f>IFERROR(__xludf.DUMMYFUNCTION("""COMPUTED_VALUE"""),"Masamune")</f>
        <v>Masamune</v>
      </c>
    </row>
    <row r="18">
      <c r="A18" s="421"/>
      <c r="B18" s="411">
        <f t="shared" si="1"/>
        <v>8</v>
      </c>
      <c r="C18" s="432" t="s">
        <v>1244</v>
      </c>
      <c r="D18" s="434" t="s">
        <v>1238</v>
      </c>
      <c r="E18" s="433" t="s">
        <v>695</v>
      </c>
      <c r="F18" s="422" t="str">
        <f>IFERROR(__xludf.DUMMYFUNCTION("""COMPUTED_VALUE"""),"Mystic Matrimony After Story ")</f>
        <v>Mystic Matrimony After Story </v>
      </c>
      <c r="G18" s="154" t="str">
        <f>IFERROR(__xludf.DUMMYFUNCTION("""COMPUTED_VALUE"""),"Nobunaga")</f>
        <v>Nobunaga</v>
      </c>
    </row>
    <row r="19">
      <c r="A19" s="421"/>
      <c r="B19" s="411">
        <f t="shared" si="1"/>
        <v>9</v>
      </c>
      <c r="C19" s="432" t="s">
        <v>1245</v>
      </c>
      <c r="D19" s="434" t="s">
        <v>1239</v>
      </c>
      <c r="E19" s="433" t="s">
        <v>695</v>
      </c>
      <c r="F19" s="422" t="str">
        <f>IFERROR(__xludf.DUMMYFUNCTION("""COMPUTED_VALUE"""),"Mystic Matrimony After Story ")</f>
        <v>Mystic Matrimony After Story </v>
      </c>
      <c r="G19" s="154" t="str">
        <f>IFERROR(__xludf.DUMMYFUNCTION("""COMPUTED_VALUE"""),"Kanetsugu")</f>
        <v>Kanetsugu</v>
      </c>
    </row>
    <row r="20">
      <c r="A20" s="421"/>
      <c r="B20" s="411">
        <f t="shared" si="1"/>
        <v>10</v>
      </c>
      <c r="C20" s="432" t="s">
        <v>1246</v>
      </c>
      <c r="D20" s="434" t="s">
        <v>1240</v>
      </c>
      <c r="E20" s="433" t="s">
        <v>695</v>
      </c>
      <c r="F20" s="422" t="str">
        <f>IFERROR(__xludf.DUMMYFUNCTION("""COMPUTED_VALUE"""),"Mystic Matrimony After Story ")</f>
        <v>Mystic Matrimony After Story </v>
      </c>
      <c r="G20" s="154" t="str">
        <f>IFERROR(__xludf.DUMMYFUNCTION("""COMPUTED_VALUE"""),"Kicho")</f>
        <v>Kicho</v>
      </c>
    </row>
    <row r="21" ht="15.75" customHeight="1">
      <c r="A21" s="421"/>
      <c r="B21" s="411">
        <f t="shared" si="1"/>
        <v>11</v>
      </c>
      <c r="C21" s="432" t="s">
        <v>1247</v>
      </c>
      <c r="D21" s="434" t="s">
        <v>1241</v>
      </c>
      <c r="E21" s="433" t="s">
        <v>695</v>
      </c>
      <c r="F21" s="422" t="str">
        <f>IFERROR(__xludf.DUMMYFUNCTION("""COMPUTED_VALUE"""),"Mystic Matrimony After Story ")</f>
        <v>Mystic Matrimony After Story </v>
      </c>
      <c r="G21" s="154" t="str">
        <f>IFERROR(__xludf.DUMMYFUNCTION("""COMPUTED_VALUE"""),"Motonari")</f>
        <v>Motonari</v>
      </c>
    </row>
    <row r="22" ht="15.75" customHeight="1">
      <c r="A22" s="421"/>
      <c r="B22" s="411">
        <f t="shared" si="1"/>
        <v>12</v>
      </c>
      <c r="C22" s="432" t="s">
        <v>1248</v>
      </c>
      <c r="D22" s="434" t="s">
        <v>1242</v>
      </c>
      <c r="E22" s="433" t="s">
        <v>695</v>
      </c>
      <c r="F22" s="422" t="str">
        <f>IFERROR(__xludf.DUMMYFUNCTION("""COMPUTED_VALUE"""),"Mystic Matrimony After Story ")</f>
        <v>Mystic Matrimony After Story </v>
      </c>
      <c r="G22" s="154" t="str">
        <f>IFERROR(__xludf.DUMMYFUNCTION("""COMPUTED_VALUE"""),"Yoshimoto")</f>
        <v>Yoshimoto</v>
      </c>
    </row>
    <row r="23" ht="15.75" customHeight="1">
      <c r="A23" s="421"/>
      <c r="B23" s="411">
        <f t="shared" si="1"/>
        <v>13</v>
      </c>
      <c r="C23" s="432" t="s">
        <v>579</v>
      </c>
      <c r="D23" s="434" t="s">
        <v>1238</v>
      </c>
      <c r="E23" s="433" t="s">
        <v>1249</v>
      </c>
      <c r="F23" s="422" t="str">
        <f>IFERROR(__xludf.DUMMYFUNCTION("""COMPUTED_VALUE"""),"Demon of My Dreams ")</f>
        <v>Demon of My Dreams </v>
      </c>
      <c r="G23" s="154" t="str">
        <f>IFERROR(__xludf.DUMMYFUNCTION("""COMPUTED_VALUE"""),"Nobunaga")</f>
        <v>Nobunaga</v>
      </c>
    </row>
    <row r="24" ht="15.75" customHeight="1">
      <c r="A24" s="421"/>
      <c r="B24" s="411">
        <f t="shared" si="1"/>
        <v>14</v>
      </c>
      <c r="C24" s="432" t="s">
        <v>583</v>
      </c>
      <c r="D24" s="434" t="s">
        <v>1237</v>
      </c>
      <c r="E24" s="433" t="s">
        <v>1249</v>
      </c>
      <c r="F24" s="422" t="str">
        <f>IFERROR(__xludf.DUMMYFUNCTION("""COMPUTED_VALUE"""),"Demon of My Dreams ")</f>
        <v>Demon of My Dreams </v>
      </c>
      <c r="G24" s="154" t="str">
        <f>IFERROR(__xludf.DUMMYFUNCTION("""COMPUTED_VALUE"""),"Masamune")</f>
        <v>Masamune</v>
      </c>
    </row>
    <row r="25" ht="15.75" customHeight="1">
      <c r="A25" s="421"/>
      <c r="B25" s="411">
        <f t="shared" si="1"/>
        <v>15</v>
      </c>
      <c r="C25" s="432" t="s">
        <v>605</v>
      </c>
      <c r="D25" s="434" t="s">
        <v>1242</v>
      </c>
      <c r="E25" s="433" t="s">
        <v>1250</v>
      </c>
      <c r="F25" s="421" t="str">
        <f>IFERROR(__xludf.DUMMYFUNCTION("""COMPUTED_VALUE"""),"Demon of My Dreams ")</f>
        <v>Demon of My Dreams </v>
      </c>
      <c r="G25" s="422" t="str">
        <f>IFERROR(__xludf.DUMMYFUNCTION("""COMPUTED_VALUE"""),"Yoshimoto")</f>
        <v>Yoshimoto</v>
      </c>
      <c r="H25" s="422"/>
    </row>
    <row r="26" ht="15.75" customHeight="1">
      <c r="A26" s="421"/>
      <c r="B26" s="411">
        <f t="shared" si="1"/>
        <v>16</v>
      </c>
      <c r="C26" s="432" t="s">
        <v>607</v>
      </c>
      <c r="D26" s="434" t="s">
        <v>1241</v>
      </c>
      <c r="E26" s="433" t="s">
        <v>1251</v>
      </c>
      <c r="F26" s="421" t="str">
        <f>IFERROR(__xludf.DUMMYFUNCTION("""COMPUTED_VALUE"""),"Demon of My Dreams ")</f>
        <v>Demon of My Dreams </v>
      </c>
      <c r="G26" s="422" t="str">
        <f>IFERROR(__xludf.DUMMYFUNCTION("""COMPUTED_VALUE"""),"Motonari")</f>
        <v>Motonari</v>
      </c>
      <c r="H26" s="422"/>
    </row>
    <row r="27" ht="15.75" customHeight="1">
      <c r="A27" s="421"/>
      <c r="B27" s="411">
        <f t="shared" si="1"/>
        <v>17</v>
      </c>
      <c r="C27" s="432" t="s">
        <v>1174</v>
      </c>
      <c r="D27" s="434" t="s">
        <v>1239</v>
      </c>
      <c r="E27" s="433" t="s">
        <v>1250</v>
      </c>
      <c r="F27" s="421" t="str">
        <f>IFERROR(__xludf.DUMMYFUNCTION("""COMPUTED_VALUE"""),"Demon of My Dreams ")</f>
        <v>Demon of My Dreams </v>
      </c>
      <c r="G27" s="422" t="str">
        <f>IFERROR(__xludf.DUMMYFUNCTION("""COMPUTED_VALUE"""),"Kanetsugu")</f>
        <v>Kanetsugu</v>
      </c>
      <c r="H27" s="422"/>
    </row>
    <row r="28" ht="15.75" customHeight="1">
      <c r="A28" s="421"/>
      <c r="B28" s="411">
        <f t="shared" si="1"/>
        <v>18</v>
      </c>
      <c r="C28" s="432" t="s">
        <v>1252</v>
      </c>
      <c r="D28" s="434" t="s">
        <v>1240</v>
      </c>
      <c r="E28" s="433" t="s">
        <v>1251</v>
      </c>
      <c r="F28" s="421" t="str">
        <f>IFERROR(__xludf.DUMMYFUNCTION("""COMPUTED_VALUE"""),"Demon of My Dreams ")</f>
        <v>Demon of My Dreams </v>
      </c>
      <c r="G28" s="422" t="str">
        <f>IFERROR(__xludf.DUMMYFUNCTION("""COMPUTED_VALUE"""),"Kicho")</f>
        <v>Kicho</v>
      </c>
      <c r="H28" s="422"/>
    </row>
    <row r="29" ht="15.75" customHeight="1">
      <c r="A29" s="421"/>
      <c r="B29" s="411">
        <f t="shared" si="1"/>
        <v>19</v>
      </c>
      <c r="C29" s="432" t="s">
        <v>1253</v>
      </c>
      <c r="D29" s="434" t="s">
        <v>1254</v>
      </c>
      <c r="E29" s="433" t="s">
        <v>693</v>
      </c>
      <c r="F29" s="421"/>
      <c r="G29" s="435" t="s">
        <v>1254</v>
      </c>
      <c r="H29" s="422"/>
    </row>
    <row r="30" ht="15.75" customHeight="1">
      <c r="A30" s="421"/>
      <c r="B30" s="411">
        <f t="shared" si="1"/>
        <v>20</v>
      </c>
      <c r="C30" s="432" t="s">
        <v>611</v>
      </c>
      <c r="D30" s="434" t="s">
        <v>1254</v>
      </c>
      <c r="E30" s="433" t="s">
        <v>1255</v>
      </c>
      <c r="F30" s="421"/>
      <c r="G30" s="435" t="s">
        <v>1254</v>
      </c>
      <c r="H30" s="422"/>
    </row>
    <row r="31" ht="15.75" customHeight="1">
      <c r="A31" s="421"/>
      <c r="B31" s="411">
        <f t="shared" si="1"/>
        <v>21</v>
      </c>
      <c r="C31" s="432" t="s">
        <v>613</v>
      </c>
      <c r="D31" s="434" t="s">
        <v>1254</v>
      </c>
      <c r="E31" s="433" t="s">
        <v>1256</v>
      </c>
      <c r="F31" s="421"/>
      <c r="G31" s="435" t="s">
        <v>1254</v>
      </c>
      <c r="H31" s="422"/>
    </row>
    <row r="32" ht="15.75" customHeight="1">
      <c r="A32" s="421"/>
      <c r="B32" s="429"/>
      <c r="C32" s="436"/>
      <c r="D32" s="436"/>
      <c r="E32" s="436"/>
      <c r="F32" s="421"/>
      <c r="G32" s="422"/>
      <c r="H32" s="422"/>
    </row>
    <row r="33" ht="15.75" customHeight="1">
      <c r="A33" s="421"/>
      <c r="B33" s="429"/>
      <c r="C33" s="436"/>
      <c r="D33" s="436"/>
      <c r="E33" s="436"/>
      <c r="F33" s="421"/>
      <c r="G33" s="422"/>
      <c r="H33" s="422"/>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C3"/>
  </mergeCells>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4.43"/>
    <col customWidth="1" min="3" max="3" width="28.71"/>
    <col customWidth="1" min="4" max="4" width="41.29"/>
    <col customWidth="1" min="5" max="5" width="28.71"/>
    <col customWidth="1" min="6" max="6" width="36.71"/>
    <col customWidth="1" min="7" max="7" width="24.43"/>
    <col customWidth="1" min="8" max="8" width="8.71"/>
    <col customWidth="1" min="9" max="10" width="20.14"/>
    <col customWidth="1" min="11" max="11" width="20.86"/>
    <col customWidth="1" min="12" max="12" width="25.57"/>
    <col customWidth="1" min="13" max="13" width="23.86"/>
  </cols>
  <sheetData>
    <row r="1" ht="30.0" customHeight="1">
      <c r="A1" s="419"/>
      <c r="B1" s="382" t="str">
        <f>"本編促進「"&amp;'参照_概要'!$E$12&amp;"」 各種特典"</f>
        <v>本編促進「あやかし恋遊戯」 各種特典</v>
      </c>
      <c r="C1" s="382"/>
      <c r="D1" s="382"/>
      <c r="E1" s="382"/>
      <c r="F1" s="382"/>
      <c r="G1" s="382"/>
      <c r="H1" s="382"/>
      <c r="I1" s="382"/>
      <c r="J1" s="381"/>
      <c r="K1" s="381"/>
      <c r="L1" s="437"/>
      <c r="M1" s="437"/>
    </row>
    <row r="2">
      <c r="A2" s="421"/>
      <c r="B2" s="421"/>
      <c r="C2" s="421"/>
      <c r="D2" s="421"/>
      <c r="E2" s="421"/>
      <c r="F2" s="421"/>
      <c r="G2" s="421"/>
      <c r="H2" s="421"/>
      <c r="I2" s="421"/>
      <c r="J2" s="421"/>
      <c r="K2" s="422"/>
      <c r="L2" s="422"/>
      <c r="M2" s="422"/>
    </row>
    <row r="3">
      <c r="A3" s="421"/>
      <c r="B3" s="438" t="s">
        <v>1257</v>
      </c>
      <c r="C3" s="8"/>
      <c r="D3" s="8"/>
      <c r="E3" s="8"/>
      <c r="F3" s="8"/>
      <c r="G3" s="8"/>
      <c r="H3" s="8"/>
      <c r="I3" s="9"/>
      <c r="J3" s="421"/>
      <c r="K3" s="422"/>
      <c r="L3" s="422"/>
      <c r="M3" s="422"/>
    </row>
    <row r="4">
      <c r="A4" s="421"/>
      <c r="B4" s="439" t="s">
        <v>1257</v>
      </c>
      <c r="C4" s="415"/>
      <c r="D4" s="415"/>
      <c r="E4" s="415"/>
      <c r="F4" s="415"/>
      <c r="G4" s="415"/>
      <c r="H4" s="415"/>
      <c r="I4" s="416"/>
      <c r="J4" s="421"/>
      <c r="K4" s="422"/>
      <c r="L4" s="422"/>
      <c r="M4" s="422"/>
    </row>
    <row r="5">
      <c r="A5" s="421"/>
      <c r="B5" s="417"/>
      <c r="I5" s="393"/>
      <c r="J5" s="421"/>
      <c r="K5" s="422"/>
      <c r="L5" s="422"/>
      <c r="M5" s="422"/>
    </row>
    <row r="6">
      <c r="A6" s="421"/>
      <c r="B6" s="417"/>
      <c r="I6" s="393"/>
      <c r="J6" s="421"/>
      <c r="K6" s="422"/>
      <c r="L6" s="422"/>
      <c r="M6" s="422"/>
    </row>
    <row r="7">
      <c r="A7" s="421"/>
      <c r="B7" s="417"/>
      <c r="I7" s="393"/>
      <c r="J7" s="421"/>
      <c r="K7" s="422"/>
      <c r="L7" s="422"/>
      <c r="M7" s="422"/>
    </row>
    <row r="8">
      <c r="A8" s="421"/>
      <c r="B8" s="418"/>
      <c r="C8" s="395"/>
      <c r="D8" s="395"/>
      <c r="E8" s="395"/>
      <c r="F8" s="395"/>
      <c r="G8" s="395"/>
      <c r="H8" s="395"/>
      <c r="I8" s="396"/>
      <c r="J8" s="421"/>
      <c r="K8" s="440"/>
      <c r="L8" s="440"/>
      <c r="M8" s="440"/>
    </row>
    <row r="9">
      <c r="A9" s="421"/>
      <c r="B9" s="441"/>
      <c r="C9" s="441"/>
      <c r="D9" s="441"/>
      <c r="E9" s="441"/>
      <c r="F9" s="441"/>
      <c r="G9" s="441"/>
      <c r="H9" s="441"/>
      <c r="I9" s="441"/>
      <c r="J9" s="421"/>
      <c r="K9" s="440"/>
      <c r="L9" s="440"/>
      <c r="M9" s="440"/>
    </row>
    <row r="10">
      <c r="A10" s="421"/>
      <c r="B10" s="423" t="s">
        <v>1257</v>
      </c>
      <c r="C10" s="424"/>
      <c r="D10" s="421"/>
      <c r="E10" s="421"/>
      <c r="F10" s="421"/>
      <c r="G10" s="421"/>
      <c r="H10" s="421"/>
      <c r="I10" s="421"/>
      <c r="J10" s="421"/>
      <c r="K10" s="440"/>
      <c r="L10" s="442"/>
      <c r="M10" s="442"/>
    </row>
    <row r="11">
      <c r="A11" s="421"/>
      <c r="B11" s="425" t="s">
        <v>47</v>
      </c>
      <c r="C11" s="425" t="s">
        <v>1258</v>
      </c>
      <c r="D11" s="425" t="s">
        <v>241</v>
      </c>
      <c r="E11" s="425" t="s">
        <v>1259</v>
      </c>
      <c r="F11" s="425" t="s">
        <v>1260</v>
      </c>
      <c r="G11" s="425" t="s">
        <v>1261</v>
      </c>
      <c r="H11" s="425" t="s">
        <v>698</v>
      </c>
      <c r="I11" s="425" t="s">
        <v>1262</v>
      </c>
      <c r="J11" s="425" t="s">
        <v>1263</v>
      </c>
      <c r="K11" s="440"/>
      <c r="L11" s="442"/>
      <c r="M11" s="442"/>
    </row>
    <row r="12">
      <c r="A12" s="421"/>
      <c r="B12" s="411">
        <v>1.0</v>
      </c>
      <c r="C12" s="404" t="s">
        <v>1264</v>
      </c>
      <c r="D12" s="443" t="s">
        <v>341</v>
      </c>
      <c r="E12" s="444" t="s">
        <v>1265</v>
      </c>
      <c r="F12" s="445" t="s">
        <v>852</v>
      </c>
      <c r="G12" s="446" t="s">
        <v>1266</v>
      </c>
      <c r="H12" s="447">
        <v>1.0</v>
      </c>
      <c r="I12" s="408">
        <f>'参照_概要'!$C$17</f>
        <v>46074.70833</v>
      </c>
      <c r="J12" s="448">
        <f>I12+1+1/4</f>
        <v>46075.95833</v>
      </c>
      <c r="K12" s="440"/>
      <c r="L12" s="442"/>
      <c r="M12" s="442"/>
    </row>
    <row r="13">
      <c r="A13" s="421"/>
      <c r="B13" s="411">
        <f t="shared" ref="B13:B37" si="1">B12+1</f>
        <v>2</v>
      </c>
      <c r="C13" s="404" t="s">
        <v>1264</v>
      </c>
      <c r="D13" s="443" t="s">
        <v>341</v>
      </c>
      <c r="E13" s="40"/>
      <c r="F13" s="443"/>
      <c r="G13" s="449" t="str">
        <f>$G$12</f>
        <v>Collect 140 Hearts by 2/22 11:00 PM　PST for this!</v>
      </c>
      <c r="H13" s="447">
        <v>1.0</v>
      </c>
      <c r="I13" s="408">
        <f>$I$12</f>
        <v>46074.70833</v>
      </c>
      <c r="J13" s="408">
        <f>$J$12</f>
        <v>46075.95833</v>
      </c>
      <c r="K13" s="440"/>
      <c r="L13" s="442"/>
      <c r="M13" s="442"/>
    </row>
    <row r="14">
      <c r="A14" s="421"/>
      <c r="B14" s="411">
        <f t="shared" si="1"/>
        <v>3</v>
      </c>
      <c r="C14" s="404" t="s">
        <v>1267</v>
      </c>
      <c r="D14" s="443" t="s">
        <v>344</v>
      </c>
      <c r="E14" s="444" t="s">
        <v>1268</v>
      </c>
      <c r="F14" s="450" t="s">
        <v>395</v>
      </c>
      <c r="G14" s="446" t="s">
        <v>1269</v>
      </c>
      <c r="H14" s="447">
        <v>1.0</v>
      </c>
      <c r="I14" s="408">
        <f>'参照_概要'!$C$17</f>
        <v>46074.70833</v>
      </c>
      <c r="J14" s="448">
        <f>I14+2+1/4</f>
        <v>46076.95833</v>
      </c>
      <c r="K14" s="440"/>
      <c r="L14" s="442"/>
      <c r="M14" s="442"/>
    </row>
    <row r="15">
      <c r="A15" s="421"/>
      <c r="B15" s="411">
        <f t="shared" si="1"/>
        <v>4</v>
      </c>
      <c r="C15" s="404" t="s">
        <v>1267</v>
      </c>
      <c r="D15" s="443" t="s">
        <v>344</v>
      </c>
      <c r="E15" s="40"/>
      <c r="F15" s="443"/>
      <c r="G15" s="449" t="str">
        <f>$G$14</f>
        <v>Collect 240 Hearts by 2/23 11:00 PM　PST for this!</v>
      </c>
      <c r="H15" s="447">
        <v>1.0</v>
      </c>
      <c r="I15" s="408">
        <f>$I$14</f>
        <v>46074.70833</v>
      </c>
      <c r="J15" s="408">
        <f>$J$14</f>
        <v>46076.95833</v>
      </c>
      <c r="K15" s="422"/>
    </row>
    <row r="16">
      <c r="A16" s="421"/>
      <c r="B16" s="411">
        <f t="shared" si="1"/>
        <v>5</v>
      </c>
      <c r="C16" s="404" t="s">
        <v>1270</v>
      </c>
      <c r="D16" s="443" t="str">
        <f>"Early Clear Bonus "&amp;'参照_概要'!$C$12</f>
        <v>Early Clear Bonus Mystic Matrimony ~My Fated Bride~</v>
      </c>
      <c r="E16" s="444" t="s">
        <v>1271</v>
      </c>
      <c r="F16" s="450" t="s">
        <v>399</v>
      </c>
      <c r="G16" s="446" t="s">
        <v>1272</v>
      </c>
      <c r="H16" s="447">
        <v>1.0</v>
      </c>
      <c r="I16" s="408">
        <f>'参照_概要'!$C$17</f>
        <v>46074.70833</v>
      </c>
      <c r="J16" s="448">
        <f>I16+3+1/4</f>
        <v>46077.95833</v>
      </c>
      <c r="K16" s="422"/>
    </row>
    <row r="17">
      <c r="A17" s="421"/>
      <c r="B17" s="411">
        <f t="shared" si="1"/>
        <v>6</v>
      </c>
      <c r="C17" s="404" t="s">
        <v>1270</v>
      </c>
      <c r="D17" s="443" t="str">
        <f>"Early Clear Bonus "&amp;'参照_概要'!$C$12</f>
        <v>Early Clear Bonus Mystic Matrimony ~My Fated Bride~</v>
      </c>
      <c r="E17" s="40"/>
      <c r="F17" s="443"/>
      <c r="G17" s="449" t="str">
        <f>$G$16</f>
        <v>Collect 400 Hearts by 2/24 11:00 PM　PST for this!</v>
      </c>
      <c r="H17" s="447">
        <v>1.0</v>
      </c>
      <c r="I17" s="408">
        <f>$I$16</f>
        <v>46074.70833</v>
      </c>
      <c r="J17" s="408">
        <f>$J$16</f>
        <v>46077.95833</v>
      </c>
      <c r="K17" s="422"/>
    </row>
    <row r="18">
      <c r="A18" s="421"/>
      <c r="B18" s="411">
        <f t="shared" si="1"/>
        <v>7</v>
      </c>
      <c r="C18" s="404" t="s">
        <v>1273</v>
      </c>
      <c r="D18" s="443" t="s">
        <v>1274</v>
      </c>
      <c r="E18" s="444" t="s">
        <v>1275</v>
      </c>
      <c r="F18" s="450" t="s">
        <v>403</v>
      </c>
      <c r="G18" s="446" t="s">
        <v>1276</v>
      </c>
      <c r="H18" s="447">
        <v>1.0</v>
      </c>
      <c r="I18" s="408">
        <f>'参照_概要'!$C$17</f>
        <v>46074.70833</v>
      </c>
      <c r="J18" s="448">
        <f>I18+4+1/4</f>
        <v>46078.95833</v>
      </c>
      <c r="K18" s="422"/>
    </row>
    <row r="19">
      <c r="A19" s="421"/>
      <c r="B19" s="411">
        <f t="shared" si="1"/>
        <v>8</v>
      </c>
      <c r="C19" s="404" t="s">
        <v>1273</v>
      </c>
      <c r="D19" s="443" t="s">
        <v>1274</v>
      </c>
      <c r="E19" s="40"/>
      <c r="F19" s="443"/>
      <c r="G19" s="449" t="str">
        <f>$G$18</f>
        <v>Collect 560 Hearts by 2/25 11:00 PM　PST for this!</v>
      </c>
      <c r="H19" s="447">
        <v>1.0</v>
      </c>
      <c r="I19" s="408">
        <f>$I$18</f>
        <v>46074.70833</v>
      </c>
      <c r="J19" s="408">
        <f>$J$18</f>
        <v>46078.95833</v>
      </c>
      <c r="K19" s="422"/>
    </row>
    <row r="20">
      <c r="A20" s="421"/>
      <c r="B20" s="411">
        <f t="shared" si="1"/>
        <v>9</v>
      </c>
      <c r="C20" s="404" t="s">
        <v>1195</v>
      </c>
      <c r="D20" s="443" t="str">
        <f>'参照_概要'!$C$13&amp;"◆Collection Bonus"</f>
        <v>Mystic Matrimony◆Collection Bonus</v>
      </c>
      <c r="E20" s="444" t="s">
        <v>693</v>
      </c>
      <c r="F20" s="431" t="s">
        <v>1253</v>
      </c>
      <c r="G20" s="451"/>
      <c r="H20" s="447">
        <v>1.0</v>
      </c>
      <c r="I20" s="452"/>
      <c r="J20" s="452"/>
      <c r="K20" s="422"/>
    </row>
    <row r="21" ht="15.75" customHeight="1">
      <c r="A21" s="421"/>
      <c r="B21" s="411">
        <f t="shared" si="1"/>
        <v>10</v>
      </c>
      <c r="C21" s="404" t="s">
        <v>1195</v>
      </c>
      <c r="D21" s="443" t="str">
        <f>'参照_概要'!$C$13&amp;"◆Collection Bonus"</f>
        <v>Mystic Matrimony◆Collection Bonus</v>
      </c>
      <c r="E21" s="444" t="s">
        <v>1277</v>
      </c>
      <c r="F21" s="443" t="s">
        <v>636</v>
      </c>
      <c r="G21" s="451"/>
      <c r="H21" s="447">
        <v>1.0</v>
      </c>
      <c r="I21" s="452"/>
      <c r="J21" s="452"/>
      <c r="K21" s="368"/>
      <c r="L21" s="368" t="s">
        <v>1277</v>
      </c>
      <c r="M21" s="368" t="s">
        <v>636</v>
      </c>
    </row>
    <row r="22" ht="15.75" customHeight="1">
      <c r="A22" s="421"/>
      <c r="B22" s="411">
        <f t="shared" si="1"/>
        <v>11</v>
      </c>
      <c r="C22" s="404" t="s">
        <v>1195</v>
      </c>
      <c r="D22" s="443" t="str">
        <f>'参照_概要'!$C$13&amp;"◆Collection Bonus"</f>
        <v>Mystic Matrimony◆Collection Bonus</v>
      </c>
      <c r="E22" s="444" t="s">
        <v>1278</v>
      </c>
      <c r="F22" s="443" t="s">
        <v>644</v>
      </c>
      <c r="G22" s="451"/>
      <c r="H22" s="447">
        <v>1.0</v>
      </c>
      <c r="I22" s="452"/>
      <c r="J22" s="452"/>
      <c r="K22" s="368"/>
      <c r="L22" s="368" t="s">
        <v>1279</v>
      </c>
      <c r="M22" s="368" t="s">
        <v>657</v>
      </c>
    </row>
    <row r="23" ht="15.75" customHeight="1">
      <c r="A23" s="421"/>
      <c r="B23" s="411">
        <f t="shared" si="1"/>
        <v>12</v>
      </c>
      <c r="C23" s="404" t="s">
        <v>1195</v>
      </c>
      <c r="D23" s="443" t="str">
        <f>'参照_概要'!$C$13&amp;"◆Collection Bonus"</f>
        <v>Mystic Matrimony◆Collection Bonus</v>
      </c>
      <c r="E23" s="444" t="s">
        <v>1280</v>
      </c>
      <c r="F23" s="443" t="s">
        <v>646</v>
      </c>
      <c r="G23" s="451"/>
      <c r="H23" s="447">
        <v>1.0</v>
      </c>
      <c r="I23" s="452"/>
      <c r="J23" s="452"/>
      <c r="K23" s="368"/>
      <c r="L23" s="368" t="s">
        <v>1280</v>
      </c>
      <c r="M23" s="368" t="s">
        <v>646</v>
      </c>
    </row>
    <row r="24" ht="15.75" customHeight="1">
      <c r="A24" s="421"/>
      <c r="B24" s="411">
        <f t="shared" si="1"/>
        <v>13</v>
      </c>
      <c r="C24" s="404" t="s">
        <v>1195</v>
      </c>
      <c r="D24" s="443" t="str">
        <f>'参照_概要'!$C$13&amp;"◆Collection Bonus"</f>
        <v>Mystic Matrimony◆Collection Bonus</v>
      </c>
      <c r="E24" s="444" t="s">
        <v>1277</v>
      </c>
      <c r="F24" s="443" t="s">
        <v>636</v>
      </c>
      <c r="G24" s="451"/>
      <c r="H24" s="447">
        <v>1.0</v>
      </c>
      <c r="I24" s="452"/>
      <c r="J24" s="452"/>
      <c r="K24" s="368"/>
      <c r="L24" s="368" t="s">
        <v>1281</v>
      </c>
      <c r="M24" s="368" t="s">
        <v>650</v>
      </c>
    </row>
    <row r="25" ht="15.75" customHeight="1">
      <c r="A25" s="421"/>
      <c r="B25" s="411">
        <f t="shared" si="1"/>
        <v>14</v>
      </c>
      <c r="C25" s="404" t="s">
        <v>1195</v>
      </c>
      <c r="D25" s="443" t="str">
        <f>'参照_概要'!$C$13&amp;"◆Collection Bonus"</f>
        <v>Mystic Matrimony◆Collection Bonus</v>
      </c>
      <c r="E25" s="444" t="s">
        <v>1282</v>
      </c>
      <c r="F25" s="431" t="s">
        <v>647</v>
      </c>
      <c r="G25" s="451"/>
      <c r="H25" s="447">
        <v>1.0</v>
      </c>
      <c r="I25" s="452"/>
      <c r="J25" s="452"/>
      <c r="K25" s="368"/>
      <c r="L25" s="368" t="s">
        <v>1283</v>
      </c>
      <c r="M25" s="368" t="s">
        <v>652</v>
      </c>
    </row>
    <row r="26" ht="15.75" customHeight="1">
      <c r="A26" s="421"/>
      <c r="B26" s="411">
        <f t="shared" si="1"/>
        <v>15</v>
      </c>
      <c r="C26" s="404" t="s">
        <v>1195</v>
      </c>
      <c r="D26" s="443" t="str">
        <f>'参照_概要'!$C$13&amp;"◆Collection Bonus"</f>
        <v>Mystic Matrimony◆Collection Bonus</v>
      </c>
      <c r="E26" s="444" t="s">
        <v>1277</v>
      </c>
      <c r="F26" s="443" t="s">
        <v>636</v>
      </c>
      <c r="G26" s="451"/>
      <c r="H26" s="447">
        <v>1.0</v>
      </c>
      <c r="I26" s="452"/>
      <c r="J26" s="452"/>
      <c r="K26" s="368"/>
      <c r="L26" s="368" t="s">
        <v>1284</v>
      </c>
      <c r="M26" s="368" t="s">
        <v>662</v>
      </c>
    </row>
    <row r="27" ht="15.75" customHeight="1">
      <c r="A27" s="421"/>
      <c r="B27" s="411">
        <f t="shared" si="1"/>
        <v>16</v>
      </c>
      <c r="C27" s="404" t="s">
        <v>1195</v>
      </c>
      <c r="D27" s="443" t="str">
        <f>'参照_概要'!$C$13&amp;"◆Collection Bonus"</f>
        <v>Mystic Matrimony◆Collection Bonus</v>
      </c>
      <c r="E27" s="444" t="s">
        <v>1278</v>
      </c>
      <c r="F27" s="443" t="s">
        <v>644</v>
      </c>
      <c r="G27" s="451"/>
      <c r="H27" s="447">
        <v>1.0</v>
      </c>
      <c r="I27" s="452"/>
      <c r="J27" s="452"/>
      <c r="K27" s="368"/>
      <c r="L27" s="368" t="s">
        <v>1285</v>
      </c>
      <c r="M27" s="368" t="s">
        <v>649</v>
      </c>
    </row>
    <row r="28" ht="15.75" customHeight="1">
      <c r="A28" s="421"/>
      <c r="B28" s="411">
        <f t="shared" si="1"/>
        <v>17</v>
      </c>
      <c r="C28" s="404" t="s">
        <v>1195</v>
      </c>
      <c r="D28" s="443" t="str">
        <f>'参照_概要'!$C$13&amp;"◆Collection Bonus"</f>
        <v>Mystic Matrimony◆Collection Bonus</v>
      </c>
      <c r="E28" s="444" t="s">
        <v>1277</v>
      </c>
      <c r="F28" s="443" t="s">
        <v>636</v>
      </c>
      <c r="G28" s="451"/>
      <c r="H28" s="447">
        <v>1.0</v>
      </c>
      <c r="I28" s="452"/>
      <c r="J28" s="452"/>
      <c r="K28" s="368"/>
      <c r="L28" s="368" t="s">
        <v>1286</v>
      </c>
      <c r="M28" s="368" t="s">
        <v>1287</v>
      </c>
    </row>
    <row r="29" ht="15.75" customHeight="1">
      <c r="A29" s="421"/>
      <c r="B29" s="411">
        <f t="shared" si="1"/>
        <v>18</v>
      </c>
      <c r="C29" s="404" t="s">
        <v>1195</v>
      </c>
      <c r="D29" s="443" t="str">
        <f>'参照_概要'!$C$13&amp;"◆Collection Bonus"</f>
        <v>Mystic Matrimony◆Collection Bonus</v>
      </c>
      <c r="E29" s="444" t="s">
        <v>1288</v>
      </c>
      <c r="F29" s="431" t="s">
        <v>648</v>
      </c>
      <c r="G29" s="451"/>
      <c r="H29" s="447">
        <v>1.0</v>
      </c>
      <c r="I29" s="452"/>
      <c r="J29" s="452"/>
      <c r="K29" s="368"/>
      <c r="L29" s="368" t="s">
        <v>1289</v>
      </c>
      <c r="M29" s="368" t="s">
        <v>1290</v>
      </c>
    </row>
    <row r="30" ht="15.75" customHeight="1">
      <c r="A30" s="421"/>
      <c r="B30" s="411">
        <f t="shared" si="1"/>
        <v>19</v>
      </c>
      <c r="C30" s="404" t="s">
        <v>1195</v>
      </c>
      <c r="D30" s="443" t="str">
        <f>'参照_概要'!$C$13&amp;"◆Collection Bonus"</f>
        <v>Mystic Matrimony◆Collection Bonus</v>
      </c>
      <c r="E30" s="444" t="s">
        <v>1285</v>
      </c>
      <c r="F30" s="443" t="s">
        <v>649</v>
      </c>
      <c r="G30" s="451"/>
      <c r="H30" s="447">
        <v>1.0</v>
      </c>
      <c r="I30" s="452"/>
      <c r="J30" s="452"/>
      <c r="K30" s="368"/>
      <c r="L30" s="368" t="s">
        <v>1278</v>
      </c>
      <c r="M30" s="368" t="s">
        <v>644</v>
      </c>
    </row>
    <row r="31" ht="15.75" customHeight="1">
      <c r="A31" s="421"/>
      <c r="B31" s="411">
        <f t="shared" si="1"/>
        <v>20</v>
      </c>
      <c r="C31" s="404" t="s">
        <v>1195</v>
      </c>
      <c r="D31" s="443" t="str">
        <f>'参照_概要'!$C$13&amp;"◆Collection Bonus"</f>
        <v>Mystic Matrimony◆Collection Bonus</v>
      </c>
      <c r="E31" s="444" t="s">
        <v>1281</v>
      </c>
      <c r="F31" s="443" t="s">
        <v>650</v>
      </c>
      <c r="G31" s="451"/>
      <c r="H31" s="447">
        <v>1.0</v>
      </c>
      <c r="I31" s="452"/>
      <c r="J31" s="452"/>
      <c r="K31" s="368"/>
      <c r="L31" s="368" t="s">
        <v>1291</v>
      </c>
      <c r="M31" s="368" t="s">
        <v>481</v>
      </c>
    </row>
    <row r="32" ht="15.75" customHeight="1">
      <c r="A32" s="421"/>
      <c r="B32" s="411">
        <f t="shared" si="1"/>
        <v>21</v>
      </c>
      <c r="C32" s="404" t="s">
        <v>1195</v>
      </c>
      <c r="D32" s="443" t="str">
        <f>'参照_概要'!$C$13&amp;"◆Collection Bonus"</f>
        <v>Mystic Matrimony◆Collection Bonus</v>
      </c>
      <c r="E32" s="444" t="s">
        <v>1277</v>
      </c>
      <c r="F32" s="443" t="s">
        <v>636</v>
      </c>
      <c r="G32" s="451"/>
      <c r="H32" s="447">
        <v>1.0</v>
      </c>
      <c r="I32" s="452"/>
      <c r="J32" s="452"/>
      <c r="K32" s="368"/>
      <c r="L32" s="368" t="s">
        <v>1292</v>
      </c>
      <c r="M32" s="368" t="s">
        <v>669</v>
      </c>
    </row>
    <row r="33" ht="15.75" customHeight="1">
      <c r="A33" s="421"/>
      <c r="B33" s="411">
        <f t="shared" si="1"/>
        <v>22</v>
      </c>
      <c r="C33" s="404" t="s">
        <v>1195</v>
      </c>
      <c r="D33" s="443" t="str">
        <f>'参照_概要'!$C$13&amp;"◆Collection Bonus"</f>
        <v>Mystic Matrimony◆Collection Bonus</v>
      </c>
      <c r="E33" s="444" t="s">
        <v>1293</v>
      </c>
      <c r="F33" s="431" t="s">
        <v>651</v>
      </c>
      <c r="G33" s="451"/>
      <c r="H33" s="447">
        <v>1.0</v>
      </c>
      <c r="I33" s="453"/>
      <c r="J33" s="453"/>
      <c r="K33" s="368"/>
      <c r="L33" s="368" t="s">
        <v>1294</v>
      </c>
      <c r="M33" s="368" t="s">
        <v>654</v>
      </c>
    </row>
    <row r="34" ht="15.75" customHeight="1">
      <c r="A34" s="421"/>
      <c r="B34" s="411">
        <f t="shared" si="1"/>
        <v>23</v>
      </c>
      <c r="C34" s="404" t="s">
        <v>1195</v>
      </c>
      <c r="D34" s="443" t="str">
        <f>'参照_概要'!$C$13&amp;"◆Collection Bonus"</f>
        <v>Mystic Matrimony◆Collection Bonus</v>
      </c>
      <c r="E34" s="444" t="s">
        <v>1278</v>
      </c>
      <c r="F34" s="443" t="s">
        <v>644</v>
      </c>
      <c r="G34" s="451"/>
      <c r="H34" s="447">
        <v>1.0</v>
      </c>
      <c r="I34" s="453"/>
      <c r="J34" s="453"/>
      <c r="K34" s="368"/>
      <c r="L34" s="368" t="s">
        <v>1295</v>
      </c>
      <c r="M34" s="368" t="s">
        <v>659</v>
      </c>
    </row>
    <row r="35" ht="15.75" customHeight="1">
      <c r="A35" s="421"/>
      <c r="B35" s="411">
        <f t="shared" si="1"/>
        <v>24</v>
      </c>
      <c r="C35" s="404" t="s">
        <v>1195</v>
      </c>
      <c r="D35" s="443" t="str">
        <f>'参照_概要'!$C$13&amp;"◆Collection Bonus"</f>
        <v>Mystic Matrimony◆Collection Bonus</v>
      </c>
      <c r="E35" s="444" t="s">
        <v>1280</v>
      </c>
      <c r="F35" s="443" t="s">
        <v>646</v>
      </c>
      <c r="G35" s="451"/>
      <c r="H35" s="447">
        <v>1.0</v>
      </c>
      <c r="I35" s="453"/>
      <c r="J35" s="453"/>
      <c r="K35" s="368"/>
      <c r="L35" s="368" t="s">
        <v>1296</v>
      </c>
      <c r="M35" s="368" t="s">
        <v>663</v>
      </c>
    </row>
    <row r="36" ht="15.75" customHeight="1">
      <c r="A36" s="421"/>
      <c r="B36" s="411">
        <f t="shared" si="1"/>
        <v>25</v>
      </c>
      <c r="C36" s="404" t="s">
        <v>1195</v>
      </c>
      <c r="D36" s="443" t="str">
        <f>'参照_概要'!$C$13&amp;"◆Collection Bonus"</f>
        <v>Mystic Matrimony◆Collection Bonus</v>
      </c>
      <c r="E36" s="444" t="s">
        <v>1277</v>
      </c>
      <c r="F36" s="443" t="s">
        <v>636</v>
      </c>
      <c r="G36" s="451"/>
      <c r="H36" s="447">
        <v>1.0</v>
      </c>
      <c r="I36" s="453"/>
      <c r="J36" s="453"/>
      <c r="K36" s="368"/>
      <c r="L36" s="368" t="s">
        <v>1297</v>
      </c>
      <c r="M36" s="368" t="s">
        <v>666</v>
      </c>
    </row>
    <row r="37" ht="15.75" customHeight="1">
      <c r="A37" s="421"/>
      <c r="B37" s="411">
        <f t="shared" si="1"/>
        <v>26</v>
      </c>
      <c r="C37" s="404" t="s">
        <v>1195</v>
      </c>
      <c r="D37" s="443" t="str">
        <f>'参照_概要'!$C$13&amp;"◆Collection Bonus"</f>
        <v>Mystic Matrimony◆Collection Bonus</v>
      </c>
      <c r="E37" s="444" t="s">
        <v>1283</v>
      </c>
      <c r="F37" s="443" t="s">
        <v>652</v>
      </c>
      <c r="G37" s="451"/>
      <c r="H37" s="447">
        <v>1.0</v>
      </c>
      <c r="I37" s="453"/>
      <c r="J37" s="453"/>
      <c r="K37" s="368"/>
      <c r="L37" s="368" t="s">
        <v>1298</v>
      </c>
      <c r="M37" s="368" t="s">
        <v>672</v>
      </c>
    </row>
    <row r="38" ht="15.75" customHeight="1">
      <c r="A38" s="421"/>
      <c r="B38" s="411">
        <f>B36+1</f>
        <v>26</v>
      </c>
      <c r="C38" s="404" t="s">
        <v>1195</v>
      </c>
      <c r="D38" s="443" t="str">
        <f>'参照_概要'!$C$13&amp;"◆Collection Bonus"</f>
        <v>Mystic Matrimony◆Collection Bonus</v>
      </c>
      <c r="E38" s="444" t="s">
        <v>1299</v>
      </c>
      <c r="F38" s="431" t="s">
        <v>653</v>
      </c>
      <c r="G38" s="451"/>
      <c r="H38" s="447">
        <v>1.0</v>
      </c>
      <c r="I38" s="453"/>
      <c r="J38" s="453"/>
      <c r="K38" s="368"/>
      <c r="L38" s="368" t="s">
        <v>1300</v>
      </c>
      <c r="M38" s="368" t="s">
        <v>1301</v>
      </c>
    </row>
    <row r="39" ht="15.75" customHeight="1">
      <c r="A39" s="421"/>
      <c r="B39" s="411">
        <f t="shared" ref="B39:B99" si="2">B38+1</f>
        <v>27</v>
      </c>
      <c r="C39" s="404" t="s">
        <v>1195</v>
      </c>
      <c r="D39" s="443" t="str">
        <f>'参照_概要'!$C$13&amp;"◆Collection Bonus"</f>
        <v>Mystic Matrimony◆Collection Bonus</v>
      </c>
      <c r="E39" s="454" t="s">
        <v>1294</v>
      </c>
      <c r="F39" s="443" t="s">
        <v>654</v>
      </c>
      <c r="G39" s="451"/>
      <c r="H39" s="447">
        <v>1.0</v>
      </c>
      <c r="I39" s="453"/>
      <c r="J39" s="453"/>
      <c r="K39" s="368"/>
      <c r="L39" s="368" t="s">
        <v>1302</v>
      </c>
      <c r="M39" s="368" t="s">
        <v>1303</v>
      </c>
    </row>
    <row r="40" ht="15.75" customHeight="1">
      <c r="A40" s="421"/>
      <c r="B40" s="411">
        <f t="shared" si="2"/>
        <v>28</v>
      </c>
      <c r="C40" s="404" t="s">
        <v>1195</v>
      </c>
      <c r="D40" s="443" t="str">
        <f>'参照_概要'!$C$13&amp;"◆Collection Bonus"</f>
        <v>Mystic Matrimony◆Collection Bonus</v>
      </c>
      <c r="E40" s="444" t="s">
        <v>1278</v>
      </c>
      <c r="F40" s="443" t="s">
        <v>644</v>
      </c>
      <c r="G40" s="451"/>
      <c r="H40" s="447">
        <v>1.0</v>
      </c>
      <c r="I40" s="453"/>
      <c r="J40" s="453"/>
      <c r="K40" s="368"/>
      <c r="L40" s="368" t="s">
        <v>1304</v>
      </c>
      <c r="M40" s="368" t="s">
        <v>1305</v>
      </c>
    </row>
    <row r="41" ht="15.75" customHeight="1">
      <c r="A41" s="421"/>
      <c r="B41" s="411">
        <f t="shared" si="2"/>
        <v>29</v>
      </c>
      <c r="C41" s="404" t="s">
        <v>1195</v>
      </c>
      <c r="D41" s="443" t="str">
        <f>'参照_概要'!$C$13&amp;"◆Collection Bonus"</f>
        <v>Mystic Matrimony◆Collection Bonus</v>
      </c>
      <c r="E41" s="444" t="s">
        <v>1281</v>
      </c>
      <c r="F41" s="443" t="s">
        <v>650</v>
      </c>
      <c r="G41" s="451"/>
      <c r="H41" s="447">
        <v>1.0</v>
      </c>
      <c r="I41" s="453"/>
      <c r="J41" s="453"/>
      <c r="K41" s="368"/>
      <c r="L41" s="368"/>
      <c r="M41" s="368"/>
    </row>
    <row r="42" ht="15.75" customHeight="1">
      <c r="A42" s="421"/>
      <c r="B42" s="411">
        <f t="shared" si="2"/>
        <v>30</v>
      </c>
      <c r="C42" s="404" t="s">
        <v>1195</v>
      </c>
      <c r="D42" s="443" t="str">
        <f>'参照_概要'!$C$13&amp;"◆Collection Bonus"</f>
        <v>Mystic Matrimony◆Collection Bonus</v>
      </c>
      <c r="E42" s="444" t="s">
        <v>1306</v>
      </c>
      <c r="F42" s="431" t="s">
        <v>655</v>
      </c>
      <c r="G42" s="451"/>
      <c r="H42" s="447">
        <v>1.0</v>
      </c>
      <c r="I42" s="453"/>
      <c r="J42" s="453"/>
      <c r="K42" s="368"/>
      <c r="L42" s="368"/>
      <c r="M42" s="368"/>
    </row>
    <row r="43" ht="15.75" customHeight="1">
      <c r="A43" s="421"/>
      <c r="B43" s="411">
        <f t="shared" si="2"/>
        <v>31</v>
      </c>
      <c r="C43" s="404" t="s">
        <v>1195</v>
      </c>
      <c r="D43" s="443" t="str">
        <f>'参照_概要'!$C$13&amp;"◆Collection Bonus"</f>
        <v>Mystic Matrimony◆Collection Bonus</v>
      </c>
      <c r="E43" s="444" t="s">
        <v>1283</v>
      </c>
      <c r="F43" s="443" t="s">
        <v>652</v>
      </c>
      <c r="G43" s="451"/>
      <c r="H43" s="447">
        <v>1.0</v>
      </c>
      <c r="I43" s="453"/>
      <c r="J43" s="453"/>
      <c r="K43" s="368"/>
      <c r="L43" s="368"/>
      <c r="M43" s="368"/>
    </row>
    <row r="44" ht="15.75" customHeight="1">
      <c r="A44" s="421"/>
      <c r="B44" s="411">
        <f t="shared" si="2"/>
        <v>32</v>
      </c>
      <c r="C44" s="404" t="s">
        <v>1195</v>
      </c>
      <c r="D44" s="443" t="str">
        <f>'参照_概要'!$C$13&amp;"◆Collection Bonus"</f>
        <v>Mystic Matrimony◆Collection Bonus</v>
      </c>
      <c r="E44" s="444" t="s">
        <v>1278</v>
      </c>
      <c r="F44" s="443" t="s">
        <v>644</v>
      </c>
      <c r="G44" s="451"/>
      <c r="H44" s="447">
        <v>1.0</v>
      </c>
      <c r="I44" s="453"/>
      <c r="J44" s="453"/>
      <c r="K44" s="368"/>
      <c r="L44" s="368"/>
      <c r="M44" s="368"/>
    </row>
    <row r="45" ht="15.75" customHeight="1">
      <c r="A45" s="421"/>
      <c r="B45" s="411">
        <f t="shared" si="2"/>
        <v>33</v>
      </c>
      <c r="C45" s="404" t="s">
        <v>1195</v>
      </c>
      <c r="D45" s="443" t="str">
        <f>'参照_概要'!$C$13&amp;"◆Collection Bonus"</f>
        <v>Mystic Matrimony◆Collection Bonus</v>
      </c>
      <c r="E45" s="444" t="s">
        <v>1307</v>
      </c>
      <c r="F45" s="431" t="s">
        <v>656</v>
      </c>
      <c r="G45" s="451"/>
      <c r="H45" s="447">
        <v>1.0</v>
      </c>
      <c r="I45" s="453"/>
      <c r="J45" s="453"/>
      <c r="K45" s="368"/>
      <c r="L45" s="368"/>
      <c r="M45" s="368"/>
    </row>
    <row r="46" ht="15.75" customHeight="1">
      <c r="A46" s="421"/>
      <c r="B46" s="411">
        <f t="shared" si="2"/>
        <v>34</v>
      </c>
      <c r="C46" s="404" t="s">
        <v>1195</v>
      </c>
      <c r="D46" s="443" t="str">
        <f>'参照_概要'!$C$13&amp;"◆Collection Bonus"</f>
        <v>Mystic Matrimony◆Collection Bonus</v>
      </c>
      <c r="E46" s="444" t="s">
        <v>1281</v>
      </c>
      <c r="F46" s="443" t="s">
        <v>650</v>
      </c>
      <c r="G46" s="451"/>
      <c r="H46" s="447">
        <v>1.0</v>
      </c>
      <c r="I46" s="453"/>
      <c r="J46" s="453"/>
      <c r="K46" s="368"/>
      <c r="L46" s="368"/>
      <c r="M46" s="368"/>
    </row>
    <row r="47" ht="15.75" customHeight="1">
      <c r="A47" s="421"/>
      <c r="B47" s="411">
        <f t="shared" si="2"/>
        <v>35</v>
      </c>
      <c r="C47" s="404" t="s">
        <v>1195</v>
      </c>
      <c r="D47" s="443" t="str">
        <f>'参照_概要'!$C$13&amp;"◆Collection Bonus"</f>
        <v>Mystic Matrimony◆Collection Bonus</v>
      </c>
      <c r="E47" s="444" t="s">
        <v>1285</v>
      </c>
      <c r="F47" s="443" t="s">
        <v>649</v>
      </c>
      <c r="G47" s="451"/>
      <c r="H47" s="447">
        <v>1.0</v>
      </c>
      <c r="I47" s="453"/>
      <c r="J47" s="453"/>
      <c r="K47" s="368"/>
      <c r="L47" s="368"/>
      <c r="M47" s="368"/>
    </row>
    <row r="48" ht="15.75" customHeight="1">
      <c r="A48" s="421"/>
      <c r="B48" s="411">
        <f t="shared" si="2"/>
        <v>36</v>
      </c>
      <c r="C48" s="404" t="s">
        <v>1195</v>
      </c>
      <c r="D48" s="443" t="str">
        <f>'参照_概要'!$C$13&amp;"◆Collection Bonus"</f>
        <v>Mystic Matrimony◆Collection Bonus</v>
      </c>
      <c r="E48" s="444" t="s">
        <v>1279</v>
      </c>
      <c r="F48" s="443" t="s">
        <v>657</v>
      </c>
      <c r="G48" s="451"/>
      <c r="H48" s="447">
        <v>1.0</v>
      </c>
      <c r="I48" s="453"/>
      <c r="J48" s="453"/>
      <c r="K48" s="368"/>
      <c r="L48" s="368"/>
      <c r="M48" s="368"/>
    </row>
    <row r="49" ht="15.75" customHeight="1">
      <c r="A49" s="421"/>
      <c r="B49" s="411">
        <f t="shared" si="2"/>
        <v>37</v>
      </c>
      <c r="C49" s="404" t="s">
        <v>1195</v>
      </c>
      <c r="D49" s="443" t="str">
        <f>'参照_概要'!$C$13&amp;"◆Collection Bonus"</f>
        <v>Mystic Matrimony◆Collection Bonus</v>
      </c>
      <c r="E49" s="444" t="s">
        <v>1308</v>
      </c>
      <c r="F49" s="431" t="s">
        <v>658</v>
      </c>
      <c r="G49" s="451"/>
      <c r="H49" s="447">
        <v>1.0</v>
      </c>
      <c r="I49" s="453"/>
      <c r="J49" s="453"/>
      <c r="K49" s="368"/>
      <c r="L49" s="368"/>
      <c r="M49" s="368"/>
    </row>
    <row r="50" ht="15.75" customHeight="1">
      <c r="A50" s="421"/>
      <c r="B50" s="411">
        <f t="shared" si="2"/>
        <v>38</v>
      </c>
      <c r="C50" s="404" t="s">
        <v>1195</v>
      </c>
      <c r="D50" s="443" t="str">
        <f>'参照_概要'!$C$13&amp;"◆Collection Bonus"</f>
        <v>Mystic Matrimony◆Collection Bonus</v>
      </c>
      <c r="E50" s="444" t="s">
        <v>1280</v>
      </c>
      <c r="F50" s="443" t="s">
        <v>646</v>
      </c>
      <c r="G50" s="451"/>
      <c r="H50" s="447">
        <v>1.0</v>
      </c>
      <c r="I50" s="453"/>
      <c r="J50" s="453"/>
      <c r="K50" s="368"/>
      <c r="L50" s="368"/>
      <c r="M50" s="368"/>
    </row>
    <row r="51" ht="15.75" customHeight="1">
      <c r="A51" s="421"/>
      <c r="B51" s="411">
        <f t="shared" si="2"/>
        <v>39</v>
      </c>
      <c r="C51" s="404" t="s">
        <v>1195</v>
      </c>
      <c r="D51" s="443" t="str">
        <f>'参照_概要'!$C$13&amp;"◆Collection Bonus"</f>
        <v>Mystic Matrimony◆Collection Bonus</v>
      </c>
      <c r="E51" s="444" t="s">
        <v>1291</v>
      </c>
      <c r="F51" s="443" t="s">
        <v>481</v>
      </c>
      <c r="G51" s="451"/>
      <c r="H51" s="447">
        <v>1.0</v>
      </c>
      <c r="I51" s="453"/>
      <c r="J51" s="453"/>
      <c r="K51" s="368"/>
      <c r="L51" s="368"/>
      <c r="M51" s="368"/>
    </row>
    <row r="52" ht="15.75" customHeight="1">
      <c r="A52" s="421"/>
      <c r="B52" s="411">
        <f t="shared" si="2"/>
        <v>40</v>
      </c>
      <c r="C52" s="404" t="s">
        <v>1195</v>
      </c>
      <c r="D52" s="443" t="str">
        <f>'参照_概要'!$C$13&amp;"◆Collection Bonus"</f>
        <v>Mystic Matrimony◆Collection Bonus</v>
      </c>
      <c r="E52" s="444" t="s">
        <v>1295</v>
      </c>
      <c r="F52" s="443" t="s">
        <v>659</v>
      </c>
      <c r="G52" s="451"/>
      <c r="H52" s="447">
        <v>1.0</v>
      </c>
      <c r="I52" s="453"/>
      <c r="J52" s="453"/>
      <c r="K52" s="368"/>
      <c r="L52" s="368"/>
      <c r="M52" s="368"/>
    </row>
    <row r="53" ht="15.75" customHeight="1">
      <c r="A53" s="421"/>
      <c r="B53" s="411">
        <f t="shared" si="2"/>
        <v>41</v>
      </c>
      <c r="C53" s="404" t="s">
        <v>1195</v>
      </c>
      <c r="D53" s="443" t="str">
        <f>'参照_概要'!$C$13&amp;"◆Collection Bonus"</f>
        <v>Mystic Matrimony◆Collection Bonus</v>
      </c>
      <c r="E53" s="444" t="s">
        <v>1309</v>
      </c>
      <c r="F53" s="431" t="s">
        <v>660</v>
      </c>
      <c r="G53" s="451"/>
      <c r="H53" s="447">
        <v>1.0</v>
      </c>
      <c r="I53" s="453"/>
      <c r="J53" s="453"/>
      <c r="K53" s="368"/>
      <c r="L53" s="368"/>
      <c r="M53" s="368"/>
    </row>
    <row r="54" ht="15.75" customHeight="1">
      <c r="A54" s="421"/>
      <c r="B54" s="411">
        <f t="shared" si="2"/>
        <v>42</v>
      </c>
      <c r="C54" s="404" t="s">
        <v>1195</v>
      </c>
      <c r="D54" s="443" t="str">
        <f>'参照_概要'!$C$13&amp;"◆Collection Bonus"</f>
        <v>Mystic Matrimony◆Collection Bonus</v>
      </c>
      <c r="E54" s="444" t="s">
        <v>1281</v>
      </c>
      <c r="F54" s="443" t="s">
        <v>650</v>
      </c>
      <c r="G54" s="451"/>
      <c r="H54" s="447">
        <v>1.0</v>
      </c>
      <c r="I54" s="453"/>
      <c r="J54" s="453"/>
      <c r="K54" s="368"/>
      <c r="L54" s="368"/>
      <c r="M54" s="368"/>
    </row>
    <row r="55" ht="15.75" customHeight="1">
      <c r="A55" s="421"/>
      <c r="B55" s="411">
        <f t="shared" si="2"/>
        <v>43</v>
      </c>
      <c r="C55" s="404" t="s">
        <v>1195</v>
      </c>
      <c r="D55" s="443" t="str">
        <f>'参照_概要'!$C$13&amp;"◆Collection Bonus"</f>
        <v>Mystic Matrimony◆Collection Bonus</v>
      </c>
      <c r="E55" s="444" t="s">
        <v>1294</v>
      </c>
      <c r="F55" s="443" t="s">
        <v>654</v>
      </c>
      <c r="G55" s="451"/>
      <c r="H55" s="447">
        <v>1.0</v>
      </c>
      <c r="I55" s="453"/>
      <c r="J55" s="453"/>
      <c r="K55" s="368"/>
      <c r="L55" s="368"/>
      <c r="M55" s="368"/>
    </row>
    <row r="56" ht="15.75" customHeight="1">
      <c r="A56" s="421"/>
      <c r="B56" s="411">
        <f t="shared" si="2"/>
        <v>44</v>
      </c>
      <c r="C56" s="404" t="s">
        <v>1195</v>
      </c>
      <c r="D56" s="443" t="str">
        <f>'参照_概要'!$C$13&amp;"◆Collection Bonus"</f>
        <v>Mystic Matrimony◆Collection Bonus</v>
      </c>
      <c r="E56" s="444" t="s">
        <v>1310</v>
      </c>
      <c r="F56" s="431" t="s">
        <v>661</v>
      </c>
      <c r="G56" s="451"/>
      <c r="H56" s="447">
        <v>1.0</v>
      </c>
      <c r="I56" s="453"/>
      <c r="J56" s="453"/>
      <c r="K56" s="368"/>
      <c r="L56" s="368"/>
      <c r="M56" s="368"/>
    </row>
    <row r="57" ht="15.75" customHeight="1">
      <c r="A57" s="421"/>
      <c r="B57" s="411">
        <f t="shared" si="2"/>
        <v>45</v>
      </c>
      <c r="C57" s="404" t="s">
        <v>1195</v>
      </c>
      <c r="D57" s="443" t="str">
        <f>'参照_概要'!$C$13&amp;"◆Collection Bonus"</f>
        <v>Mystic Matrimony◆Collection Bonus</v>
      </c>
      <c r="E57" s="444" t="s">
        <v>1291</v>
      </c>
      <c r="F57" s="443" t="s">
        <v>481</v>
      </c>
      <c r="G57" s="451"/>
      <c r="H57" s="447">
        <v>1.0</v>
      </c>
      <c r="I57" s="453"/>
      <c r="J57" s="453"/>
      <c r="K57" s="368"/>
      <c r="L57" s="368"/>
      <c r="M57" s="368"/>
    </row>
    <row r="58" ht="15.75" customHeight="1">
      <c r="A58" s="421"/>
      <c r="B58" s="411">
        <f t="shared" si="2"/>
        <v>46</v>
      </c>
      <c r="C58" s="404" t="s">
        <v>1195</v>
      </c>
      <c r="D58" s="443" t="str">
        <f>'参照_概要'!$C$13&amp;"◆Collection Bonus"</f>
        <v>Mystic Matrimony◆Collection Bonus</v>
      </c>
      <c r="E58" s="444" t="s">
        <v>1284</v>
      </c>
      <c r="F58" s="443" t="s">
        <v>662</v>
      </c>
      <c r="G58" s="451"/>
      <c r="H58" s="447">
        <v>1.0</v>
      </c>
      <c r="I58" s="453"/>
      <c r="J58" s="453"/>
      <c r="K58" s="368"/>
      <c r="L58" s="368"/>
      <c r="M58" s="368"/>
    </row>
    <row r="59" ht="15.75" customHeight="1">
      <c r="A59" s="421"/>
      <c r="B59" s="411">
        <f t="shared" si="2"/>
        <v>47</v>
      </c>
      <c r="C59" s="404" t="s">
        <v>1195</v>
      </c>
      <c r="D59" s="443" t="str">
        <f>'参照_概要'!$C$13&amp;"◆Collection Bonus"</f>
        <v>Mystic Matrimony◆Collection Bonus</v>
      </c>
      <c r="E59" s="444" t="s">
        <v>1296</v>
      </c>
      <c r="F59" s="443" t="s">
        <v>663</v>
      </c>
      <c r="G59" s="451"/>
      <c r="H59" s="447">
        <v>1.0</v>
      </c>
      <c r="I59" s="453"/>
      <c r="J59" s="453"/>
      <c r="K59" s="368"/>
      <c r="L59" s="368"/>
      <c r="M59" s="368"/>
    </row>
    <row r="60" ht="15.75" customHeight="1">
      <c r="A60" s="421"/>
      <c r="B60" s="411">
        <f t="shared" si="2"/>
        <v>48</v>
      </c>
      <c r="C60" s="404" t="s">
        <v>1195</v>
      </c>
      <c r="D60" s="443" t="str">
        <f>'参照_概要'!$C$13&amp;"◆Collection Bonus"</f>
        <v>Mystic Matrimony◆Collection Bonus</v>
      </c>
      <c r="E60" s="444" t="s">
        <v>1311</v>
      </c>
      <c r="F60" s="431" t="s">
        <v>664</v>
      </c>
      <c r="G60" s="451"/>
      <c r="H60" s="447">
        <v>1.0</v>
      </c>
      <c r="I60" s="453"/>
      <c r="J60" s="453"/>
      <c r="K60" s="368"/>
      <c r="L60" s="368"/>
      <c r="M60" s="368"/>
    </row>
    <row r="61" ht="15.75" customHeight="1">
      <c r="A61" s="421"/>
      <c r="B61" s="411">
        <f t="shared" si="2"/>
        <v>49</v>
      </c>
      <c r="C61" s="404" t="s">
        <v>1195</v>
      </c>
      <c r="D61" s="443" t="str">
        <f>'参照_概要'!$C$13&amp;"◆Collection Bonus"</f>
        <v>Mystic Matrimony◆Collection Bonus</v>
      </c>
      <c r="E61" s="444" t="s">
        <v>1279</v>
      </c>
      <c r="F61" s="443" t="s">
        <v>657</v>
      </c>
      <c r="G61" s="451"/>
      <c r="H61" s="447">
        <v>1.0</v>
      </c>
      <c r="I61" s="453"/>
      <c r="J61" s="453"/>
      <c r="K61" s="368"/>
      <c r="L61" s="368"/>
      <c r="M61" s="368"/>
    </row>
    <row r="62" ht="15.75" customHeight="1">
      <c r="A62" s="421"/>
      <c r="B62" s="411">
        <f t="shared" si="2"/>
        <v>50</v>
      </c>
      <c r="C62" s="404" t="s">
        <v>1195</v>
      </c>
      <c r="D62" s="443" t="str">
        <f>'参照_概要'!$C$13&amp;"◆Collection Bonus"</f>
        <v>Mystic Matrimony◆Collection Bonus</v>
      </c>
      <c r="E62" s="444" t="s">
        <v>1280</v>
      </c>
      <c r="F62" s="443" t="s">
        <v>646</v>
      </c>
      <c r="G62" s="451"/>
      <c r="H62" s="447">
        <v>1.0</v>
      </c>
      <c r="I62" s="453"/>
      <c r="J62" s="453"/>
      <c r="K62" s="368"/>
      <c r="L62" s="368"/>
      <c r="M62" s="368"/>
    </row>
    <row r="63" ht="15.75" customHeight="1">
      <c r="A63" s="421"/>
      <c r="B63" s="411">
        <f t="shared" si="2"/>
        <v>51</v>
      </c>
      <c r="C63" s="404" t="s">
        <v>1195</v>
      </c>
      <c r="D63" s="443" t="str">
        <f>'参照_概要'!$C$13&amp;"◆Collection Bonus"</f>
        <v>Mystic Matrimony◆Collection Bonus</v>
      </c>
      <c r="E63" s="444" t="s">
        <v>1312</v>
      </c>
      <c r="F63" s="431" t="s">
        <v>665</v>
      </c>
      <c r="G63" s="451"/>
      <c r="H63" s="447">
        <v>1.0</v>
      </c>
      <c r="I63" s="453"/>
      <c r="J63" s="453"/>
      <c r="K63" s="368"/>
      <c r="L63" s="368"/>
      <c r="M63" s="368"/>
    </row>
    <row r="64" ht="15.75" customHeight="1">
      <c r="A64" s="421"/>
      <c r="B64" s="411">
        <f t="shared" si="2"/>
        <v>52</v>
      </c>
      <c r="C64" s="404" t="s">
        <v>1195</v>
      </c>
      <c r="D64" s="443" t="str">
        <f>'参照_概要'!$C$13&amp;"◆Collection Bonus"</f>
        <v>Mystic Matrimony◆Collection Bonus</v>
      </c>
      <c r="E64" s="444" t="s">
        <v>1297</v>
      </c>
      <c r="F64" s="443" t="s">
        <v>666</v>
      </c>
      <c r="G64" s="451"/>
      <c r="H64" s="447">
        <v>1.0</v>
      </c>
      <c r="I64" s="453"/>
      <c r="J64" s="453"/>
      <c r="K64" s="368"/>
      <c r="L64" s="368"/>
      <c r="M64" s="368"/>
    </row>
    <row r="65" ht="15.75" customHeight="1">
      <c r="A65" s="421"/>
      <c r="B65" s="411">
        <f t="shared" si="2"/>
        <v>53</v>
      </c>
      <c r="C65" s="404" t="s">
        <v>1195</v>
      </c>
      <c r="D65" s="443" t="str">
        <f>'参照_概要'!$C$13&amp;"◆Collection Bonus"</f>
        <v>Mystic Matrimony◆Collection Bonus</v>
      </c>
      <c r="E65" s="444" t="s">
        <v>1280</v>
      </c>
      <c r="F65" s="443" t="s">
        <v>646</v>
      </c>
      <c r="G65" s="451"/>
      <c r="H65" s="447">
        <v>1.0</v>
      </c>
      <c r="I65" s="453"/>
      <c r="J65" s="453"/>
      <c r="K65" s="368"/>
      <c r="L65" s="368"/>
      <c r="M65" s="368"/>
    </row>
    <row r="66" ht="15.75" customHeight="1">
      <c r="A66" s="421"/>
      <c r="B66" s="411">
        <f t="shared" si="2"/>
        <v>54</v>
      </c>
      <c r="C66" s="404" t="s">
        <v>1195</v>
      </c>
      <c r="D66" s="443" t="str">
        <f>'参照_概要'!$C$13&amp;"◆Collection Bonus"</f>
        <v>Mystic Matrimony◆Collection Bonus</v>
      </c>
      <c r="E66" s="444" t="s">
        <v>1313</v>
      </c>
      <c r="F66" s="431" t="s">
        <v>667</v>
      </c>
      <c r="G66" s="451"/>
      <c r="H66" s="447">
        <v>1.0</v>
      </c>
      <c r="I66" s="453"/>
      <c r="J66" s="453"/>
      <c r="K66" s="368"/>
      <c r="L66" s="368"/>
      <c r="M66" s="368"/>
    </row>
    <row r="67" ht="15.75" customHeight="1">
      <c r="A67" s="421"/>
      <c r="B67" s="411">
        <f t="shared" si="2"/>
        <v>55</v>
      </c>
      <c r="C67" s="404" t="s">
        <v>1195</v>
      </c>
      <c r="D67" s="443" t="str">
        <f>'参照_概要'!$C$13&amp;"◆Collection Bonus"</f>
        <v>Mystic Matrimony◆Collection Bonus</v>
      </c>
      <c r="E67" s="444" t="s">
        <v>1280</v>
      </c>
      <c r="F67" s="443" t="s">
        <v>646</v>
      </c>
      <c r="G67" s="451"/>
      <c r="H67" s="447">
        <v>1.0</v>
      </c>
      <c r="I67" s="453"/>
      <c r="J67" s="453"/>
      <c r="K67" s="368"/>
      <c r="L67" s="368"/>
      <c r="M67" s="368"/>
    </row>
    <row r="68" ht="15.75" customHeight="1">
      <c r="A68" s="421"/>
      <c r="B68" s="411">
        <f t="shared" si="2"/>
        <v>56</v>
      </c>
      <c r="C68" s="404" t="s">
        <v>1195</v>
      </c>
      <c r="D68" s="443" t="str">
        <f>'参照_概要'!$C$13&amp;"◆Collection Bonus"</f>
        <v>Mystic Matrimony◆Collection Bonus</v>
      </c>
      <c r="E68" s="444" t="s">
        <v>1277</v>
      </c>
      <c r="F68" s="443" t="s">
        <v>636</v>
      </c>
      <c r="G68" s="451"/>
      <c r="H68" s="447">
        <v>1.0</v>
      </c>
      <c r="I68" s="453"/>
      <c r="J68" s="453"/>
      <c r="K68" s="368"/>
      <c r="L68" s="368"/>
      <c r="M68" s="368"/>
    </row>
    <row r="69" ht="15.75" customHeight="1">
      <c r="A69" s="421"/>
      <c r="B69" s="411">
        <f t="shared" si="2"/>
        <v>57</v>
      </c>
      <c r="C69" s="404" t="s">
        <v>1195</v>
      </c>
      <c r="D69" s="443" t="str">
        <f>'参照_概要'!$C$13&amp;"◆Collection Bonus"</f>
        <v>Mystic Matrimony◆Collection Bonus</v>
      </c>
      <c r="E69" s="444" t="s">
        <v>1314</v>
      </c>
      <c r="F69" s="431" t="s">
        <v>668</v>
      </c>
      <c r="G69" s="451"/>
      <c r="H69" s="447">
        <v>1.0</v>
      </c>
      <c r="I69" s="453"/>
      <c r="J69" s="453"/>
      <c r="K69" s="368"/>
      <c r="L69" s="368"/>
      <c r="M69" s="368"/>
    </row>
    <row r="70" ht="15.75" customHeight="1">
      <c r="A70" s="421"/>
      <c r="B70" s="411">
        <f t="shared" si="2"/>
        <v>58</v>
      </c>
      <c r="C70" s="404" t="s">
        <v>1195</v>
      </c>
      <c r="D70" s="443" t="str">
        <f>'参照_概要'!$C$13&amp;"◆Collection Bonus"</f>
        <v>Mystic Matrimony◆Collection Bonus</v>
      </c>
      <c r="E70" s="444" t="s">
        <v>1292</v>
      </c>
      <c r="F70" s="443" t="s">
        <v>669</v>
      </c>
      <c r="G70" s="451"/>
      <c r="H70" s="447">
        <v>1.0</v>
      </c>
      <c r="I70" s="453"/>
      <c r="J70" s="453"/>
      <c r="K70" s="368"/>
      <c r="L70" s="368"/>
      <c r="M70" s="368"/>
    </row>
    <row r="71" ht="15.75" customHeight="1">
      <c r="A71" s="421"/>
      <c r="B71" s="411">
        <f t="shared" si="2"/>
        <v>59</v>
      </c>
      <c r="C71" s="404" t="s">
        <v>1195</v>
      </c>
      <c r="D71" s="443" t="str">
        <f>'参照_概要'!$C$13&amp;"◆Collection Bonus"</f>
        <v>Mystic Matrimony◆Collection Bonus</v>
      </c>
      <c r="E71" s="444" t="s">
        <v>1315</v>
      </c>
      <c r="F71" s="431" t="s">
        <v>670</v>
      </c>
      <c r="G71" s="451"/>
      <c r="H71" s="447">
        <v>1.0</v>
      </c>
      <c r="I71" s="453"/>
      <c r="J71" s="453"/>
      <c r="K71" s="368"/>
      <c r="L71" s="368"/>
      <c r="M71" s="368"/>
    </row>
    <row r="72" ht="15.75" customHeight="1">
      <c r="A72" s="421"/>
      <c r="B72" s="411">
        <f t="shared" si="2"/>
        <v>60</v>
      </c>
      <c r="C72" s="404" t="s">
        <v>1195</v>
      </c>
      <c r="D72" s="443" t="str">
        <f>'参照_概要'!$C$13&amp;"◆Collection Bonus"</f>
        <v>Mystic Matrimony◆Collection Bonus</v>
      </c>
      <c r="E72" s="444" t="s">
        <v>1316</v>
      </c>
      <c r="F72" s="431" t="s">
        <v>671</v>
      </c>
      <c r="G72" s="451"/>
      <c r="H72" s="447">
        <v>1.0</v>
      </c>
      <c r="I72" s="453"/>
      <c r="J72" s="453"/>
      <c r="K72" s="368"/>
      <c r="L72" s="368"/>
      <c r="M72" s="368"/>
    </row>
    <row r="73" ht="15.75" customHeight="1">
      <c r="A73" s="421"/>
      <c r="B73" s="411">
        <f t="shared" si="2"/>
        <v>61</v>
      </c>
      <c r="C73" s="404" t="s">
        <v>1195</v>
      </c>
      <c r="D73" s="443" t="str">
        <f>'参照_概要'!$C$13&amp;"◆Collection Bonus"</f>
        <v>Mystic Matrimony◆Collection Bonus</v>
      </c>
      <c r="E73" s="444" t="s">
        <v>1298</v>
      </c>
      <c r="F73" s="443" t="s">
        <v>672</v>
      </c>
      <c r="G73" s="451"/>
      <c r="H73" s="447">
        <v>1.0</v>
      </c>
      <c r="I73" s="453"/>
      <c r="J73" s="453"/>
      <c r="K73" s="368"/>
      <c r="L73" s="368"/>
      <c r="M73" s="368"/>
    </row>
    <row r="74" ht="15.75" customHeight="1">
      <c r="A74" s="421"/>
      <c r="B74" s="411">
        <f t="shared" si="2"/>
        <v>62</v>
      </c>
      <c r="C74" s="404" t="s">
        <v>1195</v>
      </c>
      <c r="D74" s="443" t="str">
        <f>'参照_概要'!$C$13&amp;"◆Collection Bonus"</f>
        <v>Mystic Matrimony◆Collection Bonus</v>
      </c>
      <c r="E74" s="444" t="s">
        <v>1317</v>
      </c>
      <c r="F74" s="431" t="s">
        <v>673</v>
      </c>
      <c r="G74" s="451"/>
      <c r="H74" s="447">
        <v>1.0</v>
      </c>
      <c r="I74" s="453"/>
      <c r="J74" s="453"/>
      <c r="K74" s="422"/>
    </row>
    <row r="75" ht="15.75" customHeight="1">
      <c r="A75" s="421"/>
      <c r="B75" s="411">
        <f t="shared" si="2"/>
        <v>63</v>
      </c>
      <c r="C75" s="404" t="s">
        <v>1195</v>
      </c>
      <c r="D75" s="443" t="str">
        <f>'参照_概要'!$C$13&amp;"◆Collection Bonus"</f>
        <v>Mystic Matrimony◆Collection Bonus</v>
      </c>
      <c r="E75" s="444" t="s">
        <v>1318</v>
      </c>
      <c r="F75" s="431" t="s">
        <v>674</v>
      </c>
      <c r="G75" s="451"/>
      <c r="H75" s="447">
        <v>1.0</v>
      </c>
      <c r="I75" s="453"/>
      <c r="J75" s="453"/>
      <c r="K75" s="422"/>
    </row>
    <row r="76" ht="15.75" hidden="1" customHeight="1">
      <c r="A76" s="421"/>
      <c r="B76" s="411">
        <f t="shared" si="2"/>
        <v>64</v>
      </c>
      <c r="C76" s="404" t="s">
        <v>1195</v>
      </c>
      <c r="D76" s="443" t="s">
        <v>1319</v>
      </c>
      <c r="E76" s="47" t="s">
        <v>1320</v>
      </c>
      <c r="F76" s="443"/>
      <c r="G76" s="451"/>
      <c r="H76" s="447">
        <v>1.0</v>
      </c>
      <c r="I76" s="453"/>
      <c r="J76" s="453"/>
      <c r="K76" s="422"/>
    </row>
    <row r="77" ht="15.75" customHeight="1">
      <c r="A77" s="421"/>
      <c r="B77" s="411">
        <f t="shared" si="2"/>
        <v>65</v>
      </c>
      <c r="C77" s="452" t="s">
        <v>312</v>
      </c>
      <c r="D77" s="449"/>
      <c r="E77" s="47" t="s">
        <v>934</v>
      </c>
      <c r="F77" s="443" t="s">
        <v>934</v>
      </c>
      <c r="G77" s="451"/>
      <c r="H77" s="447" t="s">
        <v>934</v>
      </c>
      <c r="I77" s="453"/>
      <c r="J77" s="453"/>
      <c r="K77" s="422"/>
    </row>
    <row r="78" ht="15.75" customHeight="1">
      <c r="A78" s="421"/>
      <c r="B78" s="411">
        <f t="shared" si="2"/>
        <v>66</v>
      </c>
      <c r="C78" s="452" t="s">
        <v>1321</v>
      </c>
      <c r="D78" s="449" t="s">
        <v>375</v>
      </c>
      <c r="E78" s="95" t="s">
        <v>1322</v>
      </c>
      <c r="F78" s="431" t="s">
        <v>484</v>
      </c>
      <c r="G78" s="455" t="s">
        <v>1323</v>
      </c>
      <c r="H78" s="447">
        <v>1.0</v>
      </c>
      <c r="I78" s="408">
        <f>'参照_概要'!$C$17</f>
        <v>46074.70833</v>
      </c>
      <c r="J78" s="408">
        <f>'参照_概要'!$D$17</f>
        <v>46080.70833</v>
      </c>
      <c r="K78" s="95">
        <v>500.0</v>
      </c>
      <c r="L78" s="95" t="s">
        <v>606</v>
      </c>
      <c r="M78" s="456" t="str">
        <f>IFERROR(__xludf.DUMMYFUNCTION("""Until ""&amp;TO_TEXT(N78)&amp;""(顯示的時間會因地區而異) 
・Finish reading Chapter 13 of Yoshimoto's Main Route
・Use 500 Hearts"""),"Until 02/27 17:00(顯示的時間會因地區而異) 
・Finish reading Chapter 13 of Yoshimoto's Main Route
・Use 500 Hearts")</f>
        <v>Until 02/27 17:00(顯示的時間會因地區而異) 
・Finish reading Chapter 13 of Yoshimoto's Main Route
・Use 500 Hearts</v>
      </c>
      <c r="N78" s="457">
        <f t="shared" ref="N78:N81" si="3">J78</f>
        <v>46080.70833</v>
      </c>
    </row>
    <row r="79" ht="15.75" customHeight="1">
      <c r="A79" s="421"/>
      <c r="B79" s="411">
        <f t="shared" si="2"/>
        <v>67</v>
      </c>
      <c r="C79" s="452" t="s">
        <v>1321</v>
      </c>
      <c r="D79" s="449" t="s">
        <v>375</v>
      </c>
      <c r="E79" s="95" t="s">
        <v>1324</v>
      </c>
      <c r="F79" s="431" t="s">
        <v>488</v>
      </c>
      <c r="G79" s="455" t="s">
        <v>1323</v>
      </c>
      <c r="H79" s="447">
        <v>1.0</v>
      </c>
      <c r="I79" s="408">
        <f>'参照_概要'!$C$17</f>
        <v>46074.70833</v>
      </c>
      <c r="J79" s="408">
        <f>'参照_概要'!$D$17</f>
        <v>46080.70833</v>
      </c>
      <c r="K79" s="95">
        <v>500.0</v>
      </c>
      <c r="L79" s="95" t="s">
        <v>608</v>
      </c>
      <c r="M79" s="456" t="str">
        <f>IFERROR(__xludf.DUMMYFUNCTION("""Until ""&amp;TO_TEXT(N79)&amp;""(顯示的時間會因地區而異) 
・Finish reading Chapter 13 of Motonari's Main Route
・Use 500 Hearts"""),"Until 02/27 17:00(顯示的時間會因地區而異) 
・Finish reading Chapter 13 of Motonari's Main Route
・Use 500 Hearts")</f>
        <v>Until 02/27 17:00(顯示的時間會因地區而異) 
・Finish reading Chapter 13 of Motonari's Main Route
・Use 500 Hearts</v>
      </c>
      <c r="N79" s="457">
        <f t="shared" si="3"/>
        <v>46080.70833</v>
      </c>
    </row>
    <row r="80" ht="15.75" customHeight="1">
      <c r="A80" s="421"/>
      <c r="B80" s="411">
        <f t="shared" si="2"/>
        <v>68</v>
      </c>
      <c r="C80" s="452" t="s">
        <v>1321</v>
      </c>
      <c r="D80" s="449" t="s">
        <v>375</v>
      </c>
      <c r="E80" s="95" t="s">
        <v>1325</v>
      </c>
      <c r="F80" s="431" t="s">
        <v>491</v>
      </c>
      <c r="G80" s="455" t="s">
        <v>1323</v>
      </c>
      <c r="H80" s="447">
        <v>1.0</v>
      </c>
      <c r="I80" s="408">
        <f>'参照_概要'!$C$17</f>
        <v>46074.70833</v>
      </c>
      <c r="J80" s="408">
        <f>'参照_概要'!$D$17</f>
        <v>46080.70833</v>
      </c>
      <c r="K80" s="95">
        <v>500.0</v>
      </c>
      <c r="L80" s="95" t="s">
        <v>816</v>
      </c>
      <c r="M80" s="456" t="str">
        <f>IFERROR(__xludf.DUMMYFUNCTION("""Until ""&amp;TO_TEXT(N80)&amp;""(顯示的時間會因地區而異) 
・Finish reading Chapter 13 of Kanetsugu's Main Route
・Use 500 Hearts"""),"Until 02/27 17:00(顯示的時間會因地區而異) 
・Finish reading Chapter 13 of Kanetsugu's Main Route
・Use 500 Hearts")</f>
        <v>Until 02/27 17:00(顯示的時間會因地區而異) 
・Finish reading Chapter 13 of Kanetsugu's Main Route
・Use 500 Hearts</v>
      </c>
      <c r="N80" s="457">
        <f t="shared" si="3"/>
        <v>46080.70833</v>
      </c>
    </row>
    <row r="81" ht="15.75" customHeight="1">
      <c r="A81" s="421"/>
      <c r="B81" s="411">
        <f t="shared" si="2"/>
        <v>69</v>
      </c>
      <c r="C81" s="452" t="s">
        <v>1321</v>
      </c>
      <c r="D81" s="449" t="s">
        <v>375</v>
      </c>
      <c r="E81" s="95" t="s">
        <v>1326</v>
      </c>
      <c r="F81" s="431" t="s">
        <v>494</v>
      </c>
      <c r="G81" s="455" t="s">
        <v>1323</v>
      </c>
      <c r="H81" s="447">
        <v>1.0</v>
      </c>
      <c r="I81" s="408">
        <f>'参照_概要'!$C$17</f>
        <v>46074.70833</v>
      </c>
      <c r="J81" s="408">
        <f>'参照_概要'!$D$17</f>
        <v>46080.70833</v>
      </c>
      <c r="K81" s="95">
        <v>500.0</v>
      </c>
      <c r="L81" s="95" t="s">
        <v>529</v>
      </c>
      <c r="M81" s="456" t="str">
        <f>IFERROR(__xludf.DUMMYFUNCTION("""Until ""&amp;TO_TEXT(N81)&amp;""(顯示的時間會因地區而異) 
・Finish reading Chapter 13 of Kicho's Main Route
・Use 500 Hearts"""),"Until 02/27 17:00(顯示的時間會因地區而異) 
・Finish reading Chapter 13 of Kicho's Main Route
・Use 500 Hearts")</f>
        <v>Until 02/27 17:00(顯示的時間會因地區而異) 
・Finish reading Chapter 13 of Kicho's Main Route
・Use 500 Hearts</v>
      </c>
      <c r="N81" s="457">
        <f t="shared" si="3"/>
        <v>46080.70833</v>
      </c>
    </row>
    <row r="82" ht="15.75" customHeight="1">
      <c r="A82" s="421"/>
      <c r="B82" s="411">
        <f t="shared" si="2"/>
        <v>70</v>
      </c>
      <c r="C82" s="452" t="s">
        <v>1327</v>
      </c>
      <c r="D82" s="449" t="str">
        <f>'参照_概要'!$C$13&amp;" Special Collection Bonus"</f>
        <v>Mystic Matrimony Special Collection Bonus</v>
      </c>
      <c r="E82" s="95" t="s">
        <v>1328</v>
      </c>
      <c r="F82" s="431" t="s">
        <v>1329</v>
      </c>
      <c r="G82" s="455" t="str">
        <f t="shared" ref="G82:G99" si="4">"コレクトアイテム"&amp;K82&amp;"個使用"</f>
        <v>コレクトアイテム600個使用</v>
      </c>
      <c r="H82" s="447">
        <v>1.0</v>
      </c>
      <c r="I82" s="451"/>
      <c r="J82" s="451"/>
      <c r="K82" s="28">
        <v>600.0</v>
      </c>
    </row>
    <row r="83" ht="15.75" customHeight="1">
      <c r="A83" s="421"/>
      <c r="B83" s="411">
        <f t="shared" si="2"/>
        <v>71</v>
      </c>
      <c r="C83" s="452" t="s">
        <v>1327</v>
      </c>
      <c r="D83" s="449" t="str">
        <f>'参照_概要'!$C$13&amp;" Special Collection Bonus"</f>
        <v>Mystic Matrimony Special Collection Bonus</v>
      </c>
      <c r="E83" s="95" t="s">
        <v>1330</v>
      </c>
      <c r="F83" s="431" t="s">
        <v>422</v>
      </c>
      <c r="G83" s="455" t="str">
        <f t="shared" si="4"/>
        <v>コレクトアイテム600個使用</v>
      </c>
      <c r="H83" s="447">
        <v>1.0</v>
      </c>
      <c r="I83" s="451"/>
      <c r="J83" s="451"/>
      <c r="K83" s="28">
        <v>600.0</v>
      </c>
    </row>
    <row r="84" ht="15.75" customHeight="1">
      <c r="A84" s="421"/>
      <c r="B84" s="411">
        <f t="shared" si="2"/>
        <v>72</v>
      </c>
      <c r="C84" s="452" t="s">
        <v>1327</v>
      </c>
      <c r="D84" s="449" t="str">
        <f>'参照_概要'!$C$13&amp;" Special Collection Bonus"</f>
        <v>Mystic Matrimony Special Collection Bonus</v>
      </c>
      <c r="E84" s="95" t="s">
        <v>695</v>
      </c>
      <c r="F84" s="431" t="s">
        <v>1248</v>
      </c>
      <c r="G84" s="455" t="str">
        <f t="shared" si="4"/>
        <v>コレクトアイテム650個使用</v>
      </c>
      <c r="H84" s="447">
        <v>1.0</v>
      </c>
      <c r="I84" s="451"/>
      <c r="J84" s="451"/>
      <c r="K84" s="34">
        <v>650.0</v>
      </c>
    </row>
    <row r="85" ht="15.75" customHeight="1">
      <c r="A85" s="421"/>
      <c r="B85" s="411">
        <f t="shared" si="2"/>
        <v>73</v>
      </c>
      <c r="C85" s="452" t="s">
        <v>1327</v>
      </c>
      <c r="D85" s="449" t="str">
        <f>'参照_概要'!$C$13&amp;" Special Collection Bonus"</f>
        <v>Mystic Matrimony Special Collection Bonus</v>
      </c>
      <c r="E85" s="95" t="s">
        <v>1331</v>
      </c>
      <c r="F85" s="431" t="s">
        <v>974</v>
      </c>
      <c r="G85" s="455" t="str">
        <f t="shared" si="4"/>
        <v>コレクトアイテム700個使用</v>
      </c>
      <c r="H85" s="447">
        <v>1.0</v>
      </c>
      <c r="I85" s="451"/>
      <c r="J85" s="451"/>
      <c r="K85" s="34">
        <v>700.0</v>
      </c>
    </row>
    <row r="86" ht="15.75" customHeight="1">
      <c r="A86" s="421"/>
      <c r="B86" s="411">
        <f t="shared" si="2"/>
        <v>74</v>
      </c>
      <c r="C86" s="452" t="s">
        <v>1327</v>
      </c>
      <c r="D86" s="449" t="str">
        <f>'参照_概要'!$C$13&amp;" Special Collection Bonus"</f>
        <v>Mystic Matrimony Special Collection Bonus</v>
      </c>
      <c r="E86" s="95" t="s">
        <v>1332</v>
      </c>
      <c r="F86" s="431" t="s">
        <v>428</v>
      </c>
      <c r="G86" s="455" t="str">
        <f t="shared" si="4"/>
        <v>コレクトアイテム700個使用</v>
      </c>
      <c r="H86" s="447">
        <v>1.0</v>
      </c>
      <c r="I86" s="451"/>
      <c r="J86" s="451"/>
      <c r="K86" s="34">
        <v>700.0</v>
      </c>
    </row>
    <row r="87" ht="15.75" customHeight="1">
      <c r="A87" s="421"/>
      <c r="B87" s="411">
        <f t="shared" si="2"/>
        <v>75</v>
      </c>
      <c r="C87" s="452" t="s">
        <v>1327</v>
      </c>
      <c r="D87" s="449" t="str">
        <f>'参照_概要'!$C$13&amp;" Special Collection Bonus"</f>
        <v>Mystic Matrimony Special Collection Bonus</v>
      </c>
      <c r="E87" s="95" t="s">
        <v>695</v>
      </c>
      <c r="F87" s="431" t="s">
        <v>1247</v>
      </c>
      <c r="G87" s="455" t="str">
        <f t="shared" si="4"/>
        <v>コレクトアイテム750個使用</v>
      </c>
      <c r="H87" s="447">
        <v>1.0</v>
      </c>
      <c r="I87" s="451"/>
      <c r="J87" s="451"/>
      <c r="K87" s="34">
        <v>750.0</v>
      </c>
    </row>
    <row r="88" ht="15.75" customHeight="1">
      <c r="A88" s="421"/>
      <c r="B88" s="411">
        <f t="shared" si="2"/>
        <v>76</v>
      </c>
      <c r="C88" s="452" t="s">
        <v>1327</v>
      </c>
      <c r="D88" s="449" t="str">
        <f>'参照_概要'!$C$13&amp;" Special Collection Bonus"</f>
        <v>Mystic Matrimony Special Collection Bonus</v>
      </c>
      <c r="E88" s="95" t="s">
        <v>695</v>
      </c>
      <c r="F88" s="431" t="s">
        <v>1246</v>
      </c>
      <c r="G88" s="455" t="str">
        <f t="shared" si="4"/>
        <v>コレクトアイテム800個使用</v>
      </c>
      <c r="H88" s="447">
        <v>1.0</v>
      </c>
      <c r="I88" s="451"/>
      <c r="J88" s="451"/>
      <c r="K88" s="34">
        <v>800.0</v>
      </c>
    </row>
    <row r="89" ht="15.75" customHeight="1">
      <c r="A89" s="421"/>
      <c r="B89" s="411">
        <f t="shared" si="2"/>
        <v>77</v>
      </c>
      <c r="C89" s="452" t="s">
        <v>1327</v>
      </c>
      <c r="D89" s="449" t="str">
        <f>'参照_概要'!$C$13&amp;" Special Collection Bonus"</f>
        <v>Mystic Matrimony Special Collection Bonus</v>
      </c>
      <c r="E89" s="95" t="s">
        <v>1333</v>
      </c>
      <c r="F89" s="431" t="s">
        <v>972</v>
      </c>
      <c r="G89" s="455" t="str">
        <f t="shared" si="4"/>
        <v>コレクトアイテム800個使用</v>
      </c>
      <c r="H89" s="447">
        <v>1.0</v>
      </c>
      <c r="I89" s="451"/>
      <c r="J89" s="451"/>
      <c r="K89" s="34">
        <v>800.0</v>
      </c>
    </row>
    <row r="90" ht="15.75" customHeight="1">
      <c r="A90" s="421"/>
      <c r="B90" s="411">
        <f t="shared" si="2"/>
        <v>78</v>
      </c>
      <c r="C90" s="452" t="s">
        <v>1327</v>
      </c>
      <c r="D90" s="449" t="str">
        <f>'参照_概要'!$C$13&amp;" Special Collection Bonus"</f>
        <v>Mystic Matrimony Special Collection Bonus</v>
      </c>
      <c r="E90" s="95" t="s">
        <v>1334</v>
      </c>
      <c r="F90" s="431" t="s">
        <v>436</v>
      </c>
      <c r="G90" s="455" t="str">
        <f t="shared" si="4"/>
        <v>コレクトアイテム800個使用</v>
      </c>
      <c r="H90" s="447">
        <v>1.0</v>
      </c>
      <c r="I90" s="451"/>
      <c r="J90" s="451"/>
      <c r="K90" s="34">
        <v>800.0</v>
      </c>
    </row>
    <row r="91" ht="15.75" customHeight="1">
      <c r="A91" s="421"/>
      <c r="B91" s="411">
        <f t="shared" si="2"/>
        <v>79</v>
      </c>
      <c r="C91" s="452" t="s">
        <v>1327</v>
      </c>
      <c r="D91" s="449" t="str">
        <f>'参照_概要'!$C$13&amp;" Special Collection Bonus"</f>
        <v>Mystic Matrimony Special Collection Bonus</v>
      </c>
      <c r="E91" s="95" t="s">
        <v>695</v>
      </c>
      <c r="F91" s="431" t="s">
        <v>1245</v>
      </c>
      <c r="G91" s="455" t="str">
        <f t="shared" si="4"/>
        <v>コレクトアイテム850個使用</v>
      </c>
      <c r="H91" s="447">
        <v>1.0</v>
      </c>
      <c r="I91" s="451"/>
      <c r="J91" s="451"/>
      <c r="K91" s="34">
        <v>850.0</v>
      </c>
    </row>
    <row r="92" ht="15.75" customHeight="1">
      <c r="A92" s="421"/>
      <c r="B92" s="411">
        <f t="shared" si="2"/>
        <v>80</v>
      </c>
      <c r="C92" s="452" t="s">
        <v>1327</v>
      </c>
      <c r="D92" s="449" t="str">
        <f>'参照_概要'!$C$13&amp;" Special Collection Bonus"</f>
        <v>Mystic Matrimony Special Collection Bonus</v>
      </c>
      <c r="E92" s="95" t="s">
        <v>1335</v>
      </c>
      <c r="F92" s="431" t="s">
        <v>970</v>
      </c>
      <c r="G92" s="455" t="str">
        <f t="shared" si="4"/>
        <v>コレクトアイテム850個使用</v>
      </c>
      <c r="H92" s="447">
        <v>1.0</v>
      </c>
      <c r="I92" s="451"/>
      <c r="J92" s="451"/>
      <c r="K92" s="34">
        <v>850.0</v>
      </c>
    </row>
    <row r="93" ht="15.75" customHeight="1">
      <c r="A93" s="421"/>
      <c r="B93" s="411">
        <f t="shared" si="2"/>
        <v>81</v>
      </c>
      <c r="C93" s="452" t="s">
        <v>1327</v>
      </c>
      <c r="D93" s="449" t="str">
        <f>'参照_概要'!$C$13&amp;" Special Collection Bonus"</f>
        <v>Mystic Matrimony Special Collection Bonus</v>
      </c>
      <c r="E93" s="95" t="s">
        <v>1336</v>
      </c>
      <c r="F93" s="431" t="s">
        <v>442</v>
      </c>
      <c r="G93" s="455" t="str">
        <f t="shared" si="4"/>
        <v>コレクトアイテム850個使用</v>
      </c>
      <c r="H93" s="447">
        <v>1.0</v>
      </c>
      <c r="I93" s="451"/>
      <c r="J93" s="451"/>
      <c r="K93" s="34">
        <v>850.0</v>
      </c>
    </row>
    <row r="94" ht="15.75" customHeight="1">
      <c r="A94" s="421"/>
      <c r="B94" s="411">
        <f t="shared" si="2"/>
        <v>82</v>
      </c>
      <c r="C94" s="452" t="s">
        <v>1327</v>
      </c>
      <c r="D94" s="449" t="str">
        <f>'参照_概要'!$C$13&amp;" Special Collection Bonus"</f>
        <v>Mystic Matrimony Special Collection Bonus</v>
      </c>
      <c r="E94" s="95" t="s">
        <v>695</v>
      </c>
      <c r="F94" s="431" t="s">
        <v>1244</v>
      </c>
      <c r="G94" s="455" t="str">
        <f t="shared" si="4"/>
        <v>コレクトアイテム900個使用</v>
      </c>
      <c r="H94" s="447">
        <v>1.0</v>
      </c>
      <c r="I94" s="451"/>
      <c r="J94" s="451"/>
      <c r="K94" s="34">
        <v>900.0</v>
      </c>
    </row>
    <row r="95" ht="15.75" customHeight="1">
      <c r="A95" s="421"/>
      <c r="B95" s="411">
        <f t="shared" si="2"/>
        <v>83</v>
      </c>
      <c r="C95" s="452" t="s">
        <v>1327</v>
      </c>
      <c r="D95" s="449" t="str">
        <f>'参照_概要'!$C$13&amp;" Special Collection Bonus"</f>
        <v>Mystic Matrimony Special Collection Bonus</v>
      </c>
      <c r="E95" s="95" t="s">
        <v>1337</v>
      </c>
      <c r="F95" s="431" t="s">
        <v>968</v>
      </c>
      <c r="G95" s="455" t="str">
        <f t="shared" si="4"/>
        <v>コレクトアイテム900個使用</v>
      </c>
      <c r="H95" s="447">
        <v>1.0</v>
      </c>
      <c r="I95" s="451"/>
      <c r="J95" s="451"/>
      <c r="K95" s="34">
        <v>900.0</v>
      </c>
    </row>
    <row r="96" ht="15.75" customHeight="1">
      <c r="A96" s="421"/>
      <c r="B96" s="411">
        <f t="shared" si="2"/>
        <v>84</v>
      </c>
      <c r="C96" s="452" t="s">
        <v>1327</v>
      </c>
      <c r="D96" s="449" t="str">
        <f>'参照_概要'!$C$13&amp;" Special Collection Bonus"</f>
        <v>Mystic Matrimony Special Collection Bonus</v>
      </c>
      <c r="E96" s="95" t="s">
        <v>1338</v>
      </c>
      <c r="F96" s="431" t="s">
        <v>448</v>
      </c>
      <c r="G96" s="455" t="str">
        <f t="shared" si="4"/>
        <v>コレクトアイテム900個使用</v>
      </c>
      <c r="H96" s="447">
        <v>1.0</v>
      </c>
      <c r="I96" s="451"/>
      <c r="J96" s="451"/>
      <c r="K96" s="34">
        <v>900.0</v>
      </c>
    </row>
    <row r="97" ht="15.75" customHeight="1">
      <c r="A97" s="421"/>
      <c r="B97" s="411">
        <f t="shared" si="2"/>
        <v>85</v>
      </c>
      <c r="C97" s="452" t="s">
        <v>1327</v>
      </c>
      <c r="D97" s="449" t="str">
        <f>'参照_概要'!$C$13&amp;" Special Collection Bonus"</f>
        <v>Mystic Matrimony Special Collection Bonus</v>
      </c>
      <c r="E97" s="95" t="s">
        <v>695</v>
      </c>
      <c r="F97" s="431" t="s">
        <v>1243</v>
      </c>
      <c r="G97" s="455" t="str">
        <f t="shared" si="4"/>
        <v>コレクトアイテム950個使用</v>
      </c>
      <c r="H97" s="447">
        <v>1.0</v>
      </c>
      <c r="I97" s="451"/>
      <c r="J97" s="451"/>
      <c r="K97" s="34">
        <v>950.0</v>
      </c>
    </row>
    <row r="98" ht="15.75" customHeight="1">
      <c r="A98" s="421"/>
      <c r="B98" s="411">
        <f t="shared" si="2"/>
        <v>86</v>
      </c>
      <c r="C98" s="452" t="s">
        <v>1327</v>
      </c>
      <c r="D98" s="449" t="str">
        <f>'参照_概要'!$C$13&amp;" Special Collection Bonus"</f>
        <v>Mystic Matrimony Special Collection Bonus</v>
      </c>
      <c r="E98" s="95" t="s">
        <v>1339</v>
      </c>
      <c r="F98" s="431" t="s">
        <v>961</v>
      </c>
      <c r="G98" s="455" t="str">
        <f t="shared" si="4"/>
        <v>コレクトアイテム950個使用</v>
      </c>
      <c r="H98" s="447">
        <v>1.0</v>
      </c>
      <c r="I98" s="451"/>
      <c r="J98" s="451"/>
      <c r="K98" s="34">
        <v>950.0</v>
      </c>
      <c r="L98" s="422"/>
      <c r="M98" s="422"/>
    </row>
    <row r="99" ht="15.75" customHeight="1">
      <c r="A99" s="421"/>
      <c r="B99" s="411">
        <f t="shared" si="2"/>
        <v>87</v>
      </c>
      <c r="C99" s="452" t="s">
        <v>1327</v>
      </c>
      <c r="D99" s="449" t="str">
        <f>'参照_概要'!$C$13&amp;" Special Collection Bonus"</f>
        <v>Mystic Matrimony Special Collection Bonus</v>
      </c>
      <c r="E99" s="95" t="s">
        <v>1340</v>
      </c>
      <c r="F99" s="431" t="s">
        <v>453</v>
      </c>
      <c r="G99" s="455" t="str">
        <f t="shared" si="4"/>
        <v>コレクトアイテム950個使用</v>
      </c>
      <c r="H99" s="447">
        <v>1.0</v>
      </c>
      <c r="I99" s="451"/>
      <c r="J99" s="451"/>
      <c r="K99" s="34">
        <v>950.0</v>
      </c>
      <c r="L99" s="422"/>
      <c r="M99" s="422"/>
    </row>
    <row r="100" ht="15.75" customHeight="1">
      <c r="A100" s="421"/>
      <c r="B100" s="421"/>
      <c r="C100" s="421"/>
      <c r="D100" s="421"/>
      <c r="E100" s="421"/>
      <c r="F100" s="421"/>
      <c r="G100" s="421"/>
      <c r="H100" s="421"/>
      <c r="I100" s="421"/>
      <c r="J100" s="421"/>
      <c r="K100" s="422"/>
      <c r="L100" s="422"/>
      <c r="M100" s="422"/>
    </row>
    <row r="101" ht="15.75" customHeight="1">
      <c r="A101" s="458"/>
      <c r="B101" s="423" t="s">
        <v>1341</v>
      </c>
      <c r="C101" s="424"/>
      <c r="D101" s="421"/>
      <c r="E101" s="421"/>
      <c r="F101" s="421"/>
      <c r="G101" s="421"/>
      <c r="H101" s="421"/>
      <c r="I101" s="421"/>
      <c r="J101" s="421"/>
      <c r="K101" s="422"/>
      <c r="L101" s="422"/>
    </row>
    <row r="102" ht="15.75" customHeight="1">
      <c r="A102" s="458"/>
      <c r="B102" s="425" t="s">
        <v>47</v>
      </c>
      <c r="C102" s="425" t="s">
        <v>1258</v>
      </c>
      <c r="D102" s="425" t="s">
        <v>1258</v>
      </c>
      <c r="E102" s="425" t="s">
        <v>698</v>
      </c>
      <c r="F102" s="459"/>
      <c r="G102" s="459"/>
      <c r="H102" s="459"/>
      <c r="I102" s="459"/>
      <c r="J102" s="459"/>
      <c r="K102" s="459"/>
      <c r="L102" s="459"/>
    </row>
    <row r="103" ht="15.75" customHeight="1">
      <c r="A103" s="458"/>
      <c r="B103" s="411">
        <v>1.0</v>
      </c>
      <c r="C103" s="444" t="s">
        <v>1342</v>
      </c>
      <c r="D103" s="431" t="s">
        <v>456</v>
      </c>
      <c r="E103" s="447">
        <v>1.0</v>
      </c>
      <c r="F103" s="459"/>
      <c r="G103" s="459"/>
      <c r="H103" s="459"/>
      <c r="I103" s="459"/>
      <c r="J103" s="459"/>
      <c r="K103" s="459"/>
      <c r="L103" s="459"/>
    </row>
    <row r="104" ht="15.75" customHeight="1">
      <c r="A104" s="458"/>
      <c r="B104" s="411">
        <f t="shared" ref="B104:B111" si="5">B103+1</f>
        <v>2</v>
      </c>
      <c r="C104" s="444" t="s">
        <v>1343</v>
      </c>
      <c r="D104" s="431" t="s">
        <v>460</v>
      </c>
      <c r="E104" s="447">
        <v>1.0</v>
      </c>
      <c r="F104" s="459"/>
      <c r="G104" s="459"/>
      <c r="H104" s="459"/>
      <c r="I104" s="459"/>
      <c r="J104" s="459"/>
      <c r="K104" s="459"/>
      <c r="L104" s="459"/>
    </row>
    <row r="105" ht="15.75" customHeight="1">
      <c r="A105" s="458"/>
      <c r="B105" s="411">
        <f t="shared" si="5"/>
        <v>3</v>
      </c>
      <c r="C105" s="444" t="s">
        <v>1344</v>
      </c>
      <c r="D105" s="431" t="s">
        <v>463</v>
      </c>
      <c r="E105" s="447">
        <v>1.0</v>
      </c>
      <c r="F105" s="459"/>
      <c r="G105" s="459"/>
      <c r="H105" s="459"/>
      <c r="I105" s="459"/>
      <c r="J105" s="459"/>
      <c r="K105" s="459"/>
      <c r="L105" s="459"/>
    </row>
    <row r="106" ht="15.75" customHeight="1">
      <c r="A106" s="458"/>
      <c r="B106" s="411">
        <f t="shared" si="5"/>
        <v>4</v>
      </c>
      <c r="C106" s="444" t="s">
        <v>1345</v>
      </c>
      <c r="D106" s="431" t="s">
        <v>466</v>
      </c>
      <c r="E106" s="447">
        <v>1.0</v>
      </c>
      <c r="F106" s="459"/>
      <c r="G106" s="459"/>
      <c r="H106" s="459"/>
      <c r="I106" s="459"/>
      <c r="J106" s="459"/>
      <c r="K106" s="459"/>
      <c r="L106" s="459"/>
    </row>
    <row r="107" ht="15.75" customHeight="1">
      <c r="A107" s="458"/>
      <c r="B107" s="411">
        <f t="shared" si="5"/>
        <v>5</v>
      </c>
      <c r="C107" s="444" t="s">
        <v>1346</v>
      </c>
      <c r="D107" s="431" t="s">
        <v>469</v>
      </c>
      <c r="E107" s="447">
        <v>1.0</v>
      </c>
      <c r="F107" s="459"/>
      <c r="G107" s="459"/>
      <c r="H107" s="459"/>
      <c r="I107" s="459"/>
      <c r="J107" s="459"/>
      <c r="K107" s="459"/>
      <c r="L107" s="459"/>
    </row>
    <row r="108" ht="15.75" customHeight="1">
      <c r="A108" s="458"/>
      <c r="B108" s="411">
        <f t="shared" si="5"/>
        <v>6</v>
      </c>
      <c r="C108" s="454" t="s">
        <v>1347</v>
      </c>
      <c r="D108" s="460" t="s">
        <v>472</v>
      </c>
      <c r="E108" s="447">
        <v>1.0</v>
      </c>
      <c r="F108" s="459"/>
      <c r="G108" s="459"/>
      <c r="H108" s="459"/>
      <c r="I108" s="459"/>
      <c r="J108" s="459"/>
      <c r="K108" s="459"/>
      <c r="L108" s="459"/>
    </row>
    <row r="109" ht="15.75" customHeight="1">
      <c r="A109" s="458"/>
      <c r="B109" s="411">
        <f t="shared" si="5"/>
        <v>7</v>
      </c>
      <c r="C109" s="454" t="s">
        <v>1348</v>
      </c>
      <c r="D109" s="460" t="s">
        <v>475</v>
      </c>
      <c r="E109" s="447">
        <v>1.0</v>
      </c>
      <c r="F109" s="459"/>
      <c r="G109" s="459"/>
      <c r="H109" s="459"/>
      <c r="I109" s="459"/>
      <c r="J109" s="459"/>
      <c r="K109" s="459"/>
      <c r="L109" s="459"/>
    </row>
    <row r="110" ht="15.75" customHeight="1">
      <c r="A110" s="458"/>
      <c r="B110" s="411">
        <f t="shared" si="5"/>
        <v>8</v>
      </c>
      <c r="C110" s="454" t="s">
        <v>1349</v>
      </c>
      <c r="D110" s="460" t="s">
        <v>478</v>
      </c>
      <c r="E110" s="447">
        <v>1.0</v>
      </c>
      <c r="F110" s="459"/>
      <c r="G110" s="459"/>
      <c r="H110" s="459"/>
      <c r="I110" s="459"/>
      <c r="J110" s="459"/>
      <c r="K110" s="459"/>
      <c r="L110" s="459"/>
    </row>
    <row r="111" ht="15.75" customHeight="1">
      <c r="A111" s="458"/>
      <c r="B111" s="411">
        <f t="shared" si="5"/>
        <v>9</v>
      </c>
      <c r="C111" s="454" t="s">
        <v>1291</v>
      </c>
      <c r="D111" s="461" t="s">
        <v>481</v>
      </c>
      <c r="E111" s="447">
        <v>1.0</v>
      </c>
      <c r="F111" s="459"/>
      <c r="G111" s="459"/>
      <c r="H111" s="459"/>
      <c r="I111" s="459"/>
      <c r="J111" s="459"/>
      <c r="K111" s="459"/>
      <c r="L111" s="459"/>
    </row>
    <row r="112" ht="15.75" customHeight="1">
      <c r="A112" s="458"/>
      <c r="B112" s="425" t="s">
        <v>47</v>
      </c>
      <c r="C112" s="425" t="s">
        <v>1350</v>
      </c>
      <c r="D112" s="425" t="s">
        <v>1351</v>
      </c>
      <c r="E112" s="459"/>
      <c r="F112" s="459"/>
      <c r="G112" s="459"/>
      <c r="H112" s="459"/>
      <c r="I112" s="459"/>
      <c r="J112" s="459"/>
      <c r="K112" s="459"/>
      <c r="L112" s="459"/>
    </row>
    <row r="113" ht="15.75" customHeight="1">
      <c r="A113" s="458"/>
      <c r="B113" s="411">
        <v>1.0</v>
      </c>
      <c r="C113" s="411">
        <v>1.0</v>
      </c>
      <c r="D113" s="411">
        <v>100.0</v>
      </c>
      <c r="E113" s="459"/>
      <c r="F113" s="459"/>
      <c r="G113" s="459"/>
      <c r="H113" s="459"/>
      <c r="I113" s="459"/>
      <c r="J113" s="459"/>
      <c r="K113" s="459"/>
      <c r="L113" s="459"/>
    </row>
    <row r="114" ht="15.75" customHeight="1">
      <c r="A114" s="458"/>
      <c r="B114" s="411">
        <f t="shared" ref="B114:B119" si="6">B113+1</f>
        <v>2</v>
      </c>
      <c r="C114" s="411">
        <f t="shared" ref="C114:C118" si="7">D113+1</f>
        <v>101</v>
      </c>
      <c r="D114" s="462">
        <v>150.0</v>
      </c>
      <c r="E114" s="459"/>
      <c r="F114" s="459"/>
      <c r="G114" s="459"/>
      <c r="H114" s="459"/>
      <c r="I114" s="459"/>
      <c r="J114" s="459"/>
      <c r="K114" s="459"/>
      <c r="L114" s="459"/>
    </row>
    <row r="115" ht="15.75" customHeight="1">
      <c r="A115" s="458"/>
      <c r="B115" s="411">
        <f t="shared" si="6"/>
        <v>3</v>
      </c>
      <c r="C115" s="411">
        <f t="shared" si="7"/>
        <v>151</v>
      </c>
      <c r="D115" s="411">
        <v>300.0</v>
      </c>
      <c r="E115" s="459"/>
      <c r="F115" s="459"/>
      <c r="G115" s="459"/>
      <c r="H115" s="459"/>
      <c r="I115" s="459"/>
      <c r="J115" s="459"/>
      <c r="K115" s="459"/>
      <c r="L115" s="459"/>
    </row>
    <row r="116" ht="15.75" customHeight="1">
      <c r="A116" s="458"/>
      <c r="B116" s="411">
        <f t="shared" si="6"/>
        <v>4</v>
      </c>
      <c r="C116" s="411">
        <f t="shared" si="7"/>
        <v>301</v>
      </c>
      <c r="D116" s="411">
        <v>500.0</v>
      </c>
      <c r="E116" s="459"/>
      <c r="F116" s="459"/>
      <c r="G116" s="459"/>
      <c r="H116" s="459"/>
      <c r="I116" s="459"/>
      <c r="J116" s="459"/>
      <c r="K116" s="459"/>
      <c r="L116" s="459"/>
    </row>
    <row r="117" ht="15.75" customHeight="1">
      <c r="A117" s="458"/>
      <c r="B117" s="411">
        <f t="shared" si="6"/>
        <v>5</v>
      </c>
      <c r="C117" s="411">
        <f t="shared" si="7"/>
        <v>501</v>
      </c>
      <c r="D117" s="462">
        <v>1000.0</v>
      </c>
      <c r="E117" s="459"/>
      <c r="F117" s="459"/>
      <c r="G117" s="459"/>
      <c r="H117" s="459"/>
      <c r="I117" s="459"/>
      <c r="J117" s="459"/>
      <c r="K117" s="459"/>
      <c r="L117" s="459"/>
    </row>
    <row r="118" ht="15.75" customHeight="1">
      <c r="A118" s="458"/>
      <c r="B118" s="411">
        <f t="shared" si="6"/>
        <v>6</v>
      </c>
      <c r="C118" s="411">
        <f t="shared" si="7"/>
        <v>1001</v>
      </c>
      <c r="D118" s="411">
        <v>1500.0</v>
      </c>
      <c r="E118" s="459"/>
      <c r="F118" s="459"/>
      <c r="G118" s="459"/>
      <c r="H118" s="459"/>
      <c r="I118" s="459"/>
      <c r="J118" s="459"/>
      <c r="K118" s="459"/>
      <c r="L118" s="459"/>
    </row>
    <row r="119" ht="15.75" customHeight="1">
      <c r="A119" s="458"/>
      <c r="B119" s="411">
        <f t="shared" si="6"/>
        <v>7</v>
      </c>
      <c r="C119" s="411"/>
      <c r="D119" s="411"/>
      <c r="E119" s="459"/>
      <c r="F119" s="459"/>
      <c r="G119" s="459"/>
      <c r="H119" s="459"/>
      <c r="I119" s="459"/>
      <c r="J119" s="459"/>
      <c r="K119" s="459"/>
      <c r="L119" s="459"/>
    </row>
    <row r="120" ht="15.75" customHeight="1">
      <c r="A120" s="458"/>
      <c r="B120" s="421"/>
      <c r="C120" s="421"/>
      <c r="D120" s="421"/>
      <c r="E120" s="459"/>
      <c r="F120" s="459"/>
      <c r="G120" s="459"/>
      <c r="H120" s="459"/>
      <c r="I120" s="459"/>
      <c r="J120" s="459"/>
      <c r="K120" s="459"/>
      <c r="L120" s="459"/>
    </row>
    <row r="121" ht="15.75" customHeight="1">
      <c r="A121" s="458"/>
      <c r="B121" s="421"/>
      <c r="C121" s="421"/>
      <c r="D121" s="421"/>
      <c r="E121" s="459"/>
      <c r="F121" s="459"/>
      <c r="G121" s="459"/>
      <c r="H121" s="459"/>
      <c r="I121" s="459"/>
      <c r="J121" s="459"/>
      <c r="K121" s="459"/>
      <c r="L121" s="459"/>
    </row>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4">
    <mergeCell ref="B3:I3"/>
    <mergeCell ref="B4:I8"/>
    <mergeCell ref="B10:C10"/>
    <mergeCell ref="B101:C101"/>
  </mergeCells>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4.43"/>
    <col customWidth="1" min="3" max="4" width="43.0"/>
    <col customWidth="1" min="5" max="5" width="8.71"/>
    <col customWidth="1" min="6" max="6" width="28.71"/>
    <col customWidth="1" min="7" max="7" width="21.57"/>
    <col customWidth="1" min="8" max="11" width="8.71"/>
  </cols>
  <sheetData>
    <row r="1" ht="30.0" customHeight="1">
      <c r="A1" s="419"/>
      <c r="B1" s="382" t="str">
        <f>"本編促進「"&amp;'参照_概要'!$E$12&amp;"」 各種特典"</f>
        <v>本編促進「あやかし恋遊戯」 各種特典</v>
      </c>
      <c r="C1" s="420"/>
      <c r="D1" s="420"/>
      <c r="E1" s="420"/>
      <c r="F1" s="420"/>
      <c r="G1" s="381"/>
      <c r="H1" s="437"/>
      <c r="I1" s="437"/>
      <c r="J1" s="437"/>
      <c r="K1" s="437"/>
    </row>
    <row r="2">
      <c r="A2" s="421"/>
      <c r="B2" s="441"/>
      <c r="C2" s="441"/>
      <c r="D2" s="441"/>
      <c r="E2" s="441"/>
      <c r="F2" s="441"/>
      <c r="G2" s="422"/>
      <c r="H2" s="422"/>
      <c r="I2" s="422"/>
      <c r="J2" s="422"/>
      <c r="K2" s="422"/>
    </row>
    <row r="3">
      <c r="A3" s="421"/>
      <c r="B3" s="423" t="s">
        <v>1198</v>
      </c>
      <c r="C3" s="424"/>
      <c r="D3" s="421"/>
      <c r="E3" s="421"/>
      <c r="F3" s="421"/>
      <c r="G3" s="422"/>
      <c r="H3" s="422"/>
      <c r="I3" s="422"/>
      <c r="J3" s="422"/>
      <c r="K3" s="422"/>
    </row>
    <row r="4">
      <c r="A4" s="421"/>
      <c r="B4" s="425" t="s">
        <v>47</v>
      </c>
      <c r="C4" s="425" t="s">
        <v>881</v>
      </c>
      <c r="D4" s="425" t="s">
        <v>881</v>
      </c>
      <c r="E4" s="425" t="s">
        <v>1352</v>
      </c>
      <c r="F4" s="425" t="s">
        <v>1353</v>
      </c>
      <c r="G4" s="425" t="s">
        <v>1354</v>
      </c>
      <c r="H4" s="435" t="s">
        <v>1355</v>
      </c>
      <c r="I4" s="422"/>
      <c r="J4" s="368"/>
      <c r="K4" s="368"/>
    </row>
    <row r="5">
      <c r="A5" s="421"/>
      <c r="B5" s="411">
        <v>1.0</v>
      </c>
      <c r="C5" s="444" t="s">
        <v>1282</v>
      </c>
      <c r="D5" s="431" t="s">
        <v>647</v>
      </c>
      <c r="E5" s="462">
        <v>30.0</v>
      </c>
      <c r="F5" s="462" t="s">
        <v>1356</v>
      </c>
      <c r="G5" s="463" t="s">
        <v>1357</v>
      </c>
      <c r="H5" s="422">
        <f t="array" ref="H5:H40">XLOOKUP(D5:D40,avatar_item!B2:B1000,avatar_item!A2:A1000)</f>
        <v>40885</v>
      </c>
      <c r="I5" s="368"/>
      <c r="J5" s="368"/>
      <c r="K5" s="368"/>
    </row>
    <row r="6">
      <c r="A6" s="421"/>
      <c r="B6" s="411">
        <f t="shared" ref="B6:B10" si="1">B5+1</f>
        <v>2</v>
      </c>
      <c r="C6" s="444" t="s">
        <v>1293</v>
      </c>
      <c r="D6" s="431" t="s">
        <v>651</v>
      </c>
      <c r="E6" s="462">
        <v>30.0</v>
      </c>
      <c r="F6" s="462" t="s">
        <v>1356</v>
      </c>
      <c r="G6" s="463" t="s">
        <v>836</v>
      </c>
      <c r="H6" s="422">
        <v>40886.0</v>
      </c>
      <c r="I6" s="368"/>
      <c r="J6" s="368"/>
      <c r="K6" s="368"/>
    </row>
    <row r="7">
      <c r="A7" s="421"/>
      <c r="B7" s="411">
        <f t="shared" si="1"/>
        <v>3</v>
      </c>
      <c r="C7" s="444" t="s">
        <v>1306</v>
      </c>
      <c r="D7" s="431" t="s">
        <v>655</v>
      </c>
      <c r="E7" s="462">
        <v>30.0</v>
      </c>
      <c r="F7" s="462" t="s">
        <v>1356</v>
      </c>
      <c r="G7" s="463" t="s">
        <v>837</v>
      </c>
      <c r="H7" s="422">
        <v>40889.0</v>
      </c>
      <c r="I7" s="368"/>
      <c r="J7" s="368"/>
      <c r="K7" s="368"/>
    </row>
    <row r="8">
      <c r="A8" s="421"/>
      <c r="B8" s="411">
        <f t="shared" si="1"/>
        <v>4</v>
      </c>
      <c r="C8" s="444" t="s">
        <v>1307</v>
      </c>
      <c r="D8" s="431" t="s">
        <v>656</v>
      </c>
      <c r="E8" s="462">
        <v>30.0</v>
      </c>
      <c r="F8" s="462" t="s">
        <v>1356</v>
      </c>
      <c r="G8" s="463" t="s">
        <v>838</v>
      </c>
      <c r="H8" s="422">
        <v>40888.0</v>
      </c>
      <c r="I8" s="368"/>
      <c r="J8" s="368"/>
      <c r="K8" s="368"/>
    </row>
    <row r="9">
      <c r="A9" s="421"/>
      <c r="B9" s="411">
        <f t="shared" si="1"/>
        <v>5</v>
      </c>
      <c r="C9" s="444" t="s">
        <v>1309</v>
      </c>
      <c r="D9" s="431" t="s">
        <v>660</v>
      </c>
      <c r="E9" s="462">
        <v>30.0</v>
      </c>
      <c r="F9" s="462" t="s">
        <v>1356</v>
      </c>
      <c r="G9" s="463" t="s">
        <v>839</v>
      </c>
      <c r="H9" s="422">
        <v>40873.0</v>
      </c>
      <c r="I9" s="368"/>
      <c r="J9" s="368"/>
      <c r="K9" s="368"/>
    </row>
    <row r="10">
      <c r="A10" s="421"/>
      <c r="B10" s="411">
        <f t="shared" si="1"/>
        <v>6</v>
      </c>
      <c r="C10" s="444" t="s">
        <v>1310</v>
      </c>
      <c r="D10" s="431" t="s">
        <v>661</v>
      </c>
      <c r="E10" s="462">
        <v>30.0</v>
      </c>
      <c r="F10" s="462" t="s">
        <v>1356</v>
      </c>
      <c r="G10" s="463" t="s">
        <v>840</v>
      </c>
      <c r="H10" s="422">
        <v>40874.0</v>
      </c>
      <c r="I10" s="368"/>
      <c r="J10" s="368"/>
      <c r="K10" s="368"/>
    </row>
    <row r="11" ht="15.75" customHeight="1">
      <c r="A11" s="421"/>
      <c r="B11" s="411">
        <f>B35+1</f>
        <v>25</v>
      </c>
      <c r="C11" s="95" t="s">
        <v>1358</v>
      </c>
      <c r="D11" s="464" t="s">
        <v>863</v>
      </c>
      <c r="E11" s="465">
        <v>30.0</v>
      </c>
      <c r="F11" s="462" t="s">
        <v>1356</v>
      </c>
      <c r="G11" s="466" t="s">
        <v>864</v>
      </c>
      <c r="H11" s="422">
        <v>40876.0</v>
      </c>
      <c r="I11" s="368"/>
      <c r="J11" s="368"/>
      <c r="K11" s="368"/>
    </row>
    <row r="12" ht="15.75" customHeight="1">
      <c r="A12" s="421"/>
      <c r="B12" s="411">
        <f t="shared" ref="B12:B21" si="2">B11+1</f>
        <v>26</v>
      </c>
      <c r="C12" s="95" t="s">
        <v>1359</v>
      </c>
      <c r="D12" s="464" t="s">
        <v>866</v>
      </c>
      <c r="E12" s="465">
        <v>30.0</v>
      </c>
      <c r="F12" s="462" t="s">
        <v>1356</v>
      </c>
      <c r="G12" s="466" t="s">
        <v>867</v>
      </c>
      <c r="H12" s="422">
        <v>40878.0</v>
      </c>
      <c r="I12" s="368"/>
      <c r="J12" s="368"/>
      <c r="K12" s="368"/>
    </row>
    <row r="13" ht="15.75" customHeight="1">
      <c r="A13" s="421"/>
      <c r="B13" s="411">
        <f t="shared" si="2"/>
        <v>27</v>
      </c>
      <c r="C13" s="95" t="s">
        <v>1360</v>
      </c>
      <c r="D13" s="464" t="s">
        <v>869</v>
      </c>
      <c r="E13" s="465">
        <v>30.0</v>
      </c>
      <c r="F13" s="462" t="s">
        <v>1356</v>
      </c>
      <c r="G13" s="466" t="s">
        <v>870</v>
      </c>
      <c r="H13" s="422">
        <v>40882.0</v>
      </c>
      <c r="I13" s="368"/>
      <c r="J13" s="368"/>
      <c r="K13" s="368"/>
    </row>
    <row r="14" ht="15.75" customHeight="1">
      <c r="A14" s="421"/>
      <c r="B14" s="411">
        <f t="shared" si="2"/>
        <v>28</v>
      </c>
      <c r="C14" s="95" t="s">
        <v>1361</v>
      </c>
      <c r="D14" s="464" t="s">
        <v>872</v>
      </c>
      <c r="E14" s="465">
        <v>30.0</v>
      </c>
      <c r="F14" s="462" t="s">
        <v>1356</v>
      </c>
      <c r="G14" s="466" t="s">
        <v>873</v>
      </c>
      <c r="H14" s="422">
        <v>40883.0</v>
      </c>
      <c r="I14" s="368"/>
      <c r="J14" s="368"/>
      <c r="K14" s="368"/>
    </row>
    <row r="15" ht="15.75" customHeight="1">
      <c r="A15" s="421"/>
      <c r="B15" s="411">
        <f t="shared" si="2"/>
        <v>29</v>
      </c>
      <c r="C15" s="95" t="s">
        <v>1362</v>
      </c>
      <c r="D15" s="464" t="s">
        <v>875</v>
      </c>
      <c r="E15" s="465">
        <v>30.0</v>
      </c>
      <c r="F15" s="462" t="s">
        <v>1356</v>
      </c>
      <c r="G15" s="466" t="s">
        <v>876</v>
      </c>
      <c r="H15" s="422">
        <v>40877.0</v>
      </c>
      <c r="I15" s="368"/>
      <c r="J15" s="368"/>
      <c r="K15" s="368"/>
    </row>
    <row r="16" ht="15.75" customHeight="1">
      <c r="A16" s="421"/>
      <c r="B16" s="411">
        <f t="shared" si="2"/>
        <v>30</v>
      </c>
      <c r="C16" s="95" t="s">
        <v>1363</v>
      </c>
      <c r="D16" s="464" t="s">
        <v>878</v>
      </c>
      <c r="E16" s="465">
        <v>30.0</v>
      </c>
      <c r="F16" s="462" t="s">
        <v>1356</v>
      </c>
      <c r="G16" s="466" t="s">
        <v>879</v>
      </c>
      <c r="H16" s="422">
        <v>40879.0</v>
      </c>
      <c r="I16" s="368"/>
      <c r="J16" s="368"/>
      <c r="K16" s="368"/>
    </row>
    <row r="17" ht="15.75" customHeight="1">
      <c r="A17" s="421"/>
      <c r="B17" s="411">
        <f t="shared" si="2"/>
        <v>31</v>
      </c>
      <c r="C17" s="95" t="s">
        <v>1364</v>
      </c>
      <c r="D17" s="464" t="s">
        <v>912</v>
      </c>
      <c r="E17" s="465">
        <v>30.0</v>
      </c>
      <c r="F17" s="462" t="s">
        <v>1356</v>
      </c>
      <c r="G17" s="466" t="s">
        <v>1365</v>
      </c>
      <c r="H17" s="422">
        <v>40887.0</v>
      </c>
      <c r="I17" s="368"/>
      <c r="J17" s="368"/>
      <c r="K17" s="368"/>
    </row>
    <row r="18" ht="15.75" customHeight="1">
      <c r="A18" s="421"/>
      <c r="B18" s="411">
        <f t="shared" si="2"/>
        <v>32</v>
      </c>
      <c r="C18" s="95" t="s">
        <v>1366</v>
      </c>
      <c r="D18" s="464" t="s">
        <v>908</v>
      </c>
      <c r="E18" s="465">
        <v>30.0</v>
      </c>
      <c r="F18" s="462" t="s">
        <v>1356</v>
      </c>
      <c r="G18" s="466" t="s">
        <v>1367</v>
      </c>
      <c r="H18" s="422">
        <v>40884.0</v>
      </c>
      <c r="I18" s="368"/>
      <c r="J18" s="368"/>
      <c r="K18" s="368"/>
    </row>
    <row r="19" ht="15.75" customHeight="1">
      <c r="A19" s="421"/>
      <c r="B19" s="411">
        <f t="shared" si="2"/>
        <v>33</v>
      </c>
      <c r="C19" s="95" t="s">
        <v>1368</v>
      </c>
      <c r="D19" s="464" t="s">
        <v>904</v>
      </c>
      <c r="E19" s="465">
        <v>30.0</v>
      </c>
      <c r="F19" s="462" t="s">
        <v>1356</v>
      </c>
      <c r="G19" s="466" t="s">
        <v>1369</v>
      </c>
      <c r="H19" s="422">
        <v>40881.0</v>
      </c>
      <c r="I19" s="368"/>
      <c r="J19" s="368"/>
      <c r="K19" s="368"/>
    </row>
    <row r="20" ht="15.75" customHeight="1">
      <c r="A20" s="421"/>
      <c r="B20" s="411">
        <f t="shared" si="2"/>
        <v>34</v>
      </c>
      <c r="C20" s="95" t="s">
        <v>1370</v>
      </c>
      <c r="D20" s="464" t="s">
        <v>896</v>
      </c>
      <c r="E20" s="465">
        <v>30.0</v>
      </c>
      <c r="F20" s="462" t="s">
        <v>1356</v>
      </c>
      <c r="G20" s="466" t="s">
        <v>1371</v>
      </c>
      <c r="H20" s="422">
        <v>40875.0</v>
      </c>
      <c r="I20" s="422"/>
      <c r="J20" s="368"/>
      <c r="K20" s="368"/>
    </row>
    <row r="21" ht="15.75" customHeight="1">
      <c r="A21" s="421"/>
      <c r="B21" s="411">
        <f t="shared" si="2"/>
        <v>35</v>
      </c>
      <c r="C21" s="95" t="s">
        <v>1372</v>
      </c>
      <c r="D21" s="464" t="s">
        <v>902</v>
      </c>
      <c r="E21" s="465">
        <v>30.0</v>
      </c>
      <c r="F21" s="462" t="s">
        <v>1356</v>
      </c>
      <c r="G21" s="466" t="s">
        <v>1373</v>
      </c>
      <c r="H21" s="422">
        <v>40880.0</v>
      </c>
      <c r="I21" s="422"/>
      <c r="J21" s="368"/>
      <c r="K21" s="368"/>
    </row>
    <row r="22">
      <c r="A22" s="421"/>
      <c r="B22" s="411">
        <f>B10+1</f>
        <v>7</v>
      </c>
      <c r="C22" s="444" t="s">
        <v>1318</v>
      </c>
      <c r="D22" s="431" t="s">
        <v>674</v>
      </c>
      <c r="E22" s="462">
        <v>150.0</v>
      </c>
      <c r="F22" s="462" t="s">
        <v>1356</v>
      </c>
      <c r="G22" s="463" t="s">
        <v>841</v>
      </c>
      <c r="H22" s="422">
        <v>40865.0</v>
      </c>
      <c r="I22" s="368"/>
      <c r="J22" s="368"/>
      <c r="K22" s="368"/>
    </row>
    <row r="23">
      <c r="A23" s="421"/>
      <c r="B23" s="411">
        <f t="shared" ref="B23:B28" si="3">B22+1</f>
        <v>8</v>
      </c>
      <c r="C23" s="444" t="s">
        <v>1330</v>
      </c>
      <c r="D23" s="431" t="s">
        <v>422</v>
      </c>
      <c r="E23" s="462">
        <v>200.0</v>
      </c>
      <c r="F23" s="462" t="s">
        <v>1374</v>
      </c>
      <c r="G23" s="463" t="s">
        <v>842</v>
      </c>
      <c r="H23" s="422">
        <v>40861.0</v>
      </c>
      <c r="I23" s="368"/>
      <c r="J23" s="368"/>
      <c r="K23" s="368"/>
    </row>
    <row r="24">
      <c r="A24" s="421"/>
      <c r="B24" s="411">
        <f t="shared" si="3"/>
        <v>9</v>
      </c>
      <c r="C24" s="444" t="s">
        <v>1332</v>
      </c>
      <c r="D24" s="431" t="s">
        <v>428</v>
      </c>
      <c r="E24" s="462">
        <v>200.0</v>
      </c>
      <c r="F24" s="462" t="s">
        <v>1375</v>
      </c>
      <c r="G24" s="463" t="s">
        <v>843</v>
      </c>
      <c r="H24" s="422">
        <v>40860.0</v>
      </c>
      <c r="I24" s="368"/>
      <c r="J24" s="368"/>
      <c r="K24" s="368"/>
    </row>
    <row r="25">
      <c r="A25" s="421"/>
      <c r="B25" s="411">
        <f t="shared" si="3"/>
        <v>10</v>
      </c>
      <c r="C25" s="444" t="s">
        <v>1334</v>
      </c>
      <c r="D25" s="431" t="s">
        <v>436</v>
      </c>
      <c r="E25" s="467">
        <v>200.0</v>
      </c>
      <c r="F25" s="467" t="s">
        <v>1376</v>
      </c>
      <c r="G25" s="444" t="s">
        <v>844</v>
      </c>
      <c r="H25" s="422">
        <v>40859.0</v>
      </c>
      <c r="I25" s="368"/>
      <c r="J25" s="368"/>
      <c r="K25" s="368"/>
    </row>
    <row r="26">
      <c r="A26" s="421"/>
      <c r="B26" s="411">
        <f t="shared" si="3"/>
        <v>11</v>
      </c>
      <c r="C26" s="444" t="s">
        <v>1336</v>
      </c>
      <c r="D26" s="431" t="s">
        <v>442</v>
      </c>
      <c r="E26" s="467">
        <v>200.0</v>
      </c>
      <c r="F26" s="462" t="s">
        <v>1377</v>
      </c>
      <c r="G26" s="444" t="s">
        <v>845</v>
      </c>
      <c r="H26" s="422">
        <v>40858.0</v>
      </c>
      <c r="I26" s="368"/>
      <c r="J26" s="368"/>
      <c r="K26" s="368"/>
    </row>
    <row r="27">
      <c r="A27" s="421"/>
      <c r="B27" s="411">
        <f t="shared" si="3"/>
        <v>12</v>
      </c>
      <c r="C27" s="444" t="s">
        <v>1338</v>
      </c>
      <c r="D27" s="431" t="s">
        <v>448</v>
      </c>
      <c r="E27" s="467">
        <v>200.0</v>
      </c>
      <c r="F27" s="467" t="s">
        <v>1378</v>
      </c>
      <c r="G27" s="444" t="s">
        <v>846</v>
      </c>
      <c r="H27" s="422">
        <v>40857.0</v>
      </c>
      <c r="I27" s="368"/>
      <c r="J27" s="368"/>
      <c r="K27" s="368"/>
    </row>
    <row r="28">
      <c r="A28" s="421"/>
      <c r="B28" s="411">
        <f t="shared" si="3"/>
        <v>13</v>
      </c>
      <c r="C28" s="444" t="s">
        <v>1340</v>
      </c>
      <c r="D28" s="431" t="s">
        <v>453</v>
      </c>
      <c r="E28" s="467">
        <v>200.0</v>
      </c>
      <c r="F28" s="467" t="s">
        <v>1379</v>
      </c>
      <c r="G28" s="444" t="s">
        <v>847</v>
      </c>
      <c r="H28" s="422">
        <v>40856.0</v>
      </c>
      <c r="I28" s="368"/>
      <c r="J28" s="368"/>
      <c r="K28" s="368"/>
    </row>
    <row r="29" ht="15.75" customHeight="1">
      <c r="A29" s="421"/>
      <c r="B29" s="411">
        <f>B39+1</f>
        <v>22</v>
      </c>
      <c r="C29" s="95" t="s">
        <v>1342</v>
      </c>
      <c r="D29" s="464" t="s">
        <v>456</v>
      </c>
      <c r="E29" s="465">
        <v>300.0</v>
      </c>
      <c r="F29" s="462" t="s">
        <v>1380</v>
      </c>
      <c r="G29" s="466" t="s">
        <v>857</v>
      </c>
      <c r="H29" s="422">
        <v>40871.0</v>
      </c>
      <c r="I29" s="368"/>
      <c r="J29" s="368"/>
      <c r="K29" s="368"/>
    </row>
    <row r="30">
      <c r="A30" s="421"/>
      <c r="B30" s="411">
        <f>B28+1</f>
        <v>14</v>
      </c>
      <c r="C30" s="444" t="s">
        <v>1322</v>
      </c>
      <c r="D30" s="431" t="s">
        <v>484</v>
      </c>
      <c r="E30" s="467">
        <v>100.0</v>
      </c>
      <c r="F30" s="467" t="s">
        <v>1381</v>
      </c>
      <c r="G30" s="444" t="s">
        <v>848</v>
      </c>
      <c r="H30" s="422">
        <v>40867.0</v>
      </c>
      <c r="I30" s="368"/>
      <c r="J30" s="368"/>
      <c r="K30" s="368"/>
    </row>
    <row r="31">
      <c r="A31" s="421"/>
      <c r="B31" s="411">
        <f t="shared" ref="B31:B33" si="4">B30+1</f>
        <v>15</v>
      </c>
      <c r="C31" s="444" t="s">
        <v>1324</v>
      </c>
      <c r="D31" s="431" t="s">
        <v>488</v>
      </c>
      <c r="E31" s="465">
        <v>100.0</v>
      </c>
      <c r="F31" s="465" t="s">
        <v>1382</v>
      </c>
      <c r="G31" s="466" t="s">
        <v>849</v>
      </c>
      <c r="H31" s="422">
        <v>40868.0</v>
      </c>
      <c r="I31" s="368"/>
      <c r="J31" s="368"/>
      <c r="K31" s="368"/>
    </row>
    <row r="32">
      <c r="A32" s="421"/>
      <c r="B32" s="411">
        <f t="shared" si="4"/>
        <v>16</v>
      </c>
      <c r="C32" s="444" t="s">
        <v>1325</v>
      </c>
      <c r="D32" s="431" t="s">
        <v>491</v>
      </c>
      <c r="E32" s="465">
        <v>100.0</v>
      </c>
      <c r="F32" s="462" t="s">
        <v>1383</v>
      </c>
      <c r="G32" s="466" t="s">
        <v>850</v>
      </c>
      <c r="H32" s="422">
        <v>40869.0</v>
      </c>
      <c r="I32" s="368"/>
      <c r="J32" s="368"/>
      <c r="K32" s="368"/>
    </row>
    <row r="33" ht="15.75" customHeight="1">
      <c r="A33" s="421"/>
      <c r="B33" s="411">
        <f t="shared" si="4"/>
        <v>17</v>
      </c>
      <c r="C33" s="95" t="s">
        <v>1326</v>
      </c>
      <c r="D33" s="464" t="s">
        <v>494</v>
      </c>
      <c r="E33" s="465">
        <v>100.0</v>
      </c>
      <c r="F33" s="467" t="s">
        <v>1384</v>
      </c>
      <c r="G33" s="466" t="s">
        <v>851</v>
      </c>
      <c r="H33" s="422">
        <v>40870.0</v>
      </c>
      <c r="I33" s="368"/>
      <c r="J33" s="368"/>
      <c r="K33" s="368"/>
    </row>
    <row r="34" ht="15.75" customHeight="1">
      <c r="A34" s="421"/>
      <c r="B34" s="411">
        <f>B40+1</f>
        <v>24</v>
      </c>
      <c r="C34" s="95" t="s">
        <v>1347</v>
      </c>
      <c r="D34" s="464" t="s">
        <v>472</v>
      </c>
      <c r="E34" s="465">
        <v>210.0</v>
      </c>
      <c r="F34" s="462" t="s">
        <v>1385</v>
      </c>
      <c r="G34" s="466" t="s">
        <v>859</v>
      </c>
      <c r="H34" s="422">
        <v>40863.0</v>
      </c>
      <c r="I34" s="368"/>
      <c r="J34" s="368"/>
      <c r="K34" s="368"/>
    </row>
    <row r="35" ht="15.75" customHeight="1">
      <c r="A35" s="421"/>
      <c r="B35" s="411">
        <f>B40+1</f>
        <v>24</v>
      </c>
      <c r="C35" s="95" t="s">
        <v>1348</v>
      </c>
      <c r="D35" s="464" t="s">
        <v>475</v>
      </c>
      <c r="E35" s="465">
        <v>210.0</v>
      </c>
      <c r="F35" s="462" t="s">
        <v>1386</v>
      </c>
      <c r="G35" s="466" t="s">
        <v>861</v>
      </c>
      <c r="H35" s="422">
        <v>40864.0</v>
      </c>
      <c r="I35" s="368"/>
      <c r="J35" s="368"/>
      <c r="K35" s="368"/>
    </row>
    <row r="36" ht="15.75" customHeight="1">
      <c r="A36" s="421"/>
      <c r="B36" s="411">
        <f>B33+1</f>
        <v>18</v>
      </c>
      <c r="C36" s="95" t="s">
        <v>1265</v>
      </c>
      <c r="D36" s="464" t="s">
        <v>852</v>
      </c>
      <c r="E36" s="465">
        <v>80.0</v>
      </c>
      <c r="F36" s="465" t="s">
        <v>1387</v>
      </c>
      <c r="G36" s="466" t="s">
        <v>853</v>
      </c>
      <c r="H36" s="422">
        <v>40866.0</v>
      </c>
      <c r="I36" s="368"/>
      <c r="J36" s="368"/>
      <c r="K36" s="368"/>
    </row>
    <row r="37" ht="15.75" customHeight="1">
      <c r="A37" s="421"/>
      <c r="B37" s="411">
        <f t="shared" ref="B37:B39" si="5">B36+1</f>
        <v>19</v>
      </c>
      <c r="C37" s="95" t="s">
        <v>1268</v>
      </c>
      <c r="D37" s="464" t="s">
        <v>395</v>
      </c>
      <c r="E37" s="465">
        <v>100.0</v>
      </c>
      <c r="F37" s="465" t="s">
        <v>1388</v>
      </c>
      <c r="G37" s="466" t="s">
        <v>854</v>
      </c>
      <c r="H37" s="422">
        <v>40872.0</v>
      </c>
      <c r="I37" s="368"/>
      <c r="J37" s="368"/>
      <c r="K37" s="368"/>
    </row>
    <row r="38" ht="15.75" customHeight="1">
      <c r="A38" s="421"/>
      <c r="B38" s="411">
        <f t="shared" si="5"/>
        <v>20</v>
      </c>
      <c r="C38" s="95" t="s">
        <v>1271</v>
      </c>
      <c r="D38" s="464" t="s">
        <v>399</v>
      </c>
      <c r="E38" s="465">
        <v>120.0</v>
      </c>
      <c r="F38" s="462" t="s">
        <v>1389</v>
      </c>
      <c r="G38" s="466" t="s">
        <v>855</v>
      </c>
      <c r="H38" s="422">
        <v>40854.0</v>
      </c>
      <c r="I38" s="368"/>
      <c r="J38" s="368"/>
      <c r="K38" s="368"/>
    </row>
    <row r="39" ht="15.75" customHeight="1">
      <c r="A39" s="421"/>
      <c r="B39" s="411">
        <f t="shared" si="5"/>
        <v>21</v>
      </c>
      <c r="C39" s="95" t="s">
        <v>1275</v>
      </c>
      <c r="D39" s="464" t="s">
        <v>403</v>
      </c>
      <c r="E39" s="465">
        <v>150.0</v>
      </c>
      <c r="F39" s="462" t="s">
        <v>1390</v>
      </c>
      <c r="G39" s="466" t="s">
        <v>856</v>
      </c>
      <c r="H39" s="422">
        <v>40855.0</v>
      </c>
      <c r="I39" s="368"/>
      <c r="J39" s="368"/>
      <c r="K39" s="368"/>
    </row>
    <row r="40" ht="15.75" customHeight="1">
      <c r="A40" s="421"/>
      <c r="B40" s="411">
        <f>B29+1</f>
        <v>23</v>
      </c>
      <c r="C40" s="95" t="s">
        <v>1343</v>
      </c>
      <c r="D40" s="464" t="s">
        <v>460</v>
      </c>
      <c r="E40" s="465">
        <v>250.0</v>
      </c>
      <c r="F40" s="462" t="s">
        <v>1391</v>
      </c>
      <c r="G40" s="466" t="s">
        <v>858</v>
      </c>
      <c r="H40" s="422">
        <v>40862.0</v>
      </c>
      <c r="I40" s="368"/>
      <c r="J40" s="368"/>
      <c r="K40" s="368"/>
    </row>
    <row r="41" ht="15.75" customHeight="1">
      <c r="A41" s="421"/>
      <c r="B41" s="411">
        <f>B21+1</f>
        <v>36</v>
      </c>
      <c r="C41" s="47"/>
      <c r="D41" s="449"/>
      <c r="E41" s="468"/>
      <c r="F41" s="468"/>
      <c r="G41" s="452"/>
      <c r="H41" s="422"/>
      <c r="I41" s="422"/>
      <c r="J41" s="368"/>
      <c r="K41" s="368"/>
    </row>
    <row r="42" ht="15.75" customHeight="1">
      <c r="A42" s="421"/>
      <c r="B42" s="411">
        <f t="shared" ref="B42:B55" si="6">B41+1</f>
        <v>37</v>
      </c>
      <c r="C42" s="47"/>
      <c r="D42" s="449"/>
      <c r="E42" s="468"/>
      <c r="F42" s="468"/>
      <c r="G42" s="452"/>
      <c r="H42" s="422"/>
      <c r="I42" s="422"/>
      <c r="J42" s="368"/>
      <c r="K42" s="368"/>
    </row>
    <row r="43" ht="15.75" customHeight="1">
      <c r="A43" s="421"/>
      <c r="B43" s="411">
        <f t="shared" si="6"/>
        <v>38</v>
      </c>
      <c r="C43" s="47"/>
      <c r="D43" s="449"/>
      <c r="E43" s="468"/>
      <c r="F43" s="468"/>
      <c r="G43" s="452"/>
      <c r="H43" s="422"/>
      <c r="I43" s="422"/>
      <c r="J43" s="368"/>
      <c r="K43" s="368"/>
    </row>
    <row r="44" ht="15.75" customHeight="1">
      <c r="A44" s="421"/>
      <c r="B44" s="411">
        <f t="shared" si="6"/>
        <v>39</v>
      </c>
      <c r="C44" s="47"/>
      <c r="D44" s="449"/>
      <c r="E44" s="468"/>
      <c r="F44" s="468"/>
      <c r="G44" s="452"/>
      <c r="H44" s="422"/>
      <c r="I44" s="422"/>
      <c r="J44" s="368"/>
      <c r="K44" s="368"/>
    </row>
    <row r="45" ht="15.75" customHeight="1">
      <c r="A45" s="421"/>
      <c r="B45" s="411">
        <f t="shared" si="6"/>
        <v>40</v>
      </c>
      <c r="C45" s="47"/>
      <c r="D45" s="449"/>
      <c r="E45" s="468"/>
      <c r="F45" s="468"/>
      <c r="G45" s="452"/>
      <c r="H45" s="422"/>
      <c r="I45" s="422"/>
      <c r="J45" s="368"/>
      <c r="K45" s="368"/>
    </row>
    <row r="46" ht="15.75" customHeight="1">
      <c r="A46" s="421"/>
      <c r="B46" s="411">
        <f t="shared" si="6"/>
        <v>41</v>
      </c>
      <c r="C46" s="47"/>
      <c r="D46" s="449"/>
      <c r="E46" s="468"/>
      <c r="F46" s="468"/>
      <c r="G46" s="452"/>
      <c r="H46" s="422"/>
      <c r="I46" s="422"/>
      <c r="J46" s="368"/>
      <c r="K46" s="368"/>
    </row>
    <row r="47" ht="15.75" customHeight="1">
      <c r="A47" s="421"/>
      <c r="B47" s="411">
        <f t="shared" si="6"/>
        <v>42</v>
      </c>
      <c r="C47" s="47"/>
      <c r="D47" s="449"/>
      <c r="E47" s="468"/>
      <c r="F47" s="468"/>
      <c r="G47" s="452"/>
      <c r="H47" s="422"/>
      <c r="I47" s="422"/>
      <c r="J47" s="368"/>
      <c r="K47" s="368"/>
    </row>
    <row r="48" ht="15.75" customHeight="1">
      <c r="A48" s="421"/>
      <c r="B48" s="411">
        <f t="shared" si="6"/>
        <v>43</v>
      </c>
      <c r="C48" s="47"/>
      <c r="D48" s="449"/>
      <c r="E48" s="468"/>
      <c r="F48" s="468"/>
      <c r="G48" s="452"/>
      <c r="H48" s="422"/>
      <c r="I48" s="422"/>
      <c r="J48" s="368"/>
      <c r="K48" s="368"/>
    </row>
    <row r="49" ht="15.75" customHeight="1">
      <c r="A49" s="421"/>
      <c r="B49" s="411">
        <f t="shared" si="6"/>
        <v>44</v>
      </c>
      <c r="C49" s="47"/>
      <c r="D49" s="449"/>
      <c r="E49" s="468"/>
      <c r="F49" s="468"/>
      <c r="G49" s="452"/>
      <c r="H49" s="422"/>
      <c r="I49" s="422"/>
      <c r="J49" s="368"/>
      <c r="K49" s="368"/>
    </row>
    <row r="50" ht="15.75" customHeight="1">
      <c r="A50" s="421"/>
      <c r="B50" s="411">
        <f t="shared" si="6"/>
        <v>45</v>
      </c>
      <c r="C50" s="47"/>
      <c r="D50" s="449"/>
      <c r="E50" s="468"/>
      <c r="F50" s="468"/>
      <c r="G50" s="452"/>
      <c r="H50" s="422"/>
      <c r="I50" s="422"/>
      <c r="J50" s="368"/>
      <c r="K50" s="368"/>
    </row>
    <row r="51" ht="15.75" customHeight="1">
      <c r="A51" s="421"/>
      <c r="B51" s="411">
        <f t="shared" si="6"/>
        <v>46</v>
      </c>
      <c r="C51" s="47"/>
      <c r="D51" s="449"/>
      <c r="E51" s="468"/>
      <c r="F51" s="468"/>
      <c r="G51" s="452"/>
      <c r="H51" s="422"/>
      <c r="I51" s="422"/>
      <c r="J51" s="368"/>
      <c r="K51" s="368"/>
    </row>
    <row r="52" ht="15.75" customHeight="1">
      <c r="A52" s="421"/>
      <c r="B52" s="411">
        <f t="shared" si="6"/>
        <v>47</v>
      </c>
      <c r="C52" s="47"/>
      <c r="D52" s="449"/>
      <c r="E52" s="468"/>
      <c r="F52" s="468"/>
      <c r="G52" s="452"/>
      <c r="H52" s="422"/>
      <c r="I52" s="422"/>
      <c r="J52" s="368"/>
      <c r="K52" s="368"/>
    </row>
    <row r="53" ht="15.75" customHeight="1">
      <c r="A53" s="421"/>
      <c r="B53" s="411">
        <f t="shared" si="6"/>
        <v>48</v>
      </c>
      <c r="C53" s="47"/>
      <c r="D53" s="449"/>
      <c r="E53" s="468"/>
      <c r="F53" s="468"/>
      <c r="G53" s="452"/>
      <c r="H53" s="422"/>
      <c r="I53" s="422"/>
      <c r="J53" s="368"/>
      <c r="K53" s="368"/>
    </row>
    <row r="54" ht="15.75" customHeight="1">
      <c r="A54" s="421"/>
      <c r="B54" s="411">
        <f t="shared" si="6"/>
        <v>49</v>
      </c>
      <c r="C54" s="47"/>
      <c r="D54" s="449"/>
      <c r="E54" s="468"/>
      <c r="F54" s="468"/>
      <c r="G54" s="452"/>
      <c r="H54" s="422"/>
      <c r="I54" s="422"/>
      <c r="J54" s="368"/>
      <c r="K54" s="368"/>
    </row>
    <row r="55" ht="15.75" customHeight="1">
      <c r="A55" s="421"/>
      <c r="B55" s="411">
        <f t="shared" si="6"/>
        <v>50</v>
      </c>
      <c r="C55" s="47"/>
      <c r="D55" s="449"/>
      <c r="E55" s="468"/>
      <c r="F55" s="468"/>
      <c r="G55" s="452"/>
      <c r="H55" s="422"/>
      <c r="I55" s="422"/>
      <c r="J55" s="368"/>
      <c r="K55" s="368"/>
    </row>
    <row r="56" ht="15.75" customHeight="1">
      <c r="A56" s="421"/>
      <c r="B56" s="421"/>
      <c r="C56" s="421"/>
      <c r="D56" s="421"/>
      <c r="E56" s="421"/>
      <c r="F56" s="421"/>
      <c r="G56" s="422"/>
      <c r="H56" s="422"/>
      <c r="I56" s="422"/>
      <c r="J56" s="422"/>
      <c r="K56" s="422"/>
    </row>
    <row r="57" ht="15.75" customHeight="1">
      <c r="A57" s="458"/>
      <c r="B57" s="423" t="s">
        <v>1199</v>
      </c>
      <c r="C57" s="424"/>
      <c r="D57" s="421"/>
      <c r="E57" s="421"/>
      <c r="F57" s="421"/>
      <c r="G57" s="422"/>
      <c r="H57" s="422"/>
      <c r="I57" s="422"/>
      <c r="J57" s="422"/>
      <c r="K57" s="422"/>
    </row>
    <row r="58" ht="15.75" customHeight="1">
      <c r="A58" s="458"/>
      <c r="B58" s="425" t="s">
        <v>47</v>
      </c>
      <c r="C58" s="425" t="s">
        <v>686</v>
      </c>
      <c r="D58" s="425" t="s">
        <v>686</v>
      </c>
      <c r="E58" s="425" t="s">
        <v>1392</v>
      </c>
      <c r="F58" s="425" t="s">
        <v>925</v>
      </c>
      <c r="G58" s="425" t="s">
        <v>1393</v>
      </c>
      <c r="H58" s="469"/>
      <c r="I58" s="469"/>
      <c r="J58" s="469"/>
      <c r="K58" s="470"/>
    </row>
    <row r="59" ht="15.75" customHeight="1">
      <c r="A59" s="458"/>
      <c r="B59" s="411">
        <v>1.0</v>
      </c>
      <c r="C59" s="444" t="s">
        <v>1339</v>
      </c>
      <c r="D59" s="431" t="s">
        <v>961</v>
      </c>
      <c r="E59" s="443"/>
      <c r="F59" s="462" t="s">
        <v>1237</v>
      </c>
      <c r="G59" s="462" t="s">
        <v>1394</v>
      </c>
      <c r="H59" s="469"/>
      <c r="I59" s="469"/>
      <c r="J59" s="469"/>
      <c r="K59" s="470"/>
    </row>
    <row r="60" ht="15.75" customHeight="1">
      <c r="A60" s="458"/>
      <c r="B60" s="411">
        <f t="shared" ref="B60:B78" si="7">B59+1</f>
        <v>2</v>
      </c>
      <c r="C60" s="444" t="s">
        <v>1337</v>
      </c>
      <c r="D60" s="431" t="s">
        <v>968</v>
      </c>
      <c r="E60" s="443"/>
      <c r="F60" s="462" t="s">
        <v>1238</v>
      </c>
      <c r="G60" s="462" t="s">
        <v>1394</v>
      </c>
      <c r="H60" s="469"/>
      <c r="I60" s="469"/>
      <c r="J60" s="469"/>
      <c r="K60" s="470"/>
    </row>
    <row r="61" ht="15.75" customHeight="1">
      <c r="A61" s="458"/>
      <c r="B61" s="411">
        <f t="shared" si="7"/>
        <v>3</v>
      </c>
      <c r="C61" s="444" t="s">
        <v>1335</v>
      </c>
      <c r="D61" s="431" t="s">
        <v>970</v>
      </c>
      <c r="E61" s="443"/>
      <c r="F61" s="462" t="s">
        <v>1239</v>
      </c>
      <c r="G61" s="462" t="s">
        <v>1394</v>
      </c>
      <c r="H61" s="469"/>
      <c r="I61" s="469"/>
      <c r="J61" s="469"/>
      <c r="K61" s="470"/>
    </row>
    <row r="62" ht="15.75" customHeight="1">
      <c r="A62" s="458"/>
      <c r="B62" s="411">
        <f t="shared" si="7"/>
        <v>4</v>
      </c>
      <c r="C62" s="444" t="s">
        <v>1333</v>
      </c>
      <c r="D62" s="431" t="s">
        <v>972</v>
      </c>
      <c r="E62" s="443"/>
      <c r="F62" s="462" t="s">
        <v>1240</v>
      </c>
      <c r="G62" s="462" t="s">
        <v>1394</v>
      </c>
      <c r="H62" s="469"/>
      <c r="I62" s="469"/>
      <c r="J62" s="469"/>
      <c r="K62" s="470"/>
    </row>
    <row r="63" ht="15.75" customHeight="1">
      <c r="A63" s="458"/>
      <c r="B63" s="411">
        <f t="shared" si="7"/>
        <v>5</v>
      </c>
      <c r="C63" s="444" t="s">
        <v>1331</v>
      </c>
      <c r="D63" s="431" t="s">
        <v>974</v>
      </c>
      <c r="E63" s="443"/>
      <c r="F63" s="462" t="s">
        <v>1241</v>
      </c>
      <c r="G63" s="462" t="s">
        <v>1394</v>
      </c>
      <c r="H63" s="469"/>
      <c r="I63" s="469"/>
      <c r="J63" s="469"/>
      <c r="K63" s="470"/>
    </row>
    <row r="64" ht="15.75" customHeight="1">
      <c r="A64" s="458"/>
      <c r="B64" s="411">
        <f t="shared" si="7"/>
        <v>6</v>
      </c>
      <c r="C64" s="444" t="s">
        <v>1328</v>
      </c>
      <c r="D64" s="431" t="s">
        <v>1329</v>
      </c>
      <c r="E64" s="443"/>
      <c r="F64" s="462" t="s">
        <v>1242</v>
      </c>
      <c r="G64" s="462" t="s">
        <v>1394</v>
      </c>
      <c r="H64" s="469"/>
      <c r="I64" s="469"/>
      <c r="J64" s="469"/>
      <c r="K64" s="470"/>
    </row>
    <row r="65" ht="15.75" customHeight="1">
      <c r="A65" s="458"/>
      <c r="B65" s="411">
        <f t="shared" si="7"/>
        <v>7</v>
      </c>
      <c r="C65" s="40"/>
      <c r="D65" s="443"/>
      <c r="E65" s="443"/>
      <c r="F65" s="411"/>
      <c r="G65" s="411"/>
      <c r="H65" s="469"/>
      <c r="I65" s="469"/>
      <c r="J65" s="469"/>
      <c r="K65" s="470"/>
    </row>
    <row r="66" ht="15.75" customHeight="1">
      <c r="A66" s="458"/>
      <c r="B66" s="411">
        <f t="shared" si="7"/>
        <v>8</v>
      </c>
      <c r="C66" s="40"/>
      <c r="D66" s="443"/>
      <c r="E66" s="443"/>
      <c r="F66" s="411"/>
      <c r="G66" s="411"/>
      <c r="H66" s="469"/>
      <c r="I66" s="469"/>
      <c r="J66" s="469"/>
      <c r="K66" s="470"/>
    </row>
    <row r="67" ht="15.75" customHeight="1">
      <c r="A67" s="458"/>
      <c r="B67" s="411">
        <f t="shared" si="7"/>
        <v>9</v>
      </c>
      <c r="C67" s="40"/>
      <c r="D67" s="443"/>
      <c r="E67" s="443"/>
      <c r="F67" s="411"/>
      <c r="G67" s="411"/>
      <c r="H67" s="469"/>
      <c r="I67" s="469"/>
      <c r="J67" s="469"/>
      <c r="K67" s="470"/>
    </row>
    <row r="68" ht="15.75" customHeight="1">
      <c r="A68" s="458"/>
      <c r="B68" s="411">
        <f t="shared" si="7"/>
        <v>10</v>
      </c>
      <c r="C68" s="40"/>
      <c r="D68" s="443"/>
      <c r="E68" s="443"/>
      <c r="F68" s="411"/>
      <c r="G68" s="411"/>
      <c r="H68" s="469"/>
      <c r="I68" s="469"/>
      <c r="J68" s="469"/>
      <c r="K68" s="470"/>
    </row>
    <row r="69" ht="15.75" customHeight="1">
      <c r="A69" s="458"/>
      <c r="B69" s="411">
        <f t="shared" si="7"/>
        <v>11</v>
      </c>
      <c r="C69" s="40"/>
      <c r="D69" s="443"/>
      <c r="E69" s="443"/>
      <c r="F69" s="411"/>
      <c r="G69" s="411"/>
      <c r="H69" s="469"/>
      <c r="I69" s="469"/>
      <c r="J69" s="469"/>
      <c r="K69" s="470"/>
    </row>
    <row r="70" ht="15.75" customHeight="1">
      <c r="A70" s="458"/>
      <c r="B70" s="411">
        <f t="shared" si="7"/>
        <v>12</v>
      </c>
      <c r="C70" s="40"/>
      <c r="D70" s="443"/>
      <c r="E70" s="443"/>
      <c r="F70" s="411"/>
      <c r="G70" s="411"/>
      <c r="H70" s="469"/>
      <c r="I70" s="469"/>
      <c r="J70" s="469"/>
      <c r="K70" s="470"/>
    </row>
    <row r="71" ht="15.75" customHeight="1">
      <c r="A71" s="458"/>
      <c r="B71" s="411">
        <f t="shared" si="7"/>
        <v>13</v>
      </c>
      <c r="C71" s="40"/>
      <c r="D71" s="443"/>
      <c r="E71" s="443"/>
      <c r="F71" s="411"/>
      <c r="G71" s="411"/>
      <c r="H71" s="469"/>
      <c r="I71" s="469"/>
      <c r="J71" s="469"/>
      <c r="K71" s="470"/>
    </row>
    <row r="72" ht="15.75" customHeight="1">
      <c r="A72" s="458"/>
      <c r="B72" s="411">
        <f t="shared" si="7"/>
        <v>14</v>
      </c>
      <c r="C72" s="40"/>
      <c r="D72" s="443"/>
      <c r="E72" s="443"/>
      <c r="F72" s="411"/>
      <c r="G72" s="411"/>
      <c r="H72" s="469"/>
      <c r="I72" s="469"/>
      <c r="J72" s="469"/>
      <c r="K72" s="470"/>
    </row>
    <row r="73" ht="15.75" customHeight="1">
      <c r="A73" s="458"/>
      <c r="B73" s="411">
        <f t="shared" si="7"/>
        <v>15</v>
      </c>
      <c r="C73" s="40"/>
      <c r="D73" s="443"/>
      <c r="E73" s="443"/>
      <c r="F73" s="411"/>
      <c r="G73" s="411"/>
      <c r="H73" s="469"/>
      <c r="I73" s="469"/>
      <c r="J73" s="469"/>
      <c r="K73" s="470"/>
    </row>
    <row r="74" ht="15.75" customHeight="1">
      <c r="A74" s="458"/>
      <c r="B74" s="411">
        <f t="shared" si="7"/>
        <v>16</v>
      </c>
      <c r="C74" s="40"/>
      <c r="D74" s="443"/>
      <c r="E74" s="443"/>
      <c r="F74" s="411"/>
      <c r="G74" s="411"/>
      <c r="H74" s="469"/>
      <c r="I74" s="469"/>
      <c r="J74" s="469"/>
      <c r="K74" s="470"/>
    </row>
    <row r="75" ht="15.75" customHeight="1">
      <c r="A75" s="458"/>
      <c r="B75" s="411">
        <f t="shared" si="7"/>
        <v>17</v>
      </c>
      <c r="C75" s="40"/>
      <c r="D75" s="443"/>
      <c r="E75" s="443"/>
      <c r="F75" s="411"/>
      <c r="G75" s="411"/>
      <c r="H75" s="469"/>
      <c r="I75" s="469"/>
      <c r="J75" s="469"/>
      <c r="K75" s="470"/>
    </row>
    <row r="76" ht="15.75" customHeight="1">
      <c r="A76" s="458"/>
      <c r="B76" s="411">
        <f t="shared" si="7"/>
        <v>18</v>
      </c>
      <c r="C76" s="40"/>
      <c r="D76" s="443"/>
      <c r="E76" s="443"/>
      <c r="F76" s="411"/>
      <c r="G76" s="411"/>
      <c r="H76" s="469"/>
      <c r="I76" s="469"/>
      <c r="J76" s="469"/>
      <c r="K76" s="470"/>
    </row>
    <row r="77" ht="15.75" customHeight="1">
      <c r="A77" s="458"/>
      <c r="B77" s="411">
        <f t="shared" si="7"/>
        <v>19</v>
      </c>
      <c r="C77" s="40"/>
      <c r="D77" s="443"/>
      <c r="E77" s="443"/>
      <c r="F77" s="411"/>
      <c r="G77" s="411"/>
      <c r="H77" s="469"/>
      <c r="I77" s="469"/>
      <c r="J77" s="469"/>
      <c r="K77" s="470"/>
    </row>
    <row r="78" ht="15.75" customHeight="1">
      <c r="A78" s="458"/>
      <c r="B78" s="411">
        <f t="shared" si="7"/>
        <v>20</v>
      </c>
      <c r="C78" s="40"/>
      <c r="D78" s="443"/>
      <c r="E78" s="443"/>
      <c r="F78" s="411"/>
      <c r="G78" s="411"/>
      <c r="H78" s="469"/>
      <c r="I78" s="469"/>
      <c r="J78" s="469"/>
      <c r="K78" s="470"/>
    </row>
    <row r="79" ht="15.75" customHeight="1">
      <c r="A79" s="421"/>
      <c r="B79" s="421"/>
      <c r="C79" s="421"/>
      <c r="D79" s="421"/>
      <c r="E79" s="421"/>
      <c r="F79" s="421"/>
      <c r="G79" s="422"/>
      <c r="H79" s="422"/>
      <c r="I79" s="422"/>
      <c r="J79" s="422"/>
      <c r="K79" s="422"/>
    </row>
    <row r="80" ht="15.75" customHeight="1">
      <c r="A80" s="421"/>
      <c r="B80" s="423" t="s">
        <v>1395</v>
      </c>
      <c r="C80" s="424"/>
      <c r="D80" s="421"/>
      <c r="E80" s="421"/>
      <c r="F80" s="421"/>
      <c r="G80" s="422"/>
      <c r="H80" s="422"/>
      <c r="I80" s="422"/>
      <c r="J80" s="422"/>
      <c r="K80" s="422"/>
    </row>
    <row r="81" ht="15.75" customHeight="1">
      <c r="A81" s="421"/>
      <c r="B81" s="425" t="s">
        <v>47</v>
      </c>
      <c r="C81" s="425" t="s">
        <v>686</v>
      </c>
      <c r="D81" s="425" t="s">
        <v>1392</v>
      </c>
      <c r="E81" s="425" t="s">
        <v>925</v>
      </c>
      <c r="F81" s="422"/>
      <c r="G81" s="422"/>
      <c r="H81" s="422"/>
      <c r="I81" s="422"/>
      <c r="J81" s="422"/>
      <c r="K81" s="422"/>
    </row>
    <row r="82" ht="15.75" customHeight="1">
      <c r="A82" s="458"/>
      <c r="B82" s="411">
        <v>1.0</v>
      </c>
      <c r="C82" s="443"/>
      <c r="D82" s="443"/>
      <c r="E82" s="411"/>
      <c r="F82" s="422"/>
      <c r="G82" s="422"/>
      <c r="H82" s="422"/>
      <c r="I82" s="422"/>
      <c r="J82" s="422"/>
      <c r="K82" s="422"/>
    </row>
    <row r="83" ht="15.75" customHeight="1">
      <c r="A83" s="458"/>
      <c r="B83" s="411">
        <f t="shared" ref="B83:B91" si="8">B82+1</f>
        <v>2</v>
      </c>
      <c r="C83" s="443"/>
      <c r="D83" s="443"/>
      <c r="E83" s="411"/>
      <c r="F83" s="422"/>
      <c r="G83" s="422"/>
      <c r="H83" s="422"/>
      <c r="I83" s="422"/>
      <c r="J83" s="422"/>
      <c r="K83" s="422"/>
    </row>
    <row r="84" ht="15.75" customHeight="1">
      <c r="A84" s="458"/>
      <c r="B84" s="411">
        <f t="shared" si="8"/>
        <v>3</v>
      </c>
      <c r="C84" s="443"/>
      <c r="D84" s="443"/>
      <c r="E84" s="411"/>
      <c r="F84" s="422"/>
      <c r="G84" s="422"/>
      <c r="H84" s="422"/>
      <c r="I84" s="422"/>
      <c r="J84" s="422"/>
      <c r="K84" s="422"/>
    </row>
    <row r="85" ht="15.75" customHeight="1">
      <c r="A85" s="458"/>
      <c r="B85" s="411">
        <f t="shared" si="8"/>
        <v>4</v>
      </c>
      <c r="C85" s="443"/>
      <c r="D85" s="443"/>
      <c r="E85" s="411"/>
      <c r="F85" s="422"/>
      <c r="G85" s="422"/>
      <c r="H85" s="422"/>
      <c r="I85" s="422"/>
      <c r="J85" s="422"/>
      <c r="K85" s="422"/>
    </row>
    <row r="86" ht="15.75" customHeight="1">
      <c r="A86" s="458"/>
      <c r="B86" s="411">
        <f t="shared" si="8"/>
        <v>5</v>
      </c>
      <c r="C86" s="443"/>
      <c r="D86" s="443"/>
      <c r="E86" s="411"/>
      <c r="F86" s="422"/>
      <c r="G86" s="422"/>
      <c r="H86" s="422"/>
      <c r="I86" s="422"/>
      <c r="J86" s="422"/>
      <c r="K86" s="422"/>
    </row>
    <row r="87" ht="15.75" customHeight="1">
      <c r="A87" s="458"/>
      <c r="B87" s="411">
        <f t="shared" si="8"/>
        <v>6</v>
      </c>
      <c r="C87" s="443"/>
      <c r="D87" s="443"/>
      <c r="E87" s="411"/>
      <c r="F87" s="422"/>
      <c r="G87" s="422"/>
      <c r="H87" s="422"/>
      <c r="I87" s="422"/>
      <c r="J87" s="422"/>
      <c r="K87" s="422"/>
    </row>
    <row r="88" ht="15.75" customHeight="1">
      <c r="A88" s="458"/>
      <c r="B88" s="411">
        <f t="shared" si="8"/>
        <v>7</v>
      </c>
      <c r="C88" s="443"/>
      <c r="D88" s="443"/>
      <c r="E88" s="411"/>
      <c r="F88" s="422"/>
      <c r="G88" s="422"/>
      <c r="H88" s="422"/>
      <c r="I88" s="422"/>
      <c r="J88" s="422"/>
      <c r="K88" s="422"/>
    </row>
    <row r="89" ht="15.75" customHeight="1">
      <c r="A89" s="458"/>
      <c r="B89" s="411">
        <f t="shared" si="8"/>
        <v>8</v>
      </c>
      <c r="C89" s="443"/>
      <c r="D89" s="443"/>
      <c r="E89" s="411"/>
      <c r="F89" s="422"/>
      <c r="G89" s="422"/>
      <c r="H89" s="422"/>
      <c r="I89" s="422"/>
      <c r="J89" s="422"/>
      <c r="K89" s="422"/>
    </row>
    <row r="90" ht="15.75" customHeight="1">
      <c r="A90" s="458"/>
      <c r="B90" s="411">
        <f t="shared" si="8"/>
        <v>9</v>
      </c>
      <c r="C90" s="443"/>
      <c r="D90" s="443"/>
      <c r="E90" s="411"/>
      <c r="F90" s="422"/>
      <c r="G90" s="422"/>
      <c r="H90" s="422"/>
      <c r="I90" s="422"/>
      <c r="J90" s="422"/>
      <c r="K90" s="422"/>
    </row>
    <row r="91" ht="15.75" customHeight="1">
      <c r="A91" s="458"/>
      <c r="B91" s="411">
        <f t="shared" si="8"/>
        <v>10</v>
      </c>
      <c r="C91" s="443"/>
      <c r="D91" s="443"/>
      <c r="E91" s="411"/>
      <c r="F91" s="422"/>
      <c r="G91" s="422"/>
      <c r="H91" s="422"/>
      <c r="I91" s="422"/>
      <c r="J91" s="422"/>
      <c r="K91" s="422"/>
    </row>
    <row r="92" ht="15.75" customHeight="1">
      <c r="A92" s="458"/>
      <c r="B92" s="421"/>
      <c r="C92" s="421"/>
      <c r="D92" s="421"/>
      <c r="E92" s="421"/>
      <c r="F92" s="422"/>
      <c r="G92" s="422"/>
      <c r="H92" s="422"/>
      <c r="I92" s="422"/>
      <c r="J92" s="422"/>
      <c r="K92" s="422"/>
    </row>
    <row r="93" ht="15.75" customHeight="1">
      <c r="A93" s="458"/>
      <c r="B93" s="423" t="s">
        <v>1396</v>
      </c>
      <c r="C93" s="424"/>
      <c r="D93" s="421"/>
      <c r="E93" s="421"/>
      <c r="F93" s="422"/>
      <c r="G93" s="422"/>
      <c r="H93" s="422"/>
      <c r="I93" s="422"/>
      <c r="J93" s="422"/>
      <c r="K93" s="422"/>
    </row>
    <row r="94" ht="15.75" customHeight="1">
      <c r="A94" s="458"/>
      <c r="B94" s="425" t="s">
        <v>47</v>
      </c>
      <c r="C94" s="425" t="s">
        <v>925</v>
      </c>
      <c r="D94" s="471" t="s">
        <v>1392</v>
      </c>
      <c r="E94" s="9"/>
      <c r="F94" s="422"/>
      <c r="G94" s="422"/>
      <c r="H94" s="422"/>
      <c r="I94" s="422"/>
      <c r="J94" s="422"/>
      <c r="K94" s="422"/>
    </row>
    <row r="95" ht="15.75" customHeight="1">
      <c r="A95" s="458"/>
      <c r="B95" s="411">
        <v>1.0</v>
      </c>
      <c r="C95" s="411"/>
      <c r="D95" s="472"/>
      <c r="E95" s="9"/>
      <c r="F95" s="422"/>
      <c r="G95" s="422"/>
      <c r="H95" s="422"/>
      <c r="I95" s="422"/>
      <c r="J95" s="422"/>
      <c r="K95" s="422"/>
    </row>
    <row r="96" ht="15.75" customHeight="1">
      <c r="A96" s="458"/>
      <c r="B96" s="411">
        <f t="shared" ref="B96:B99" si="9">B95+1</f>
        <v>2</v>
      </c>
      <c r="C96" s="411"/>
      <c r="D96" s="472"/>
      <c r="E96" s="9"/>
      <c r="F96" s="422"/>
      <c r="G96" s="422"/>
      <c r="H96" s="422"/>
      <c r="I96" s="422"/>
      <c r="J96" s="422"/>
      <c r="K96" s="422"/>
    </row>
    <row r="97" ht="15.75" customHeight="1">
      <c r="A97" s="458"/>
      <c r="B97" s="411">
        <f t="shared" si="9"/>
        <v>3</v>
      </c>
      <c r="C97" s="411"/>
      <c r="D97" s="472"/>
      <c r="E97" s="9"/>
      <c r="F97" s="422"/>
      <c r="G97" s="422"/>
      <c r="H97" s="422"/>
      <c r="I97" s="422"/>
      <c r="J97" s="422"/>
      <c r="K97" s="422"/>
    </row>
    <row r="98" ht="15.75" customHeight="1">
      <c r="A98" s="458"/>
      <c r="B98" s="411">
        <f t="shared" si="9"/>
        <v>4</v>
      </c>
      <c r="C98" s="411"/>
      <c r="D98" s="472"/>
      <c r="E98" s="9"/>
      <c r="F98" s="422"/>
      <c r="G98" s="422"/>
      <c r="H98" s="422"/>
      <c r="I98" s="422"/>
      <c r="J98" s="422"/>
      <c r="K98" s="422"/>
    </row>
    <row r="99" ht="15.75" customHeight="1">
      <c r="A99" s="458"/>
      <c r="B99" s="411">
        <f t="shared" si="9"/>
        <v>5</v>
      </c>
      <c r="C99" s="411"/>
      <c r="D99" s="472"/>
      <c r="E99" s="9"/>
      <c r="F99" s="422"/>
      <c r="G99" s="422"/>
      <c r="H99" s="422"/>
      <c r="I99" s="422"/>
      <c r="J99" s="422"/>
      <c r="K99" s="422"/>
    </row>
    <row r="100" ht="15.75" customHeight="1">
      <c r="A100" s="458"/>
      <c r="B100" s="421"/>
      <c r="C100" s="421"/>
      <c r="D100" s="421"/>
      <c r="E100" s="421"/>
      <c r="F100" s="421"/>
      <c r="G100" s="422"/>
      <c r="H100" s="422"/>
      <c r="I100" s="422"/>
      <c r="J100" s="422"/>
      <c r="K100" s="422"/>
    </row>
    <row r="101" ht="15.75" customHeight="1">
      <c r="A101" s="458"/>
      <c r="B101" s="421"/>
      <c r="C101" s="421"/>
      <c r="D101" s="421"/>
      <c r="E101" s="421"/>
      <c r="F101" s="421"/>
      <c r="G101" s="422"/>
      <c r="H101" s="422"/>
      <c r="I101" s="422"/>
      <c r="J101" s="422"/>
      <c r="K101" s="422"/>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D97:E97"/>
    <mergeCell ref="D98:E98"/>
    <mergeCell ref="D99:E99"/>
    <mergeCell ref="B3:C3"/>
    <mergeCell ref="B57:C57"/>
    <mergeCell ref="B80:C80"/>
    <mergeCell ref="B93:C93"/>
    <mergeCell ref="D94:E94"/>
    <mergeCell ref="D95:E95"/>
    <mergeCell ref="D96:E96"/>
  </mergeCells>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43"/>
    <col customWidth="1" min="2" max="2" width="7.29"/>
    <col customWidth="1" min="3" max="3" width="10.14"/>
    <col customWidth="1" min="4" max="4" width="25.86"/>
    <col customWidth="1" min="5" max="5" width="33.0"/>
    <col customWidth="1" min="6" max="6" width="24.43"/>
    <col customWidth="1" min="7" max="7" width="10.14"/>
    <col customWidth="1" min="8" max="9" width="11.57"/>
    <col customWidth="1" min="10" max="11" width="18.71"/>
    <col customWidth="1" min="12" max="14" width="8.71"/>
  </cols>
  <sheetData>
    <row r="1" ht="30.0" customHeight="1">
      <c r="A1" s="419"/>
      <c r="B1" s="473" t="str">
        <f>"本編促進「"&amp;'参照_概要'!$E$12&amp;"」 ショップ"</f>
        <v>本編促進「あやかし恋遊戯」 ショップ</v>
      </c>
      <c r="C1" s="8"/>
      <c r="D1" s="8"/>
      <c r="E1" s="8"/>
      <c r="F1" s="8"/>
      <c r="G1" s="9"/>
      <c r="H1" s="381"/>
      <c r="I1" s="381"/>
      <c r="J1" s="474"/>
      <c r="K1" s="474"/>
      <c r="L1" s="381"/>
      <c r="M1" s="381"/>
      <c r="N1" s="381"/>
    </row>
    <row r="2">
      <c r="A2" s="475"/>
      <c r="B2" s="475"/>
      <c r="C2" s="475"/>
      <c r="D2" s="475"/>
      <c r="E2" s="475"/>
      <c r="F2" s="475"/>
      <c r="G2" s="476"/>
      <c r="H2" s="475"/>
      <c r="I2" s="475"/>
      <c r="J2" s="477"/>
      <c r="K2" s="476"/>
      <c r="L2" s="475"/>
      <c r="M2" s="475"/>
      <c r="N2" s="475"/>
    </row>
    <row r="3">
      <c r="A3" s="475"/>
      <c r="B3" s="478" t="s">
        <v>1397</v>
      </c>
      <c r="C3" s="8"/>
      <c r="D3" s="8"/>
      <c r="E3" s="8"/>
      <c r="F3" s="8"/>
      <c r="G3" s="9"/>
      <c r="H3" s="475"/>
      <c r="I3" s="475"/>
      <c r="J3" s="477"/>
      <c r="K3" s="476"/>
      <c r="L3" s="475"/>
      <c r="M3" s="475"/>
      <c r="N3" s="475"/>
    </row>
    <row r="4">
      <c r="A4" s="475"/>
      <c r="B4" s="479" t="s">
        <v>1398</v>
      </c>
      <c r="C4" s="390"/>
      <c r="D4" s="390"/>
      <c r="E4" s="390"/>
      <c r="F4" s="390"/>
      <c r="G4" s="391"/>
      <c r="H4" s="475"/>
      <c r="I4" s="475"/>
      <c r="J4" s="477"/>
      <c r="K4" s="476"/>
      <c r="L4" s="475"/>
      <c r="M4" s="475"/>
      <c r="N4" s="475"/>
    </row>
    <row r="5">
      <c r="A5" s="475"/>
      <c r="B5" s="417"/>
      <c r="G5" s="393"/>
      <c r="H5" s="475"/>
      <c r="I5" s="480"/>
      <c r="J5" s="477"/>
      <c r="K5" s="476"/>
      <c r="L5" s="475"/>
      <c r="M5" s="475"/>
      <c r="N5" s="475"/>
    </row>
    <row r="6">
      <c r="A6" s="475"/>
      <c r="B6" s="418"/>
      <c r="C6" s="395"/>
      <c r="D6" s="395"/>
      <c r="E6" s="395"/>
      <c r="F6" s="395"/>
      <c r="G6" s="396"/>
      <c r="H6" s="475"/>
      <c r="I6" s="480"/>
      <c r="J6" s="477"/>
      <c r="K6" s="476"/>
      <c r="L6" s="475"/>
      <c r="M6" s="475"/>
      <c r="N6" s="475"/>
    </row>
    <row r="7">
      <c r="A7" s="475"/>
      <c r="B7" s="475"/>
      <c r="C7" s="475"/>
      <c r="D7" s="475"/>
      <c r="E7" s="475"/>
      <c r="F7" s="475"/>
      <c r="G7" s="481"/>
      <c r="H7" s="475"/>
      <c r="I7" s="480"/>
      <c r="J7" s="477"/>
      <c r="K7" s="476"/>
      <c r="L7" s="475"/>
      <c r="M7" s="475"/>
      <c r="N7" s="475"/>
    </row>
    <row r="8">
      <c r="A8" s="475"/>
      <c r="B8" s="482" t="s">
        <v>51</v>
      </c>
      <c r="C8" s="428"/>
      <c r="D8" s="475"/>
      <c r="E8" s="475"/>
      <c r="F8" s="475"/>
      <c r="G8" s="481"/>
      <c r="H8" s="475"/>
      <c r="I8" s="475"/>
      <c r="J8" s="476"/>
      <c r="K8" s="476"/>
      <c r="L8" s="475"/>
      <c r="M8" s="475"/>
      <c r="N8" s="475"/>
    </row>
    <row r="9">
      <c r="A9" s="475"/>
      <c r="B9" s="483" t="s">
        <v>47</v>
      </c>
      <c r="C9" s="483" t="s">
        <v>1203</v>
      </c>
      <c r="D9" s="483" t="s">
        <v>976</v>
      </c>
      <c r="E9" s="483" t="s">
        <v>1399</v>
      </c>
      <c r="F9" s="484" t="s">
        <v>1400</v>
      </c>
      <c r="G9" s="485"/>
      <c r="H9" s="483" t="s">
        <v>1401</v>
      </c>
      <c r="I9" s="483" t="s">
        <v>1402</v>
      </c>
      <c r="J9" s="483" t="s">
        <v>1187</v>
      </c>
      <c r="K9" s="483" t="s">
        <v>1188</v>
      </c>
      <c r="L9" s="475"/>
      <c r="M9" s="475"/>
      <c r="N9" s="475"/>
    </row>
    <row r="10">
      <c r="A10" s="475"/>
      <c r="B10" s="21"/>
      <c r="C10" s="21"/>
      <c r="D10" s="21"/>
      <c r="E10" s="21"/>
      <c r="F10" s="403" t="s">
        <v>1204</v>
      </c>
      <c r="G10" s="403" t="s">
        <v>698</v>
      </c>
      <c r="H10" s="21"/>
      <c r="I10" s="21"/>
      <c r="J10" s="21"/>
      <c r="K10" s="21"/>
      <c r="L10" s="475"/>
      <c r="M10" s="475"/>
      <c r="N10" s="475"/>
    </row>
    <row r="11">
      <c r="A11" s="475"/>
      <c r="B11" s="486">
        <v>1.0</v>
      </c>
      <c r="C11" s="487" t="s">
        <v>1190</v>
      </c>
      <c r="D11" s="488" t="str">
        <f>'参照_概要'!$C$13&amp;"◆100 Coin Set"</f>
        <v>Mystic Matrimony◆100 Coin Set</v>
      </c>
      <c r="E11" s="489" t="s">
        <v>1007</v>
      </c>
      <c r="F11" s="490" t="s">
        <v>1163</v>
      </c>
      <c r="G11" s="491">
        <v>5.0</v>
      </c>
      <c r="H11" s="492">
        <v>100.0</v>
      </c>
      <c r="I11" s="492">
        <v>1.0</v>
      </c>
      <c r="J11" s="493">
        <f>'参照_概要'!$C$17</f>
        <v>46074.70833</v>
      </c>
      <c r="K11" s="494">
        <f>'参照_概要'!$D$17</f>
        <v>46080.70833</v>
      </c>
      <c r="L11" s="480"/>
      <c r="M11" s="480"/>
      <c r="N11" s="475"/>
    </row>
    <row r="12">
      <c r="A12" s="475"/>
      <c r="B12" s="20"/>
      <c r="C12" s="20"/>
      <c r="D12" s="275"/>
      <c r="E12" s="275"/>
      <c r="F12" s="490" t="s">
        <v>646</v>
      </c>
      <c r="G12" s="491">
        <v>1.0</v>
      </c>
      <c r="H12" s="275"/>
      <c r="I12" s="275"/>
      <c r="J12" s="275"/>
      <c r="K12" s="275"/>
      <c r="L12" s="480"/>
      <c r="M12" s="480"/>
      <c r="N12" s="475"/>
    </row>
    <row r="13">
      <c r="A13" s="475"/>
      <c r="B13" s="20"/>
      <c r="C13" s="20"/>
      <c r="D13" s="275"/>
      <c r="E13" s="275"/>
      <c r="F13" s="490" t="s">
        <v>657</v>
      </c>
      <c r="G13" s="491">
        <v>1.0</v>
      </c>
      <c r="H13" s="275"/>
      <c r="I13" s="275"/>
      <c r="J13" s="275"/>
      <c r="K13" s="275"/>
      <c r="L13" s="480"/>
      <c r="M13" s="480"/>
      <c r="N13" s="475"/>
    </row>
    <row r="14">
      <c r="A14" s="475"/>
      <c r="B14" s="20"/>
      <c r="C14" s="20"/>
      <c r="D14" s="275"/>
      <c r="E14" s="275"/>
      <c r="F14" s="490"/>
      <c r="G14" s="491"/>
      <c r="H14" s="275"/>
      <c r="I14" s="275"/>
      <c r="J14" s="275"/>
      <c r="K14" s="275"/>
      <c r="L14" s="480"/>
      <c r="M14" s="480"/>
      <c r="N14" s="475"/>
    </row>
    <row r="15">
      <c r="A15" s="475"/>
      <c r="B15" s="20"/>
      <c r="C15" s="20"/>
      <c r="D15" s="275"/>
      <c r="E15" s="275"/>
      <c r="F15" s="490"/>
      <c r="G15" s="491"/>
      <c r="H15" s="275"/>
      <c r="I15" s="275"/>
      <c r="J15" s="275"/>
      <c r="K15" s="275"/>
      <c r="L15" s="480"/>
      <c r="M15" s="480"/>
      <c r="N15" s="475"/>
    </row>
    <row r="16">
      <c r="A16" s="475"/>
      <c r="B16" s="20"/>
      <c r="C16" s="20"/>
      <c r="D16" s="275"/>
      <c r="E16" s="275"/>
      <c r="F16" s="490"/>
      <c r="G16" s="491"/>
      <c r="H16" s="275"/>
      <c r="I16" s="275"/>
      <c r="J16" s="275"/>
      <c r="K16" s="275"/>
      <c r="L16" s="480"/>
      <c r="M16" s="480"/>
      <c r="N16" s="475"/>
    </row>
    <row r="17">
      <c r="A17" s="475"/>
      <c r="B17" s="20"/>
      <c r="C17" s="20"/>
      <c r="D17" s="275"/>
      <c r="E17" s="275"/>
      <c r="F17" s="490"/>
      <c r="G17" s="491"/>
      <c r="H17" s="275"/>
      <c r="I17" s="275"/>
      <c r="J17" s="275"/>
      <c r="K17" s="275"/>
      <c r="L17" s="480"/>
      <c r="M17" s="480"/>
      <c r="N17" s="475"/>
    </row>
    <row r="18">
      <c r="A18" s="475"/>
      <c r="B18" s="20"/>
      <c r="C18" s="20"/>
      <c r="D18" s="275"/>
      <c r="E18" s="275"/>
      <c r="F18" s="490"/>
      <c r="G18" s="491"/>
      <c r="H18" s="275"/>
      <c r="I18" s="275"/>
      <c r="J18" s="275"/>
      <c r="K18" s="275"/>
      <c r="L18" s="480"/>
      <c r="M18" s="480"/>
      <c r="N18" s="475"/>
    </row>
    <row r="19">
      <c r="A19" s="475"/>
      <c r="B19" s="20"/>
      <c r="C19" s="20"/>
      <c r="D19" s="275"/>
      <c r="E19" s="275"/>
      <c r="F19" s="490"/>
      <c r="G19" s="491"/>
      <c r="H19" s="275"/>
      <c r="I19" s="275"/>
      <c r="J19" s="275"/>
      <c r="K19" s="275"/>
      <c r="L19" s="480"/>
      <c r="M19" s="480"/>
      <c r="N19" s="475"/>
    </row>
    <row r="20">
      <c r="A20" s="475"/>
      <c r="B20" s="21"/>
      <c r="C20" s="21"/>
      <c r="D20" s="259"/>
      <c r="E20" s="259"/>
      <c r="F20" s="490"/>
      <c r="G20" s="491"/>
      <c r="H20" s="259"/>
      <c r="I20" s="259"/>
      <c r="J20" s="259"/>
      <c r="K20" s="259"/>
      <c r="L20" s="480"/>
      <c r="M20" s="480"/>
      <c r="N20" s="475"/>
    </row>
    <row r="21" ht="15.75" customHeight="1">
      <c r="A21" s="475"/>
      <c r="B21" s="486">
        <f>B11+1</f>
        <v>2</v>
      </c>
      <c r="C21" s="487" t="s">
        <v>1190</v>
      </c>
      <c r="D21" s="488" t="str">
        <f>'参照_概要'!$C$13&amp;"◆Special Set"</f>
        <v>Mystic Matrimony◆Special Set</v>
      </c>
      <c r="E21" s="495" t="s">
        <v>1023</v>
      </c>
      <c r="F21" s="490" t="s">
        <v>654</v>
      </c>
      <c r="G21" s="491">
        <v>55.0</v>
      </c>
      <c r="H21" s="492">
        <v>5300.0</v>
      </c>
      <c r="I21" s="492">
        <v>1.0</v>
      </c>
      <c r="J21" s="493">
        <f>'参照_概要'!$C$17</f>
        <v>46074.70833</v>
      </c>
      <c r="K21" s="494">
        <f>'参照_概要'!$D$17</f>
        <v>46080.70833</v>
      </c>
      <c r="L21" s="480"/>
      <c r="M21" s="496"/>
      <c r="N21" s="475"/>
    </row>
    <row r="22" ht="15.75" customHeight="1">
      <c r="A22" s="475"/>
      <c r="B22" s="20"/>
      <c r="C22" s="20"/>
      <c r="D22" s="275"/>
      <c r="E22" s="275"/>
      <c r="F22" s="490" t="s">
        <v>1163</v>
      </c>
      <c r="G22" s="491">
        <v>30.0</v>
      </c>
      <c r="H22" s="275"/>
      <c r="I22" s="275"/>
      <c r="J22" s="275"/>
      <c r="K22" s="275"/>
      <c r="L22" s="480"/>
      <c r="M22" s="496"/>
      <c r="N22" s="475"/>
    </row>
    <row r="23" ht="15.75" customHeight="1">
      <c r="A23" s="475"/>
      <c r="B23" s="20"/>
      <c r="C23" s="20"/>
      <c r="D23" s="275"/>
      <c r="E23" s="275"/>
      <c r="F23" s="490" t="s">
        <v>657</v>
      </c>
      <c r="G23" s="491">
        <v>5.0</v>
      </c>
      <c r="H23" s="275"/>
      <c r="I23" s="275"/>
      <c r="J23" s="275"/>
      <c r="K23" s="275"/>
      <c r="L23" s="480"/>
      <c r="M23" s="496"/>
      <c r="N23" s="475"/>
    </row>
    <row r="24" ht="15.75" customHeight="1">
      <c r="A24" s="475"/>
      <c r="B24" s="20"/>
      <c r="C24" s="20"/>
      <c r="D24" s="275"/>
      <c r="E24" s="275"/>
      <c r="F24" s="490"/>
      <c r="G24" s="491"/>
      <c r="H24" s="275"/>
      <c r="I24" s="275"/>
      <c r="J24" s="275"/>
      <c r="K24" s="275"/>
      <c r="L24" s="480"/>
      <c r="M24" s="496"/>
      <c r="N24" s="475"/>
    </row>
    <row r="25" ht="15.75" customHeight="1">
      <c r="A25" s="475"/>
      <c r="B25" s="20"/>
      <c r="C25" s="20"/>
      <c r="D25" s="275"/>
      <c r="E25" s="275"/>
      <c r="F25" s="490"/>
      <c r="G25" s="491"/>
      <c r="H25" s="275"/>
      <c r="I25" s="275"/>
      <c r="J25" s="275"/>
      <c r="K25" s="275"/>
      <c r="L25" s="480"/>
      <c r="M25" s="496"/>
      <c r="N25" s="475"/>
    </row>
    <row r="26" ht="15.75" customHeight="1">
      <c r="A26" s="475"/>
      <c r="B26" s="20"/>
      <c r="C26" s="20"/>
      <c r="D26" s="275"/>
      <c r="E26" s="275"/>
      <c r="F26" s="490"/>
      <c r="G26" s="491"/>
      <c r="H26" s="275"/>
      <c r="I26" s="275"/>
      <c r="J26" s="275"/>
      <c r="K26" s="275"/>
      <c r="L26" s="480"/>
      <c r="M26" s="496"/>
      <c r="N26" s="475"/>
    </row>
    <row r="27" ht="15.75" customHeight="1">
      <c r="A27" s="475"/>
      <c r="B27" s="20"/>
      <c r="C27" s="20"/>
      <c r="D27" s="275"/>
      <c r="E27" s="275"/>
      <c r="F27" s="490"/>
      <c r="G27" s="491"/>
      <c r="H27" s="275"/>
      <c r="I27" s="275"/>
      <c r="J27" s="275"/>
      <c r="K27" s="275"/>
      <c r="L27" s="480"/>
      <c r="M27" s="496"/>
      <c r="N27" s="475"/>
    </row>
    <row r="28" ht="15.75" customHeight="1">
      <c r="A28" s="475"/>
      <c r="B28" s="20"/>
      <c r="C28" s="20"/>
      <c r="D28" s="275"/>
      <c r="E28" s="275"/>
      <c r="F28" s="490"/>
      <c r="G28" s="491"/>
      <c r="H28" s="275"/>
      <c r="I28" s="275"/>
      <c r="J28" s="275"/>
      <c r="K28" s="275"/>
      <c r="L28" s="480"/>
      <c r="M28" s="496"/>
      <c r="N28" s="475"/>
    </row>
    <row r="29" ht="15.75" customHeight="1">
      <c r="A29" s="475"/>
      <c r="B29" s="20"/>
      <c r="C29" s="20"/>
      <c r="D29" s="275"/>
      <c r="E29" s="275"/>
      <c r="F29" s="490"/>
      <c r="G29" s="491"/>
      <c r="H29" s="275"/>
      <c r="I29" s="275"/>
      <c r="J29" s="275"/>
      <c r="K29" s="275"/>
      <c r="L29" s="480"/>
      <c r="M29" s="496"/>
      <c r="N29" s="475"/>
    </row>
    <row r="30" ht="15.75" customHeight="1">
      <c r="A30" s="475"/>
      <c r="B30" s="21"/>
      <c r="C30" s="21"/>
      <c r="D30" s="259"/>
      <c r="E30" s="259"/>
      <c r="F30" s="490"/>
      <c r="G30" s="491"/>
      <c r="H30" s="259"/>
      <c r="I30" s="259"/>
      <c r="J30" s="259"/>
      <c r="K30" s="259"/>
      <c r="L30" s="480"/>
      <c r="M30" s="496"/>
      <c r="N30" s="475"/>
    </row>
    <row r="31" ht="15.75" customHeight="1">
      <c r="A31" s="475"/>
      <c r="B31" s="486">
        <f>B21+1</f>
        <v>3</v>
      </c>
      <c r="C31" s="497" t="s">
        <v>1190</v>
      </c>
      <c r="D31" s="498" t="str">
        <f>'参照_概要'!$C$13&amp;"◆Special Theme Set"</f>
        <v>Mystic Matrimony◆Special Theme Set</v>
      </c>
      <c r="E31" s="499" t="s">
        <v>1403</v>
      </c>
      <c r="F31" s="500"/>
      <c r="G31" s="501"/>
      <c r="H31" s="502"/>
      <c r="I31" s="502">
        <v>1.0</v>
      </c>
      <c r="J31" s="503">
        <f>'参照_概要'!$C$17</f>
        <v>46074.70833</v>
      </c>
      <c r="K31" s="504">
        <f>'参照_概要'!$D$17</f>
        <v>46080.70833</v>
      </c>
      <c r="L31" s="480"/>
      <c r="M31" s="496"/>
      <c r="N31" s="475"/>
    </row>
    <row r="32" ht="15.75" customHeight="1">
      <c r="A32" s="475"/>
      <c r="B32" s="20"/>
      <c r="C32" s="20"/>
      <c r="D32" s="275"/>
      <c r="E32" s="275"/>
      <c r="F32" s="500"/>
      <c r="G32" s="501"/>
      <c r="H32" s="275"/>
      <c r="I32" s="275"/>
      <c r="J32" s="275"/>
      <c r="K32" s="275"/>
      <c r="L32" s="480"/>
      <c r="M32" s="496"/>
      <c r="N32" s="475"/>
    </row>
    <row r="33" ht="15.75" customHeight="1">
      <c r="A33" s="475"/>
      <c r="B33" s="20"/>
      <c r="C33" s="20"/>
      <c r="D33" s="275"/>
      <c r="E33" s="275"/>
      <c r="F33" s="500"/>
      <c r="G33" s="501"/>
      <c r="H33" s="275"/>
      <c r="I33" s="275"/>
      <c r="J33" s="275"/>
      <c r="K33" s="275"/>
      <c r="L33" s="480"/>
      <c r="M33" s="496"/>
      <c r="N33" s="475"/>
    </row>
    <row r="34" ht="15.75" customHeight="1">
      <c r="A34" s="475"/>
      <c r="B34" s="20"/>
      <c r="C34" s="20"/>
      <c r="D34" s="275"/>
      <c r="E34" s="275"/>
      <c r="F34" s="500"/>
      <c r="G34" s="501"/>
      <c r="H34" s="275"/>
      <c r="I34" s="275"/>
      <c r="J34" s="275"/>
      <c r="K34" s="275"/>
      <c r="L34" s="480"/>
      <c r="M34" s="496"/>
      <c r="N34" s="475"/>
    </row>
    <row r="35" ht="15.75" customHeight="1">
      <c r="A35" s="475"/>
      <c r="B35" s="20"/>
      <c r="C35" s="20"/>
      <c r="D35" s="275"/>
      <c r="E35" s="275"/>
      <c r="F35" s="500"/>
      <c r="G35" s="501"/>
      <c r="H35" s="275"/>
      <c r="I35" s="275"/>
      <c r="J35" s="275"/>
      <c r="K35" s="275"/>
      <c r="L35" s="480"/>
      <c r="M35" s="496"/>
      <c r="N35" s="475"/>
    </row>
    <row r="36" ht="15.75" customHeight="1">
      <c r="A36" s="475"/>
      <c r="B36" s="20"/>
      <c r="C36" s="20"/>
      <c r="D36" s="275"/>
      <c r="E36" s="275"/>
      <c r="F36" s="500"/>
      <c r="G36" s="501"/>
      <c r="H36" s="275"/>
      <c r="I36" s="275"/>
      <c r="J36" s="275"/>
      <c r="K36" s="275"/>
      <c r="L36" s="480"/>
      <c r="M36" s="496"/>
      <c r="N36" s="475"/>
    </row>
    <row r="37" ht="15.75" customHeight="1">
      <c r="A37" s="475"/>
      <c r="B37" s="20"/>
      <c r="C37" s="20"/>
      <c r="D37" s="275"/>
      <c r="E37" s="275"/>
      <c r="F37" s="500"/>
      <c r="G37" s="501"/>
      <c r="H37" s="275"/>
      <c r="I37" s="275"/>
      <c r="J37" s="275"/>
      <c r="K37" s="275"/>
      <c r="L37" s="480"/>
      <c r="M37" s="496"/>
      <c r="N37" s="475"/>
    </row>
    <row r="38" ht="15.75" customHeight="1">
      <c r="A38" s="475"/>
      <c r="B38" s="20"/>
      <c r="C38" s="20"/>
      <c r="D38" s="275"/>
      <c r="E38" s="275"/>
      <c r="F38" s="500"/>
      <c r="G38" s="501"/>
      <c r="H38" s="275"/>
      <c r="I38" s="275"/>
      <c r="J38" s="275"/>
      <c r="K38" s="275"/>
      <c r="L38" s="480"/>
      <c r="M38" s="496"/>
      <c r="N38" s="475"/>
    </row>
    <row r="39" ht="15.75" customHeight="1">
      <c r="A39" s="475"/>
      <c r="B39" s="20"/>
      <c r="C39" s="20"/>
      <c r="D39" s="275"/>
      <c r="E39" s="275"/>
      <c r="F39" s="500"/>
      <c r="G39" s="501"/>
      <c r="H39" s="275"/>
      <c r="I39" s="275"/>
      <c r="J39" s="275"/>
      <c r="K39" s="275"/>
      <c r="L39" s="480"/>
      <c r="M39" s="496"/>
      <c r="N39" s="475"/>
    </row>
    <row r="40" ht="15.75" customHeight="1">
      <c r="A40" s="475"/>
      <c r="B40" s="21"/>
      <c r="C40" s="21"/>
      <c r="D40" s="259"/>
      <c r="E40" s="259"/>
      <c r="F40" s="500"/>
      <c r="G40" s="501"/>
      <c r="H40" s="259"/>
      <c r="I40" s="259"/>
      <c r="J40" s="259"/>
      <c r="K40" s="259"/>
      <c r="L40" s="480"/>
      <c r="M40" s="496"/>
      <c r="N40" s="475"/>
    </row>
    <row r="41" ht="15.75" customHeight="1">
      <c r="A41" s="475"/>
      <c r="B41" s="486">
        <f>B31+1</f>
        <v>4</v>
      </c>
      <c r="C41" s="497" t="s">
        <v>1190</v>
      </c>
      <c r="D41" s="498" t="str">
        <f>'参照_概要'!$C$13&amp;"◆Special Set"</f>
        <v>Mystic Matrimony◆Special Set</v>
      </c>
      <c r="E41" s="499" t="s">
        <v>1404</v>
      </c>
      <c r="F41" s="500"/>
      <c r="G41" s="501"/>
      <c r="H41" s="502">
        <v>5300.0</v>
      </c>
      <c r="I41" s="502">
        <v>1.0</v>
      </c>
      <c r="J41" s="503">
        <f>'参照_概要'!$C$17</f>
        <v>46074.70833</v>
      </c>
      <c r="K41" s="504">
        <f>'参照_概要'!$D$17</f>
        <v>46080.70833</v>
      </c>
      <c r="L41" s="480"/>
      <c r="M41" s="496"/>
      <c r="N41" s="475"/>
    </row>
    <row r="42" ht="15.75" customHeight="1">
      <c r="A42" s="475"/>
      <c r="B42" s="20"/>
      <c r="C42" s="20"/>
      <c r="D42" s="275"/>
      <c r="E42" s="275"/>
      <c r="F42" s="500"/>
      <c r="G42" s="501"/>
      <c r="H42" s="275"/>
      <c r="I42" s="275"/>
      <c r="J42" s="275"/>
      <c r="K42" s="275"/>
      <c r="L42" s="480"/>
      <c r="M42" s="496"/>
      <c r="N42" s="475"/>
    </row>
    <row r="43" ht="15.75" customHeight="1">
      <c r="A43" s="475"/>
      <c r="B43" s="20"/>
      <c r="C43" s="20"/>
      <c r="D43" s="275"/>
      <c r="E43" s="275"/>
      <c r="F43" s="500"/>
      <c r="G43" s="501"/>
      <c r="H43" s="275"/>
      <c r="I43" s="275"/>
      <c r="J43" s="275"/>
      <c r="K43" s="275"/>
      <c r="L43" s="480"/>
      <c r="M43" s="496"/>
      <c r="N43" s="475"/>
    </row>
    <row r="44" ht="15.75" customHeight="1">
      <c r="A44" s="475"/>
      <c r="B44" s="20"/>
      <c r="C44" s="20"/>
      <c r="D44" s="275"/>
      <c r="E44" s="275"/>
      <c r="F44" s="500"/>
      <c r="G44" s="501"/>
      <c r="H44" s="275"/>
      <c r="I44" s="275"/>
      <c r="J44" s="275"/>
      <c r="K44" s="275"/>
      <c r="L44" s="480"/>
      <c r="M44" s="496"/>
      <c r="N44" s="475"/>
    </row>
    <row r="45" ht="15.75" customHeight="1">
      <c r="A45" s="475"/>
      <c r="B45" s="20"/>
      <c r="C45" s="20"/>
      <c r="D45" s="275"/>
      <c r="E45" s="275"/>
      <c r="F45" s="500"/>
      <c r="G45" s="501"/>
      <c r="H45" s="275"/>
      <c r="I45" s="275"/>
      <c r="J45" s="275"/>
      <c r="K45" s="275"/>
      <c r="L45" s="480"/>
      <c r="M45" s="496"/>
      <c r="N45" s="475"/>
    </row>
    <row r="46" ht="15.75" customHeight="1">
      <c r="A46" s="475"/>
      <c r="B46" s="20"/>
      <c r="C46" s="20"/>
      <c r="D46" s="275"/>
      <c r="E46" s="275"/>
      <c r="F46" s="500"/>
      <c r="G46" s="501"/>
      <c r="H46" s="275"/>
      <c r="I46" s="275"/>
      <c r="J46" s="275"/>
      <c r="K46" s="275"/>
      <c r="L46" s="480"/>
      <c r="M46" s="496"/>
      <c r="N46" s="475"/>
    </row>
    <row r="47" ht="15.75" customHeight="1">
      <c r="A47" s="475"/>
      <c r="B47" s="20"/>
      <c r="C47" s="20"/>
      <c r="D47" s="275"/>
      <c r="E47" s="275"/>
      <c r="F47" s="500"/>
      <c r="G47" s="501"/>
      <c r="H47" s="275"/>
      <c r="I47" s="275"/>
      <c r="J47" s="275"/>
      <c r="K47" s="275"/>
      <c r="L47" s="480"/>
      <c r="M47" s="496"/>
      <c r="N47" s="475"/>
    </row>
    <row r="48" ht="15.75" customHeight="1">
      <c r="A48" s="475"/>
      <c r="B48" s="20"/>
      <c r="C48" s="20"/>
      <c r="D48" s="275"/>
      <c r="E48" s="275"/>
      <c r="F48" s="500"/>
      <c r="G48" s="501"/>
      <c r="H48" s="275"/>
      <c r="I48" s="275"/>
      <c r="J48" s="275"/>
      <c r="K48" s="275"/>
      <c r="L48" s="480"/>
      <c r="M48" s="496"/>
      <c r="N48" s="475"/>
    </row>
    <row r="49" ht="15.75" customHeight="1">
      <c r="A49" s="475"/>
      <c r="B49" s="20"/>
      <c r="C49" s="20"/>
      <c r="D49" s="275"/>
      <c r="E49" s="275"/>
      <c r="F49" s="500"/>
      <c r="G49" s="501"/>
      <c r="H49" s="275"/>
      <c r="I49" s="275"/>
      <c r="J49" s="275"/>
      <c r="K49" s="275"/>
      <c r="L49" s="480"/>
      <c r="M49" s="496"/>
      <c r="N49" s="475"/>
    </row>
    <row r="50" ht="15.75" customHeight="1">
      <c r="A50" s="475"/>
      <c r="B50" s="21"/>
      <c r="C50" s="21"/>
      <c r="D50" s="259"/>
      <c r="E50" s="259"/>
      <c r="F50" s="500"/>
      <c r="G50" s="501"/>
      <c r="H50" s="259"/>
      <c r="I50" s="259"/>
      <c r="J50" s="259"/>
      <c r="K50" s="259"/>
      <c r="L50" s="480"/>
      <c r="M50" s="496"/>
      <c r="N50" s="475"/>
    </row>
    <row r="51" ht="15.75" customHeight="1">
      <c r="A51" s="475"/>
      <c r="B51" s="486">
        <f>B41+1</f>
        <v>5</v>
      </c>
      <c r="C51" s="487" t="s">
        <v>1190</v>
      </c>
      <c r="D51" s="488" t="str">
        <f>'参照_概要'!$C$13&amp;"◆Early Bird Set"</f>
        <v>Mystic Matrimony◆Early Bird Set</v>
      </c>
      <c r="E51" s="489" t="s">
        <v>1026</v>
      </c>
      <c r="F51" s="490" t="s">
        <v>654</v>
      </c>
      <c r="G51" s="491">
        <v>55.0</v>
      </c>
      <c r="H51" s="492">
        <v>5300.0</v>
      </c>
      <c r="I51" s="492">
        <v>2.0</v>
      </c>
      <c r="J51" s="493">
        <f>'参照_概要'!$C$17</f>
        <v>46074.70833</v>
      </c>
      <c r="K51" s="494">
        <f>J51+3</f>
        <v>46077.70833</v>
      </c>
      <c r="L51" s="480"/>
      <c r="M51" s="496"/>
      <c r="N51" s="475"/>
    </row>
    <row r="52" ht="15.75" customHeight="1">
      <c r="A52" s="475"/>
      <c r="B52" s="20"/>
      <c r="C52" s="20"/>
      <c r="D52" s="275"/>
      <c r="E52" s="275"/>
      <c r="F52" s="490" t="s">
        <v>1163</v>
      </c>
      <c r="G52" s="491">
        <v>30.0</v>
      </c>
      <c r="H52" s="275"/>
      <c r="I52" s="275"/>
      <c r="J52" s="275"/>
      <c r="K52" s="275"/>
      <c r="L52" s="480"/>
      <c r="M52" s="496"/>
      <c r="N52" s="475"/>
    </row>
    <row r="53" ht="15.75" customHeight="1">
      <c r="A53" s="475"/>
      <c r="B53" s="20"/>
      <c r="C53" s="20"/>
      <c r="D53" s="275"/>
      <c r="E53" s="275"/>
      <c r="F53" s="490" t="s">
        <v>657</v>
      </c>
      <c r="G53" s="491">
        <v>5.0</v>
      </c>
      <c r="H53" s="275"/>
      <c r="I53" s="275"/>
      <c r="J53" s="275"/>
      <c r="K53" s="275"/>
      <c r="L53" s="480"/>
      <c r="M53" s="496"/>
      <c r="N53" s="475"/>
    </row>
    <row r="54" ht="15.75" customHeight="1">
      <c r="A54" s="475"/>
      <c r="B54" s="20"/>
      <c r="C54" s="20"/>
      <c r="D54" s="275"/>
      <c r="E54" s="275"/>
      <c r="F54" s="490"/>
      <c r="G54" s="491"/>
      <c r="H54" s="275"/>
      <c r="I54" s="275"/>
      <c r="J54" s="275"/>
      <c r="K54" s="275"/>
      <c r="L54" s="480"/>
      <c r="M54" s="496"/>
      <c r="N54" s="475"/>
    </row>
    <row r="55" ht="15.75" customHeight="1">
      <c r="A55" s="475"/>
      <c r="B55" s="20"/>
      <c r="C55" s="20"/>
      <c r="D55" s="275"/>
      <c r="E55" s="275"/>
      <c r="F55" s="490"/>
      <c r="G55" s="491"/>
      <c r="H55" s="275"/>
      <c r="I55" s="275"/>
      <c r="J55" s="275"/>
      <c r="K55" s="275"/>
      <c r="L55" s="480"/>
      <c r="M55" s="496"/>
      <c r="N55" s="475"/>
    </row>
    <row r="56" ht="15.75" customHeight="1">
      <c r="A56" s="475"/>
      <c r="B56" s="20"/>
      <c r="C56" s="20"/>
      <c r="D56" s="275"/>
      <c r="E56" s="275"/>
      <c r="F56" s="490"/>
      <c r="G56" s="491"/>
      <c r="H56" s="275"/>
      <c r="I56" s="275"/>
      <c r="J56" s="275"/>
      <c r="K56" s="275"/>
      <c r="L56" s="480"/>
      <c r="M56" s="496"/>
      <c r="N56" s="475"/>
    </row>
    <row r="57" ht="15.75" customHeight="1">
      <c r="A57" s="475"/>
      <c r="B57" s="20"/>
      <c r="C57" s="20"/>
      <c r="D57" s="275"/>
      <c r="E57" s="275"/>
      <c r="F57" s="490"/>
      <c r="G57" s="491"/>
      <c r="H57" s="275"/>
      <c r="I57" s="275"/>
      <c r="J57" s="275"/>
      <c r="K57" s="275"/>
      <c r="L57" s="480"/>
      <c r="M57" s="496"/>
      <c r="N57" s="475"/>
    </row>
    <row r="58" ht="15.75" customHeight="1">
      <c r="A58" s="475"/>
      <c r="B58" s="20"/>
      <c r="C58" s="20"/>
      <c r="D58" s="275"/>
      <c r="E58" s="275"/>
      <c r="F58" s="490"/>
      <c r="G58" s="491"/>
      <c r="H58" s="275"/>
      <c r="I58" s="275"/>
      <c r="J58" s="275"/>
      <c r="K58" s="275"/>
      <c r="L58" s="480"/>
      <c r="M58" s="496"/>
      <c r="N58" s="475"/>
    </row>
    <row r="59" ht="15.75" customHeight="1">
      <c r="A59" s="475"/>
      <c r="B59" s="20"/>
      <c r="C59" s="20"/>
      <c r="D59" s="275"/>
      <c r="E59" s="275"/>
      <c r="F59" s="490"/>
      <c r="G59" s="491"/>
      <c r="H59" s="275"/>
      <c r="I59" s="275"/>
      <c r="J59" s="275"/>
      <c r="K59" s="275"/>
      <c r="L59" s="480"/>
      <c r="M59" s="496"/>
      <c r="N59" s="475"/>
    </row>
    <row r="60" ht="15.75" customHeight="1">
      <c r="A60" s="475"/>
      <c r="B60" s="21"/>
      <c r="C60" s="21"/>
      <c r="D60" s="259"/>
      <c r="E60" s="259"/>
      <c r="F60" s="490"/>
      <c r="G60" s="491"/>
      <c r="H60" s="259"/>
      <c r="I60" s="259"/>
      <c r="J60" s="259"/>
      <c r="K60" s="259"/>
      <c r="L60" s="480"/>
      <c r="M60" s="496"/>
      <c r="N60" s="475"/>
    </row>
    <row r="61" ht="15.75" customHeight="1">
      <c r="A61" s="475"/>
      <c r="B61" s="486">
        <f>B51+1</f>
        <v>6</v>
      </c>
      <c r="C61" s="487" t="s">
        <v>1190</v>
      </c>
      <c r="D61" s="488" t="str">
        <f>'参照_概要'!$C$13&amp;"◆Last Dash Set"</f>
        <v>Mystic Matrimony◆Last Dash Set</v>
      </c>
      <c r="E61" s="489" t="s">
        <v>1027</v>
      </c>
      <c r="F61" s="490" t="s">
        <v>1163</v>
      </c>
      <c r="G61" s="491">
        <v>50.0</v>
      </c>
      <c r="H61" s="492">
        <v>3500.0</v>
      </c>
      <c r="I61" s="492">
        <v>3.0</v>
      </c>
      <c r="J61" s="493">
        <f>'参照_概要'!$C$37</f>
        <v>46079.70833</v>
      </c>
      <c r="K61" s="494">
        <f>'参照_概要'!$D$17</f>
        <v>46080.70833</v>
      </c>
      <c r="L61" s="480"/>
      <c r="M61" s="496"/>
      <c r="N61" s="475"/>
    </row>
    <row r="62" ht="15.75" customHeight="1">
      <c r="A62" s="475"/>
      <c r="B62" s="20"/>
      <c r="C62" s="20"/>
      <c r="D62" s="275"/>
      <c r="E62" s="275"/>
      <c r="F62" s="490" t="s">
        <v>657</v>
      </c>
      <c r="G62" s="491">
        <v>10.0</v>
      </c>
      <c r="H62" s="275"/>
      <c r="I62" s="275"/>
      <c r="J62" s="275"/>
      <c r="K62" s="275"/>
      <c r="L62" s="480"/>
      <c r="M62" s="496"/>
      <c r="N62" s="475"/>
    </row>
    <row r="63" ht="15.75" customHeight="1">
      <c r="A63" s="475"/>
      <c r="B63" s="20"/>
      <c r="C63" s="20"/>
      <c r="D63" s="275"/>
      <c r="E63" s="275"/>
      <c r="F63" s="490"/>
      <c r="G63" s="491"/>
      <c r="H63" s="275"/>
      <c r="I63" s="275"/>
      <c r="J63" s="275"/>
      <c r="K63" s="275"/>
      <c r="L63" s="480"/>
      <c r="M63" s="496"/>
      <c r="N63" s="475"/>
    </row>
    <row r="64" ht="15.75" customHeight="1">
      <c r="A64" s="475"/>
      <c r="B64" s="20"/>
      <c r="C64" s="20"/>
      <c r="D64" s="275"/>
      <c r="E64" s="275"/>
      <c r="F64" s="490"/>
      <c r="G64" s="491"/>
      <c r="H64" s="275"/>
      <c r="I64" s="275"/>
      <c r="J64" s="275"/>
      <c r="K64" s="275"/>
      <c r="L64" s="480"/>
      <c r="M64" s="496"/>
      <c r="N64" s="475"/>
    </row>
    <row r="65" ht="15.75" customHeight="1">
      <c r="A65" s="475"/>
      <c r="B65" s="20"/>
      <c r="C65" s="20"/>
      <c r="D65" s="275"/>
      <c r="E65" s="275"/>
      <c r="F65" s="490"/>
      <c r="G65" s="491"/>
      <c r="H65" s="275"/>
      <c r="I65" s="275"/>
      <c r="J65" s="275"/>
      <c r="K65" s="275"/>
      <c r="L65" s="480"/>
      <c r="M65" s="496"/>
      <c r="N65" s="475"/>
    </row>
    <row r="66" ht="15.75" customHeight="1">
      <c r="A66" s="475"/>
      <c r="B66" s="20"/>
      <c r="C66" s="20"/>
      <c r="D66" s="275"/>
      <c r="E66" s="275"/>
      <c r="F66" s="490"/>
      <c r="G66" s="491"/>
      <c r="H66" s="275"/>
      <c r="I66" s="275"/>
      <c r="J66" s="275"/>
      <c r="K66" s="275"/>
      <c r="L66" s="480"/>
      <c r="M66" s="496"/>
      <c r="N66" s="475"/>
    </row>
    <row r="67" ht="15.75" customHeight="1">
      <c r="A67" s="475"/>
      <c r="B67" s="20"/>
      <c r="C67" s="20"/>
      <c r="D67" s="275"/>
      <c r="E67" s="275"/>
      <c r="F67" s="490"/>
      <c r="G67" s="491"/>
      <c r="H67" s="275"/>
      <c r="I67" s="275"/>
      <c r="J67" s="275"/>
      <c r="K67" s="275"/>
      <c r="L67" s="480"/>
      <c r="M67" s="496"/>
      <c r="N67" s="475"/>
    </row>
    <row r="68" ht="15.75" customHeight="1">
      <c r="A68" s="475"/>
      <c r="B68" s="20"/>
      <c r="C68" s="20"/>
      <c r="D68" s="275"/>
      <c r="E68" s="275"/>
      <c r="F68" s="490"/>
      <c r="G68" s="491"/>
      <c r="H68" s="275"/>
      <c r="I68" s="275"/>
      <c r="J68" s="275"/>
      <c r="K68" s="275"/>
      <c r="L68" s="480"/>
      <c r="M68" s="496"/>
      <c r="N68" s="475"/>
    </row>
    <row r="69" ht="15.75" customHeight="1">
      <c r="A69" s="475"/>
      <c r="B69" s="20"/>
      <c r="C69" s="20"/>
      <c r="D69" s="275"/>
      <c r="E69" s="275"/>
      <c r="F69" s="490"/>
      <c r="G69" s="491"/>
      <c r="H69" s="275"/>
      <c r="I69" s="275"/>
      <c r="J69" s="275"/>
      <c r="K69" s="275"/>
      <c r="L69" s="480"/>
      <c r="M69" s="496"/>
      <c r="N69" s="475"/>
    </row>
    <row r="70" ht="15.75" customHeight="1">
      <c r="A70" s="475"/>
      <c r="B70" s="21"/>
      <c r="C70" s="21"/>
      <c r="D70" s="259"/>
      <c r="E70" s="259"/>
      <c r="F70" s="490"/>
      <c r="G70" s="491"/>
      <c r="H70" s="259"/>
      <c r="I70" s="259"/>
      <c r="J70" s="259"/>
      <c r="K70" s="259"/>
      <c r="L70" s="480"/>
      <c r="M70" s="496"/>
      <c r="N70" s="475"/>
    </row>
    <row r="71" ht="15.75" customHeight="1">
      <c r="A71" s="475"/>
      <c r="B71" s="486">
        <f>B61+1</f>
        <v>7</v>
      </c>
      <c r="C71" s="487" t="s">
        <v>1190</v>
      </c>
      <c r="D71" s="488" t="str">
        <f>'参照_概要'!$C$13&amp;"◆Lucky Story Set"</f>
        <v>Mystic Matrimony◆Lucky Story Set</v>
      </c>
      <c r="E71" s="495" t="s">
        <v>1028</v>
      </c>
      <c r="F71" s="490" t="s">
        <v>654</v>
      </c>
      <c r="G71" s="491">
        <v>20.0</v>
      </c>
      <c r="H71" s="492">
        <v>1500.0</v>
      </c>
      <c r="I71" s="492">
        <v>3.0</v>
      </c>
      <c r="J71" s="493">
        <f>'参照_概要'!C23</f>
        <v>46074.70833</v>
      </c>
      <c r="K71" s="494">
        <f>'参照_概要'!D23</f>
        <v>46075.20833</v>
      </c>
      <c r="L71" s="480"/>
      <c r="M71" s="496"/>
      <c r="N71" s="475"/>
    </row>
    <row r="72" ht="15.75" customHeight="1">
      <c r="A72" s="475"/>
      <c r="B72" s="20"/>
      <c r="C72" s="20"/>
      <c r="D72" s="275"/>
      <c r="E72" s="275"/>
      <c r="F72" s="490"/>
      <c r="G72" s="491"/>
      <c r="H72" s="275"/>
      <c r="I72" s="275"/>
      <c r="J72" s="275"/>
      <c r="K72" s="275"/>
      <c r="L72" s="480"/>
      <c r="M72" s="496"/>
      <c r="N72" s="475"/>
    </row>
    <row r="73" ht="15.75" customHeight="1">
      <c r="A73" s="475"/>
      <c r="B73" s="20"/>
      <c r="C73" s="20"/>
      <c r="D73" s="275"/>
      <c r="E73" s="275"/>
      <c r="F73" s="490"/>
      <c r="G73" s="491"/>
      <c r="H73" s="275"/>
      <c r="I73" s="275"/>
      <c r="J73" s="275"/>
      <c r="K73" s="275"/>
      <c r="L73" s="480"/>
      <c r="M73" s="496"/>
      <c r="N73" s="475"/>
    </row>
    <row r="74" ht="15.75" customHeight="1">
      <c r="A74" s="475"/>
      <c r="B74" s="20"/>
      <c r="C74" s="20"/>
      <c r="D74" s="275"/>
      <c r="E74" s="275"/>
      <c r="F74" s="490"/>
      <c r="G74" s="491"/>
      <c r="H74" s="275"/>
      <c r="I74" s="275"/>
      <c r="J74" s="275"/>
      <c r="K74" s="275"/>
      <c r="L74" s="480"/>
      <c r="M74" s="496"/>
      <c r="N74" s="475"/>
    </row>
    <row r="75" ht="15.75" customHeight="1">
      <c r="A75" s="475"/>
      <c r="B75" s="20"/>
      <c r="C75" s="20"/>
      <c r="D75" s="275"/>
      <c r="E75" s="275"/>
      <c r="F75" s="490"/>
      <c r="G75" s="491"/>
      <c r="H75" s="275"/>
      <c r="I75" s="275"/>
      <c r="J75" s="275"/>
      <c r="K75" s="275"/>
      <c r="L75" s="480"/>
      <c r="M75" s="496"/>
      <c r="N75" s="475"/>
    </row>
    <row r="76" ht="15.75" customHeight="1">
      <c r="A76" s="475"/>
      <c r="B76" s="20"/>
      <c r="C76" s="20"/>
      <c r="D76" s="275"/>
      <c r="E76" s="275"/>
      <c r="F76" s="490"/>
      <c r="G76" s="491"/>
      <c r="H76" s="275"/>
      <c r="I76" s="275"/>
      <c r="J76" s="275"/>
      <c r="K76" s="275"/>
      <c r="L76" s="480"/>
      <c r="M76" s="496"/>
      <c r="N76" s="475"/>
    </row>
    <row r="77" ht="15.75" customHeight="1">
      <c r="A77" s="475"/>
      <c r="B77" s="20"/>
      <c r="C77" s="20"/>
      <c r="D77" s="275"/>
      <c r="E77" s="275"/>
      <c r="F77" s="490"/>
      <c r="G77" s="491"/>
      <c r="H77" s="275"/>
      <c r="I77" s="275"/>
      <c r="J77" s="275"/>
      <c r="K77" s="275"/>
      <c r="L77" s="480"/>
      <c r="M77" s="496"/>
      <c r="N77" s="475"/>
    </row>
    <row r="78" ht="15.75" customHeight="1">
      <c r="A78" s="475"/>
      <c r="B78" s="20"/>
      <c r="C78" s="20"/>
      <c r="D78" s="275"/>
      <c r="E78" s="275"/>
      <c r="F78" s="490"/>
      <c r="G78" s="491"/>
      <c r="H78" s="275"/>
      <c r="I78" s="275"/>
      <c r="J78" s="275"/>
      <c r="K78" s="275"/>
      <c r="L78" s="480"/>
      <c r="M78" s="496"/>
      <c r="N78" s="475"/>
    </row>
    <row r="79" ht="15.75" customHeight="1">
      <c r="A79" s="475"/>
      <c r="B79" s="20"/>
      <c r="C79" s="20"/>
      <c r="D79" s="275"/>
      <c r="E79" s="275"/>
      <c r="F79" s="490"/>
      <c r="G79" s="491"/>
      <c r="H79" s="275"/>
      <c r="I79" s="275"/>
      <c r="J79" s="275"/>
      <c r="K79" s="275"/>
      <c r="L79" s="480"/>
      <c r="M79" s="496"/>
      <c r="N79" s="475"/>
    </row>
    <row r="80" ht="15.75" customHeight="1">
      <c r="A80" s="475"/>
      <c r="B80" s="21"/>
      <c r="C80" s="21"/>
      <c r="D80" s="259"/>
      <c r="E80" s="259"/>
      <c r="F80" s="490"/>
      <c r="G80" s="491"/>
      <c r="H80" s="259"/>
      <c r="I80" s="259"/>
      <c r="J80" s="259"/>
      <c r="K80" s="259"/>
      <c r="L80" s="480"/>
      <c r="M80" s="496"/>
      <c r="N80" s="475"/>
    </row>
    <row r="81" ht="15.75" customHeight="1">
      <c r="A81" s="475"/>
      <c r="B81" s="486">
        <f>B71+1</f>
        <v>8</v>
      </c>
      <c r="C81" s="487" t="s">
        <v>1190</v>
      </c>
      <c r="D81" s="488" t="str">
        <f>'参照_概要'!$C$13&amp;"◆Lucky Lesson Set"</f>
        <v>Mystic Matrimony◆Lucky Lesson Set</v>
      </c>
      <c r="E81" s="489" t="s">
        <v>1029</v>
      </c>
      <c r="F81" s="490" t="s">
        <v>657</v>
      </c>
      <c r="G81" s="491">
        <v>12.0</v>
      </c>
      <c r="H81" s="492">
        <v>1500.0</v>
      </c>
      <c r="I81" s="492">
        <v>3.0</v>
      </c>
      <c r="J81" s="493">
        <f>'参照_概要'!C24</f>
        <v>46075.45833</v>
      </c>
      <c r="K81" s="494">
        <f>'参照_概要'!D24</f>
        <v>46076.20833</v>
      </c>
      <c r="L81" s="480"/>
      <c r="M81" s="496"/>
      <c r="N81" s="475"/>
    </row>
    <row r="82" ht="15.75" customHeight="1">
      <c r="A82" s="475"/>
      <c r="B82" s="20"/>
      <c r="C82" s="20"/>
      <c r="D82" s="275"/>
      <c r="E82" s="275"/>
      <c r="F82" s="490"/>
      <c r="G82" s="491"/>
      <c r="H82" s="275"/>
      <c r="I82" s="275"/>
      <c r="J82" s="275"/>
      <c r="K82" s="275"/>
      <c r="L82" s="480"/>
      <c r="M82" s="496"/>
      <c r="N82" s="475"/>
    </row>
    <row r="83" ht="15.75" customHeight="1">
      <c r="A83" s="475"/>
      <c r="B83" s="20"/>
      <c r="C83" s="20"/>
      <c r="D83" s="275"/>
      <c r="E83" s="275"/>
      <c r="F83" s="490"/>
      <c r="G83" s="491"/>
      <c r="H83" s="275"/>
      <c r="I83" s="275"/>
      <c r="J83" s="275"/>
      <c r="K83" s="275"/>
      <c r="L83" s="480"/>
      <c r="M83" s="496"/>
      <c r="N83" s="475"/>
    </row>
    <row r="84" ht="15.75" customHeight="1">
      <c r="A84" s="475"/>
      <c r="B84" s="20"/>
      <c r="C84" s="20"/>
      <c r="D84" s="275"/>
      <c r="E84" s="275"/>
      <c r="F84" s="490"/>
      <c r="G84" s="491"/>
      <c r="H84" s="275"/>
      <c r="I84" s="275"/>
      <c r="J84" s="275"/>
      <c r="K84" s="275"/>
      <c r="L84" s="480"/>
      <c r="M84" s="496"/>
      <c r="N84" s="475"/>
    </row>
    <row r="85" ht="15.75" customHeight="1">
      <c r="A85" s="475"/>
      <c r="B85" s="20"/>
      <c r="C85" s="20"/>
      <c r="D85" s="275"/>
      <c r="E85" s="275"/>
      <c r="F85" s="490"/>
      <c r="G85" s="491"/>
      <c r="H85" s="275"/>
      <c r="I85" s="275"/>
      <c r="J85" s="275"/>
      <c r="K85" s="275"/>
      <c r="L85" s="480"/>
      <c r="M85" s="496"/>
      <c r="N85" s="475"/>
    </row>
    <row r="86" ht="15.75" customHeight="1">
      <c r="A86" s="475"/>
      <c r="B86" s="20"/>
      <c r="C86" s="20"/>
      <c r="D86" s="275"/>
      <c r="E86" s="275"/>
      <c r="F86" s="490"/>
      <c r="G86" s="491"/>
      <c r="H86" s="275"/>
      <c r="I86" s="275"/>
      <c r="J86" s="275"/>
      <c r="K86" s="275"/>
      <c r="L86" s="480"/>
      <c r="M86" s="496"/>
      <c r="N86" s="475"/>
    </row>
    <row r="87" ht="15.75" customHeight="1">
      <c r="A87" s="475"/>
      <c r="B87" s="20"/>
      <c r="C87" s="20"/>
      <c r="D87" s="275"/>
      <c r="E87" s="275"/>
      <c r="F87" s="490"/>
      <c r="G87" s="491"/>
      <c r="H87" s="275"/>
      <c r="I87" s="275"/>
      <c r="J87" s="275"/>
      <c r="K87" s="275"/>
      <c r="L87" s="480"/>
      <c r="M87" s="496"/>
      <c r="N87" s="475"/>
    </row>
    <row r="88" ht="15.75" customHeight="1">
      <c r="A88" s="475"/>
      <c r="B88" s="20"/>
      <c r="C88" s="20"/>
      <c r="D88" s="275"/>
      <c r="E88" s="275"/>
      <c r="F88" s="490"/>
      <c r="G88" s="491"/>
      <c r="H88" s="275"/>
      <c r="I88" s="275"/>
      <c r="J88" s="275"/>
      <c r="K88" s="275"/>
      <c r="L88" s="480"/>
      <c r="M88" s="496"/>
      <c r="N88" s="475"/>
    </row>
    <row r="89" ht="15.75" customHeight="1">
      <c r="A89" s="475"/>
      <c r="B89" s="20"/>
      <c r="C89" s="20"/>
      <c r="D89" s="275"/>
      <c r="E89" s="275"/>
      <c r="F89" s="490"/>
      <c r="G89" s="491"/>
      <c r="H89" s="275"/>
      <c r="I89" s="275"/>
      <c r="J89" s="275"/>
      <c r="K89" s="275"/>
      <c r="L89" s="480"/>
      <c r="M89" s="496"/>
      <c r="N89" s="475"/>
    </row>
    <row r="90" ht="15.75" customHeight="1">
      <c r="A90" s="475"/>
      <c r="B90" s="21"/>
      <c r="C90" s="21"/>
      <c r="D90" s="259"/>
      <c r="E90" s="259"/>
      <c r="F90" s="490"/>
      <c r="G90" s="491"/>
      <c r="H90" s="259"/>
      <c r="I90" s="259"/>
      <c r="J90" s="259"/>
      <c r="K90" s="259"/>
      <c r="L90" s="480"/>
      <c r="M90" s="496"/>
      <c r="N90" s="475"/>
    </row>
    <row r="91" ht="15.75" customHeight="1">
      <c r="A91" s="475"/>
      <c r="B91" s="486">
        <f>B81+1</f>
        <v>9</v>
      </c>
      <c r="C91" s="487" t="s">
        <v>1190</v>
      </c>
      <c r="D91" s="488" t="str">
        <f>'参照_概要'!$C$13&amp;"◆Lucky Story Set"</f>
        <v>Mystic Matrimony◆Lucky Story Set</v>
      </c>
      <c r="E91" s="495" t="s">
        <v>1028</v>
      </c>
      <c r="F91" s="490" t="s">
        <v>654</v>
      </c>
      <c r="G91" s="491">
        <v>20.0</v>
      </c>
      <c r="H91" s="492">
        <v>1500.0</v>
      </c>
      <c r="I91" s="492">
        <v>3.0</v>
      </c>
      <c r="J91" s="493">
        <f>'参照_概要'!C25</f>
        <v>46076.70833</v>
      </c>
      <c r="K91" s="494">
        <f>'参照_概要'!D25</f>
        <v>46077.20833</v>
      </c>
      <c r="L91" s="480"/>
      <c r="M91" s="496"/>
      <c r="N91" s="475"/>
    </row>
    <row r="92" ht="15.75" customHeight="1">
      <c r="A92" s="475"/>
      <c r="B92" s="20"/>
      <c r="C92" s="20"/>
      <c r="D92" s="275"/>
      <c r="E92" s="275"/>
      <c r="F92" s="490"/>
      <c r="G92" s="491"/>
      <c r="H92" s="275"/>
      <c r="I92" s="275"/>
      <c r="J92" s="275"/>
      <c r="K92" s="275"/>
      <c r="L92" s="480"/>
      <c r="M92" s="496"/>
      <c r="N92" s="475"/>
    </row>
    <row r="93" ht="15.75" customHeight="1">
      <c r="A93" s="475"/>
      <c r="B93" s="20"/>
      <c r="C93" s="20"/>
      <c r="D93" s="275"/>
      <c r="E93" s="275"/>
      <c r="F93" s="490"/>
      <c r="G93" s="491"/>
      <c r="H93" s="275"/>
      <c r="I93" s="275"/>
      <c r="J93" s="275"/>
      <c r="K93" s="275"/>
      <c r="L93" s="480"/>
      <c r="M93" s="496"/>
      <c r="N93" s="475"/>
    </row>
    <row r="94" ht="15.75" customHeight="1">
      <c r="A94" s="475"/>
      <c r="B94" s="20"/>
      <c r="C94" s="20"/>
      <c r="D94" s="275"/>
      <c r="E94" s="275"/>
      <c r="F94" s="490"/>
      <c r="G94" s="491"/>
      <c r="H94" s="275"/>
      <c r="I94" s="275"/>
      <c r="J94" s="275"/>
      <c r="K94" s="275"/>
      <c r="L94" s="480"/>
      <c r="M94" s="496"/>
      <c r="N94" s="475"/>
    </row>
    <row r="95" ht="15.75" customHeight="1">
      <c r="A95" s="475"/>
      <c r="B95" s="20"/>
      <c r="C95" s="20"/>
      <c r="D95" s="275"/>
      <c r="E95" s="275"/>
      <c r="F95" s="490"/>
      <c r="G95" s="491"/>
      <c r="H95" s="275"/>
      <c r="I95" s="275"/>
      <c r="J95" s="275"/>
      <c r="K95" s="275"/>
      <c r="L95" s="480"/>
      <c r="M95" s="496"/>
      <c r="N95" s="475"/>
    </row>
    <row r="96" ht="15.75" customHeight="1">
      <c r="A96" s="475"/>
      <c r="B96" s="20"/>
      <c r="C96" s="20"/>
      <c r="D96" s="275"/>
      <c r="E96" s="275"/>
      <c r="F96" s="490"/>
      <c r="G96" s="491"/>
      <c r="H96" s="275"/>
      <c r="I96" s="275"/>
      <c r="J96" s="275"/>
      <c r="K96" s="275"/>
      <c r="L96" s="480"/>
      <c r="M96" s="496"/>
      <c r="N96" s="475"/>
    </row>
    <row r="97" ht="15.75" customHeight="1">
      <c r="A97" s="475"/>
      <c r="B97" s="20"/>
      <c r="C97" s="20"/>
      <c r="D97" s="275"/>
      <c r="E97" s="275"/>
      <c r="F97" s="490"/>
      <c r="G97" s="491"/>
      <c r="H97" s="275"/>
      <c r="I97" s="275"/>
      <c r="J97" s="275"/>
      <c r="K97" s="275"/>
      <c r="L97" s="480"/>
      <c r="M97" s="496"/>
      <c r="N97" s="475"/>
    </row>
    <row r="98" ht="15.75" customHeight="1">
      <c r="A98" s="475"/>
      <c r="B98" s="20"/>
      <c r="C98" s="20"/>
      <c r="D98" s="275"/>
      <c r="E98" s="275"/>
      <c r="F98" s="490"/>
      <c r="G98" s="491"/>
      <c r="H98" s="275"/>
      <c r="I98" s="275"/>
      <c r="J98" s="275"/>
      <c r="K98" s="275"/>
      <c r="L98" s="480"/>
      <c r="M98" s="496"/>
      <c r="N98" s="475"/>
    </row>
    <row r="99" ht="15.75" customHeight="1">
      <c r="A99" s="475"/>
      <c r="B99" s="20"/>
      <c r="C99" s="20"/>
      <c r="D99" s="275"/>
      <c r="E99" s="275"/>
      <c r="F99" s="490"/>
      <c r="G99" s="491"/>
      <c r="H99" s="275"/>
      <c r="I99" s="275"/>
      <c r="J99" s="275"/>
      <c r="K99" s="275"/>
      <c r="L99" s="480"/>
      <c r="M99" s="496"/>
      <c r="N99" s="475"/>
    </row>
    <row r="100" ht="15.75" customHeight="1">
      <c r="A100" s="475"/>
      <c r="B100" s="21"/>
      <c r="C100" s="21"/>
      <c r="D100" s="259"/>
      <c r="E100" s="259"/>
      <c r="F100" s="490"/>
      <c r="G100" s="491"/>
      <c r="H100" s="259"/>
      <c r="I100" s="259"/>
      <c r="J100" s="259"/>
      <c r="K100" s="259"/>
      <c r="L100" s="480"/>
      <c r="M100" s="496"/>
      <c r="N100" s="475"/>
    </row>
    <row r="101" ht="15.75" customHeight="1">
      <c r="A101" s="475"/>
      <c r="B101" s="486">
        <f>B91+1</f>
        <v>10</v>
      </c>
      <c r="C101" s="487" t="s">
        <v>1190</v>
      </c>
      <c r="D101" s="488" t="str">
        <f>'参照_概要'!$C$13&amp;"◆Lucky Story Set"</f>
        <v>Mystic Matrimony◆Lucky Story Set</v>
      </c>
      <c r="E101" s="495" t="s">
        <v>1028</v>
      </c>
      <c r="F101" s="490" t="s">
        <v>654</v>
      </c>
      <c r="G101" s="491">
        <v>20.0</v>
      </c>
      <c r="H101" s="492">
        <v>1500.0</v>
      </c>
      <c r="I101" s="492">
        <v>3.0</v>
      </c>
      <c r="J101" s="493">
        <f>'参照_概要'!C26</f>
        <v>46077.70833</v>
      </c>
      <c r="K101" s="494">
        <f>'参照_概要'!D26</f>
        <v>46078.20833</v>
      </c>
      <c r="L101" s="480"/>
      <c r="M101" s="496"/>
      <c r="N101" s="475"/>
    </row>
    <row r="102" ht="15.75" customHeight="1">
      <c r="A102" s="475"/>
      <c r="B102" s="20"/>
      <c r="C102" s="20"/>
      <c r="D102" s="275"/>
      <c r="E102" s="275"/>
      <c r="F102" s="490"/>
      <c r="G102" s="491"/>
      <c r="H102" s="275"/>
      <c r="I102" s="275"/>
      <c r="J102" s="275"/>
      <c r="K102" s="275"/>
      <c r="L102" s="480"/>
      <c r="M102" s="496"/>
      <c r="N102" s="475"/>
    </row>
    <row r="103" ht="15.75" customHeight="1">
      <c r="A103" s="475"/>
      <c r="B103" s="20"/>
      <c r="C103" s="20"/>
      <c r="D103" s="275"/>
      <c r="E103" s="275"/>
      <c r="F103" s="490"/>
      <c r="G103" s="491"/>
      <c r="H103" s="275"/>
      <c r="I103" s="275"/>
      <c r="J103" s="275"/>
      <c r="K103" s="275"/>
      <c r="L103" s="480"/>
      <c r="M103" s="496"/>
      <c r="N103" s="475"/>
    </row>
    <row r="104" ht="15.75" customHeight="1">
      <c r="A104" s="475"/>
      <c r="B104" s="20"/>
      <c r="C104" s="20"/>
      <c r="D104" s="275"/>
      <c r="E104" s="275"/>
      <c r="F104" s="490"/>
      <c r="G104" s="491"/>
      <c r="H104" s="275"/>
      <c r="I104" s="275"/>
      <c r="J104" s="275"/>
      <c r="K104" s="275"/>
      <c r="L104" s="480"/>
      <c r="M104" s="496"/>
      <c r="N104" s="475"/>
    </row>
    <row r="105" ht="15.75" customHeight="1">
      <c r="A105" s="475"/>
      <c r="B105" s="20"/>
      <c r="C105" s="20"/>
      <c r="D105" s="275"/>
      <c r="E105" s="275"/>
      <c r="F105" s="490"/>
      <c r="G105" s="491"/>
      <c r="H105" s="275"/>
      <c r="I105" s="275"/>
      <c r="J105" s="275"/>
      <c r="K105" s="275"/>
      <c r="L105" s="480"/>
      <c r="M105" s="496"/>
      <c r="N105" s="475"/>
    </row>
    <row r="106" ht="15.75" customHeight="1">
      <c r="A106" s="475"/>
      <c r="B106" s="20"/>
      <c r="C106" s="20"/>
      <c r="D106" s="275"/>
      <c r="E106" s="275"/>
      <c r="F106" s="490"/>
      <c r="G106" s="491"/>
      <c r="H106" s="275"/>
      <c r="I106" s="275"/>
      <c r="J106" s="275"/>
      <c r="K106" s="275"/>
      <c r="L106" s="480"/>
      <c r="M106" s="496"/>
      <c r="N106" s="475"/>
    </row>
    <row r="107" ht="15.75" customHeight="1">
      <c r="A107" s="475"/>
      <c r="B107" s="20"/>
      <c r="C107" s="20"/>
      <c r="D107" s="275"/>
      <c r="E107" s="275"/>
      <c r="F107" s="490"/>
      <c r="G107" s="491"/>
      <c r="H107" s="275"/>
      <c r="I107" s="275"/>
      <c r="J107" s="275"/>
      <c r="K107" s="275"/>
      <c r="L107" s="480"/>
      <c r="M107" s="496"/>
      <c r="N107" s="475"/>
    </row>
    <row r="108" ht="15.75" customHeight="1">
      <c r="A108" s="475"/>
      <c r="B108" s="20"/>
      <c r="C108" s="20"/>
      <c r="D108" s="275"/>
      <c r="E108" s="275"/>
      <c r="F108" s="490"/>
      <c r="G108" s="491"/>
      <c r="H108" s="275"/>
      <c r="I108" s="275"/>
      <c r="J108" s="275"/>
      <c r="K108" s="275"/>
      <c r="L108" s="480"/>
      <c r="M108" s="496"/>
      <c r="N108" s="475"/>
    </row>
    <row r="109" ht="15.75" customHeight="1">
      <c r="A109" s="475"/>
      <c r="B109" s="20"/>
      <c r="C109" s="20"/>
      <c r="D109" s="275"/>
      <c r="E109" s="275"/>
      <c r="F109" s="490"/>
      <c r="G109" s="491"/>
      <c r="H109" s="275"/>
      <c r="I109" s="275"/>
      <c r="J109" s="275"/>
      <c r="K109" s="275"/>
      <c r="L109" s="480"/>
      <c r="M109" s="496"/>
      <c r="N109" s="475"/>
    </row>
    <row r="110" ht="15.75" customHeight="1">
      <c r="A110" s="475"/>
      <c r="B110" s="21"/>
      <c r="C110" s="21"/>
      <c r="D110" s="259"/>
      <c r="E110" s="259"/>
      <c r="F110" s="490"/>
      <c r="G110" s="491"/>
      <c r="H110" s="259"/>
      <c r="I110" s="259"/>
      <c r="J110" s="259"/>
      <c r="K110" s="259"/>
      <c r="L110" s="480"/>
      <c r="M110" s="496"/>
      <c r="N110" s="475"/>
    </row>
    <row r="111" ht="15.75" customHeight="1">
      <c r="A111" s="475"/>
      <c r="B111" s="486">
        <f>B101+1</f>
        <v>11</v>
      </c>
      <c r="C111" s="487" t="s">
        <v>1190</v>
      </c>
      <c r="D111" s="488" t="str">
        <f>'参照_概要'!$C$13&amp;"◆Lucky Lesson Set"</f>
        <v>Mystic Matrimony◆Lucky Lesson Set</v>
      </c>
      <c r="E111" s="489" t="s">
        <v>1029</v>
      </c>
      <c r="F111" s="490" t="s">
        <v>657</v>
      </c>
      <c r="G111" s="491">
        <v>12.0</v>
      </c>
      <c r="H111" s="492">
        <v>1500.0</v>
      </c>
      <c r="I111" s="492">
        <v>3.0</v>
      </c>
      <c r="J111" s="493">
        <f>'参照_概要'!C27</f>
        <v>46078.45833</v>
      </c>
      <c r="K111" s="494">
        <f>'参照_概要'!D27</f>
        <v>46078.95833</v>
      </c>
      <c r="L111" s="480"/>
      <c r="M111" s="496"/>
      <c r="N111" s="475"/>
    </row>
    <row r="112" ht="15.75" customHeight="1">
      <c r="A112" s="475"/>
      <c r="B112" s="20"/>
      <c r="C112" s="20"/>
      <c r="D112" s="275"/>
      <c r="E112" s="275"/>
      <c r="F112" s="490"/>
      <c r="G112" s="491"/>
      <c r="H112" s="275"/>
      <c r="I112" s="275"/>
      <c r="J112" s="275"/>
      <c r="K112" s="275"/>
      <c r="L112" s="480"/>
      <c r="M112" s="496"/>
      <c r="N112" s="475"/>
    </row>
    <row r="113" ht="15.75" customHeight="1">
      <c r="A113" s="475"/>
      <c r="B113" s="20"/>
      <c r="C113" s="20"/>
      <c r="D113" s="275"/>
      <c r="E113" s="275"/>
      <c r="F113" s="490"/>
      <c r="G113" s="491"/>
      <c r="H113" s="275"/>
      <c r="I113" s="275"/>
      <c r="J113" s="275"/>
      <c r="K113" s="275"/>
      <c r="L113" s="480"/>
      <c r="M113" s="496"/>
      <c r="N113" s="475"/>
    </row>
    <row r="114" ht="15.75" customHeight="1">
      <c r="A114" s="475"/>
      <c r="B114" s="20"/>
      <c r="C114" s="20"/>
      <c r="D114" s="275"/>
      <c r="E114" s="275"/>
      <c r="F114" s="490"/>
      <c r="G114" s="491"/>
      <c r="H114" s="275"/>
      <c r="I114" s="275"/>
      <c r="J114" s="275"/>
      <c r="K114" s="275"/>
      <c r="L114" s="480"/>
      <c r="M114" s="496"/>
      <c r="N114" s="475"/>
    </row>
    <row r="115" ht="15.75" customHeight="1">
      <c r="A115" s="475"/>
      <c r="B115" s="20"/>
      <c r="C115" s="20"/>
      <c r="D115" s="275"/>
      <c r="E115" s="275"/>
      <c r="F115" s="490"/>
      <c r="G115" s="491"/>
      <c r="H115" s="275"/>
      <c r="I115" s="275"/>
      <c r="J115" s="275"/>
      <c r="K115" s="275"/>
      <c r="L115" s="480"/>
      <c r="M115" s="496"/>
      <c r="N115" s="475"/>
    </row>
    <row r="116" ht="15.75" customHeight="1">
      <c r="A116" s="475"/>
      <c r="B116" s="20"/>
      <c r="C116" s="20"/>
      <c r="D116" s="275"/>
      <c r="E116" s="275"/>
      <c r="F116" s="490"/>
      <c r="G116" s="491"/>
      <c r="H116" s="275"/>
      <c r="I116" s="275"/>
      <c r="J116" s="275"/>
      <c r="K116" s="275"/>
      <c r="L116" s="480"/>
      <c r="M116" s="496"/>
      <c r="N116" s="475"/>
    </row>
    <row r="117" ht="15.75" customHeight="1">
      <c r="A117" s="475"/>
      <c r="B117" s="20"/>
      <c r="C117" s="20"/>
      <c r="D117" s="275"/>
      <c r="E117" s="275"/>
      <c r="F117" s="490"/>
      <c r="G117" s="491"/>
      <c r="H117" s="275"/>
      <c r="I117" s="275"/>
      <c r="J117" s="275"/>
      <c r="K117" s="275"/>
      <c r="L117" s="480"/>
      <c r="M117" s="496"/>
      <c r="N117" s="475"/>
    </row>
    <row r="118" ht="15.75" customHeight="1">
      <c r="A118" s="475"/>
      <c r="B118" s="20"/>
      <c r="C118" s="20"/>
      <c r="D118" s="275"/>
      <c r="E118" s="275"/>
      <c r="F118" s="490"/>
      <c r="G118" s="491"/>
      <c r="H118" s="275"/>
      <c r="I118" s="275"/>
      <c r="J118" s="275"/>
      <c r="K118" s="275"/>
      <c r="L118" s="480"/>
      <c r="M118" s="496"/>
      <c r="N118" s="475"/>
    </row>
    <row r="119" ht="15.75" customHeight="1">
      <c r="A119" s="475"/>
      <c r="B119" s="20"/>
      <c r="C119" s="20"/>
      <c r="D119" s="275"/>
      <c r="E119" s="275"/>
      <c r="F119" s="490"/>
      <c r="G119" s="491"/>
      <c r="H119" s="275"/>
      <c r="I119" s="275"/>
      <c r="J119" s="275"/>
      <c r="K119" s="275"/>
      <c r="L119" s="480"/>
      <c r="M119" s="496"/>
      <c r="N119" s="475"/>
    </row>
    <row r="120" ht="15.75" customHeight="1">
      <c r="A120" s="475"/>
      <c r="B120" s="21"/>
      <c r="C120" s="21"/>
      <c r="D120" s="259"/>
      <c r="E120" s="259"/>
      <c r="F120" s="490"/>
      <c r="G120" s="491"/>
      <c r="H120" s="259"/>
      <c r="I120" s="259"/>
      <c r="J120" s="259"/>
      <c r="K120" s="259"/>
      <c r="L120" s="480"/>
      <c r="M120" s="496"/>
      <c r="N120" s="475"/>
    </row>
    <row r="121" ht="15.75" customHeight="1">
      <c r="A121" s="475"/>
      <c r="B121" s="486">
        <f>B111+1</f>
        <v>12</v>
      </c>
      <c r="C121" s="487" t="s">
        <v>1190</v>
      </c>
      <c r="D121" s="488" t="str">
        <f>'参照_概要'!$C$13&amp;"◆Lucky Story Set"</f>
        <v>Mystic Matrimony◆Lucky Story Set</v>
      </c>
      <c r="E121" s="495" t="s">
        <v>1028</v>
      </c>
      <c r="F121" s="490" t="s">
        <v>654</v>
      </c>
      <c r="G121" s="491">
        <v>20.0</v>
      </c>
      <c r="H121" s="492">
        <v>1500.0</v>
      </c>
      <c r="I121" s="492">
        <v>3.0</v>
      </c>
      <c r="J121" s="493">
        <f>'参照_概要'!C28</f>
        <v>46080.20833</v>
      </c>
      <c r="K121" s="494">
        <f>'参照_概要'!D28</f>
        <v>46080.70833</v>
      </c>
      <c r="L121" s="480"/>
      <c r="M121" s="496"/>
      <c r="N121" s="475"/>
    </row>
    <row r="122" ht="15.75" customHeight="1">
      <c r="A122" s="475"/>
      <c r="B122" s="20"/>
      <c r="C122" s="20"/>
      <c r="D122" s="275"/>
      <c r="E122" s="275"/>
      <c r="F122" s="490"/>
      <c r="G122" s="491"/>
      <c r="H122" s="275"/>
      <c r="I122" s="275"/>
      <c r="J122" s="275"/>
      <c r="K122" s="275"/>
      <c r="L122" s="480"/>
      <c r="M122" s="496"/>
      <c r="N122" s="475"/>
    </row>
    <row r="123" ht="15.75" customHeight="1">
      <c r="A123" s="475"/>
      <c r="B123" s="20"/>
      <c r="C123" s="20"/>
      <c r="D123" s="275"/>
      <c r="E123" s="275"/>
      <c r="F123" s="490"/>
      <c r="G123" s="491"/>
      <c r="H123" s="275"/>
      <c r="I123" s="275"/>
      <c r="J123" s="275"/>
      <c r="K123" s="275"/>
      <c r="L123" s="480"/>
      <c r="M123" s="496"/>
      <c r="N123" s="475"/>
    </row>
    <row r="124" ht="15.75" customHeight="1">
      <c r="A124" s="475"/>
      <c r="B124" s="20"/>
      <c r="C124" s="20"/>
      <c r="D124" s="275"/>
      <c r="E124" s="275"/>
      <c r="F124" s="490"/>
      <c r="G124" s="491"/>
      <c r="H124" s="275"/>
      <c r="I124" s="275"/>
      <c r="J124" s="275"/>
      <c r="K124" s="275"/>
      <c r="L124" s="480"/>
      <c r="M124" s="496"/>
      <c r="N124" s="475"/>
    </row>
    <row r="125" ht="15.75" customHeight="1">
      <c r="A125" s="475"/>
      <c r="B125" s="20"/>
      <c r="C125" s="20"/>
      <c r="D125" s="275"/>
      <c r="E125" s="275"/>
      <c r="F125" s="490"/>
      <c r="G125" s="491"/>
      <c r="H125" s="275"/>
      <c r="I125" s="275"/>
      <c r="J125" s="275"/>
      <c r="K125" s="275"/>
      <c r="L125" s="480"/>
      <c r="M125" s="496"/>
      <c r="N125" s="475"/>
    </row>
    <row r="126" ht="15.75" customHeight="1">
      <c r="A126" s="475"/>
      <c r="B126" s="20"/>
      <c r="C126" s="20"/>
      <c r="D126" s="275"/>
      <c r="E126" s="275"/>
      <c r="F126" s="490"/>
      <c r="G126" s="491"/>
      <c r="H126" s="275"/>
      <c r="I126" s="275"/>
      <c r="J126" s="275"/>
      <c r="K126" s="275"/>
      <c r="L126" s="480"/>
      <c r="M126" s="496"/>
      <c r="N126" s="475"/>
    </row>
    <row r="127" ht="15.75" customHeight="1">
      <c r="A127" s="475"/>
      <c r="B127" s="20"/>
      <c r="C127" s="20"/>
      <c r="D127" s="275"/>
      <c r="E127" s="275"/>
      <c r="F127" s="490"/>
      <c r="G127" s="491"/>
      <c r="H127" s="275"/>
      <c r="I127" s="275"/>
      <c r="J127" s="275"/>
      <c r="K127" s="275"/>
      <c r="L127" s="480"/>
      <c r="M127" s="496"/>
      <c r="N127" s="475"/>
    </row>
    <row r="128" ht="15.75" customHeight="1">
      <c r="A128" s="475"/>
      <c r="B128" s="20"/>
      <c r="C128" s="20"/>
      <c r="D128" s="275"/>
      <c r="E128" s="275"/>
      <c r="F128" s="490"/>
      <c r="G128" s="491"/>
      <c r="H128" s="275"/>
      <c r="I128" s="275"/>
      <c r="J128" s="275"/>
      <c r="K128" s="275"/>
      <c r="L128" s="480"/>
      <c r="M128" s="496"/>
      <c r="N128" s="475"/>
    </row>
    <row r="129" ht="15.75" customHeight="1">
      <c r="A129" s="475"/>
      <c r="B129" s="20"/>
      <c r="C129" s="20"/>
      <c r="D129" s="275"/>
      <c r="E129" s="275"/>
      <c r="F129" s="490"/>
      <c r="G129" s="491"/>
      <c r="H129" s="275"/>
      <c r="I129" s="275"/>
      <c r="J129" s="275"/>
      <c r="K129" s="275"/>
      <c r="L129" s="480"/>
      <c r="M129" s="496"/>
      <c r="N129" s="475"/>
    </row>
    <row r="130" ht="15.75" customHeight="1">
      <c r="A130" s="475"/>
      <c r="B130" s="21"/>
      <c r="C130" s="21"/>
      <c r="D130" s="259"/>
      <c r="E130" s="259"/>
      <c r="F130" s="490"/>
      <c r="G130" s="491"/>
      <c r="H130" s="259"/>
      <c r="I130" s="259"/>
      <c r="J130" s="259"/>
      <c r="K130" s="259"/>
      <c r="L130" s="480"/>
      <c r="M130" s="496"/>
      <c r="N130" s="475"/>
    </row>
    <row r="131" ht="15.75" customHeight="1">
      <c r="A131" s="475"/>
      <c r="B131" s="486">
        <f>B121+1</f>
        <v>13</v>
      </c>
      <c r="C131" s="487" t="s">
        <v>1190</v>
      </c>
      <c r="D131" s="488" t="str">
        <f>'参照_概要'!$C$13&amp;"◆Mini Warlord Set A"</f>
        <v>Mystic Matrimony◆Mini Warlord Set A</v>
      </c>
      <c r="E131" s="489" t="s">
        <v>1031</v>
      </c>
      <c r="F131" s="505" t="s">
        <v>863</v>
      </c>
      <c r="G131" s="491">
        <v>1.0</v>
      </c>
      <c r="H131" s="492">
        <v>2000.0</v>
      </c>
      <c r="I131" s="492">
        <v>1.0</v>
      </c>
      <c r="J131" s="493">
        <f>'参照_概要'!$C$17</f>
        <v>46074.70833</v>
      </c>
      <c r="K131" s="494">
        <f>'参照_概要'!$D$17</f>
        <v>46080.70833</v>
      </c>
      <c r="L131" s="480"/>
      <c r="M131" s="496"/>
      <c r="N131" s="475"/>
    </row>
    <row r="132" ht="15.75" customHeight="1">
      <c r="A132" s="475"/>
      <c r="B132" s="20"/>
      <c r="C132" s="20"/>
      <c r="D132" s="275"/>
      <c r="E132" s="275"/>
      <c r="F132" s="505" t="s">
        <v>866</v>
      </c>
      <c r="G132" s="491">
        <v>1.0</v>
      </c>
      <c r="H132" s="275"/>
      <c r="I132" s="275"/>
      <c r="J132" s="275"/>
      <c r="K132" s="275"/>
      <c r="L132" s="480"/>
      <c r="M132" s="496"/>
      <c r="N132" s="475"/>
    </row>
    <row r="133" ht="15.75" customHeight="1">
      <c r="A133" s="475"/>
      <c r="B133" s="20"/>
      <c r="C133" s="20"/>
      <c r="D133" s="275"/>
      <c r="E133" s="275"/>
      <c r="F133" s="505" t="s">
        <v>869</v>
      </c>
      <c r="G133" s="491">
        <v>1.0</v>
      </c>
      <c r="H133" s="275"/>
      <c r="I133" s="275"/>
      <c r="J133" s="275"/>
      <c r="K133" s="275"/>
      <c r="L133" s="480"/>
      <c r="M133" s="496"/>
      <c r="N133" s="475"/>
    </row>
    <row r="134" ht="15.75" customHeight="1">
      <c r="A134" s="475"/>
      <c r="B134" s="20"/>
      <c r="C134" s="20"/>
      <c r="D134" s="275"/>
      <c r="E134" s="275"/>
      <c r="F134" s="505" t="s">
        <v>872</v>
      </c>
      <c r="G134" s="491">
        <v>1.0</v>
      </c>
      <c r="H134" s="275"/>
      <c r="I134" s="275"/>
      <c r="J134" s="275"/>
      <c r="K134" s="275"/>
      <c r="L134" s="480"/>
      <c r="M134" s="496"/>
      <c r="N134" s="475"/>
    </row>
    <row r="135" ht="15.75" customHeight="1">
      <c r="A135" s="475"/>
      <c r="B135" s="20"/>
      <c r="C135" s="20"/>
      <c r="D135" s="275"/>
      <c r="E135" s="275"/>
      <c r="F135" s="490" t="s">
        <v>650</v>
      </c>
      <c r="G135" s="491">
        <v>4.0</v>
      </c>
      <c r="H135" s="275"/>
      <c r="I135" s="275"/>
      <c r="J135" s="275"/>
      <c r="K135" s="275"/>
      <c r="L135" s="480"/>
      <c r="M135" s="496"/>
      <c r="N135" s="475"/>
    </row>
    <row r="136" ht="15.75" customHeight="1">
      <c r="A136" s="475"/>
      <c r="B136" s="20"/>
      <c r="C136" s="20"/>
      <c r="D136" s="275"/>
      <c r="E136" s="275"/>
      <c r="F136" s="490" t="s">
        <v>657</v>
      </c>
      <c r="G136" s="491">
        <v>1.0</v>
      </c>
      <c r="H136" s="275"/>
      <c r="I136" s="275"/>
      <c r="J136" s="275"/>
      <c r="K136" s="275"/>
      <c r="L136" s="480"/>
      <c r="M136" s="496"/>
      <c r="N136" s="475"/>
    </row>
    <row r="137" ht="15.75" customHeight="1">
      <c r="A137" s="475"/>
      <c r="B137" s="20"/>
      <c r="C137" s="20"/>
      <c r="D137" s="275"/>
      <c r="E137" s="275"/>
      <c r="F137" s="490" t="s">
        <v>1163</v>
      </c>
      <c r="G137" s="491">
        <v>30.0</v>
      </c>
      <c r="H137" s="275"/>
      <c r="I137" s="275"/>
      <c r="J137" s="275"/>
      <c r="K137" s="275"/>
      <c r="L137" s="480"/>
      <c r="M137" s="496"/>
      <c r="N137" s="475"/>
    </row>
    <row r="138" ht="15.75" customHeight="1">
      <c r="A138" s="475"/>
      <c r="B138" s="20"/>
      <c r="C138" s="20"/>
      <c r="D138" s="275"/>
      <c r="E138" s="275"/>
      <c r="F138" s="490"/>
      <c r="G138" s="491"/>
      <c r="H138" s="275"/>
      <c r="I138" s="275"/>
      <c r="J138" s="275"/>
      <c r="K138" s="275"/>
      <c r="L138" s="480"/>
      <c r="M138" s="496"/>
      <c r="N138" s="475"/>
    </row>
    <row r="139" ht="15.75" customHeight="1">
      <c r="A139" s="475"/>
      <c r="B139" s="20"/>
      <c r="C139" s="20"/>
      <c r="D139" s="275"/>
      <c r="E139" s="275"/>
      <c r="F139" s="490"/>
      <c r="G139" s="491"/>
      <c r="H139" s="275"/>
      <c r="I139" s="275"/>
      <c r="J139" s="275"/>
      <c r="K139" s="275"/>
      <c r="L139" s="480"/>
      <c r="M139" s="496"/>
      <c r="N139" s="475"/>
    </row>
    <row r="140" ht="15.75" customHeight="1">
      <c r="A140" s="475"/>
      <c r="B140" s="21"/>
      <c r="C140" s="21"/>
      <c r="D140" s="259"/>
      <c r="E140" s="259"/>
      <c r="F140" s="490"/>
      <c r="G140" s="491"/>
      <c r="H140" s="259"/>
      <c r="I140" s="259"/>
      <c r="J140" s="259"/>
      <c r="K140" s="259"/>
      <c r="L140" s="480"/>
      <c r="M140" s="496"/>
      <c r="N140" s="475"/>
    </row>
    <row r="141" ht="15.75" customHeight="1">
      <c r="A141" s="475"/>
      <c r="B141" s="486">
        <f>B131+1</f>
        <v>14</v>
      </c>
      <c r="C141" s="487" t="s">
        <v>1190</v>
      </c>
      <c r="D141" s="488" t="str">
        <f>'参照_概要'!$C$13&amp;"◆Mini Warlord Set B"</f>
        <v>Mystic Matrimony◆Mini Warlord Set B</v>
      </c>
      <c r="E141" s="489" t="s">
        <v>1031</v>
      </c>
      <c r="F141" s="505" t="s">
        <v>875</v>
      </c>
      <c r="G141" s="491">
        <v>1.0</v>
      </c>
      <c r="H141" s="492">
        <v>2000.0</v>
      </c>
      <c r="I141" s="492">
        <v>1.0</v>
      </c>
      <c r="J141" s="493">
        <f>'参照_概要'!$C$17</f>
        <v>46074.70833</v>
      </c>
      <c r="K141" s="494">
        <f>'参照_概要'!$D$17</f>
        <v>46080.70833</v>
      </c>
      <c r="L141" s="480"/>
      <c r="M141" s="496"/>
      <c r="N141" s="475"/>
    </row>
    <row r="142" ht="15.75" customHeight="1">
      <c r="A142" s="475"/>
      <c r="B142" s="20"/>
      <c r="C142" s="20"/>
      <c r="D142" s="275"/>
      <c r="E142" s="275"/>
      <c r="F142" s="505" t="s">
        <v>878</v>
      </c>
      <c r="G142" s="491">
        <v>1.0</v>
      </c>
      <c r="H142" s="275"/>
      <c r="I142" s="275"/>
      <c r="J142" s="275"/>
      <c r="K142" s="275"/>
      <c r="L142" s="480"/>
      <c r="M142" s="496"/>
      <c r="N142" s="475"/>
    </row>
    <row r="143" ht="15.75" customHeight="1">
      <c r="A143" s="475"/>
      <c r="B143" s="20"/>
      <c r="C143" s="20"/>
      <c r="D143" s="275"/>
      <c r="E143" s="275"/>
      <c r="F143" s="505" t="s">
        <v>912</v>
      </c>
      <c r="G143" s="491">
        <v>1.0</v>
      </c>
      <c r="H143" s="275"/>
      <c r="I143" s="275"/>
      <c r="J143" s="275"/>
      <c r="K143" s="275"/>
      <c r="L143" s="480"/>
      <c r="M143" s="496"/>
      <c r="N143" s="475"/>
    </row>
    <row r="144" ht="15.75" customHeight="1">
      <c r="A144" s="475"/>
      <c r="B144" s="20"/>
      <c r="C144" s="20"/>
      <c r="D144" s="275"/>
      <c r="E144" s="275"/>
      <c r="F144" s="505" t="s">
        <v>908</v>
      </c>
      <c r="G144" s="491">
        <v>1.0</v>
      </c>
      <c r="H144" s="275"/>
      <c r="I144" s="275"/>
      <c r="J144" s="275"/>
      <c r="K144" s="275"/>
      <c r="L144" s="480"/>
      <c r="M144" s="496"/>
      <c r="N144" s="475"/>
    </row>
    <row r="145" ht="15.75" customHeight="1">
      <c r="A145" s="475"/>
      <c r="B145" s="20"/>
      <c r="C145" s="20"/>
      <c r="D145" s="275"/>
      <c r="E145" s="275"/>
      <c r="F145" s="490" t="s">
        <v>650</v>
      </c>
      <c r="G145" s="491">
        <v>4.0</v>
      </c>
      <c r="H145" s="275"/>
      <c r="I145" s="275"/>
      <c r="J145" s="275"/>
      <c r="K145" s="275"/>
      <c r="L145" s="480"/>
      <c r="M145" s="496"/>
      <c r="N145" s="475"/>
    </row>
    <row r="146" ht="15.75" customHeight="1">
      <c r="A146" s="475"/>
      <c r="B146" s="20"/>
      <c r="C146" s="20"/>
      <c r="D146" s="275"/>
      <c r="E146" s="275"/>
      <c r="F146" s="490" t="s">
        <v>657</v>
      </c>
      <c r="G146" s="491">
        <v>1.0</v>
      </c>
      <c r="H146" s="275"/>
      <c r="I146" s="275"/>
      <c r="J146" s="275"/>
      <c r="K146" s="275"/>
      <c r="L146" s="480"/>
      <c r="M146" s="496"/>
      <c r="N146" s="475"/>
    </row>
    <row r="147" ht="15.75" customHeight="1">
      <c r="A147" s="475"/>
      <c r="B147" s="20"/>
      <c r="C147" s="20"/>
      <c r="D147" s="275"/>
      <c r="E147" s="275"/>
      <c r="F147" s="490" t="s">
        <v>1163</v>
      </c>
      <c r="G147" s="491">
        <v>30.0</v>
      </c>
      <c r="H147" s="275"/>
      <c r="I147" s="275"/>
      <c r="J147" s="275"/>
      <c r="K147" s="275"/>
      <c r="L147" s="480"/>
      <c r="M147" s="496"/>
      <c r="N147" s="475"/>
    </row>
    <row r="148" ht="15.75" customHeight="1">
      <c r="A148" s="475"/>
      <c r="B148" s="20"/>
      <c r="C148" s="20"/>
      <c r="D148" s="275"/>
      <c r="E148" s="275"/>
      <c r="F148" s="490"/>
      <c r="G148" s="491"/>
      <c r="H148" s="275"/>
      <c r="I148" s="275"/>
      <c r="J148" s="275"/>
      <c r="K148" s="275"/>
      <c r="L148" s="480"/>
      <c r="M148" s="496"/>
      <c r="N148" s="475"/>
    </row>
    <row r="149" ht="15.75" customHeight="1">
      <c r="A149" s="475"/>
      <c r="B149" s="20"/>
      <c r="C149" s="20"/>
      <c r="D149" s="275"/>
      <c r="E149" s="275"/>
      <c r="F149" s="490"/>
      <c r="G149" s="491"/>
      <c r="H149" s="275"/>
      <c r="I149" s="275"/>
      <c r="J149" s="275"/>
      <c r="K149" s="275"/>
      <c r="L149" s="480"/>
      <c r="M149" s="496"/>
      <c r="N149" s="475"/>
    </row>
    <row r="150" ht="15.75" customHeight="1">
      <c r="A150" s="475"/>
      <c r="B150" s="21"/>
      <c r="C150" s="21"/>
      <c r="D150" s="259"/>
      <c r="E150" s="259"/>
      <c r="F150" s="490"/>
      <c r="G150" s="491"/>
      <c r="H150" s="259"/>
      <c r="I150" s="259"/>
      <c r="J150" s="259"/>
      <c r="K150" s="259"/>
      <c r="L150" s="480"/>
      <c r="M150" s="496"/>
      <c r="N150" s="475"/>
    </row>
    <row r="151" ht="15.75" customHeight="1">
      <c r="A151" s="475"/>
      <c r="B151" s="486">
        <f>B141+1</f>
        <v>15</v>
      </c>
      <c r="C151" s="487" t="s">
        <v>1190</v>
      </c>
      <c r="D151" s="488" t="str">
        <f>'参照_概要'!$C$13&amp;"◆Mini Warlord Set C"</f>
        <v>Mystic Matrimony◆Mini Warlord Set C</v>
      </c>
      <c r="E151" s="489" t="s">
        <v>1031</v>
      </c>
      <c r="F151" s="505" t="s">
        <v>904</v>
      </c>
      <c r="G151" s="491">
        <v>1.0</v>
      </c>
      <c r="H151" s="492">
        <v>2000.0</v>
      </c>
      <c r="I151" s="492">
        <v>1.0</v>
      </c>
      <c r="J151" s="493">
        <f>'参照_概要'!$C$17</f>
        <v>46074.70833</v>
      </c>
      <c r="K151" s="494">
        <f>'参照_概要'!$D$17</f>
        <v>46080.70833</v>
      </c>
      <c r="L151" s="480"/>
      <c r="M151" s="496"/>
      <c r="N151" s="475"/>
    </row>
    <row r="152" ht="15.75" customHeight="1">
      <c r="A152" s="475"/>
      <c r="B152" s="20"/>
      <c r="C152" s="20"/>
      <c r="D152" s="275"/>
      <c r="E152" s="275"/>
      <c r="F152" s="505" t="s">
        <v>896</v>
      </c>
      <c r="G152" s="491">
        <v>1.0</v>
      </c>
      <c r="H152" s="275"/>
      <c r="I152" s="275"/>
      <c r="J152" s="275"/>
      <c r="K152" s="275"/>
      <c r="L152" s="480"/>
      <c r="M152" s="496"/>
      <c r="N152" s="475"/>
    </row>
    <row r="153" ht="15.75" customHeight="1">
      <c r="A153" s="475"/>
      <c r="B153" s="20"/>
      <c r="C153" s="20"/>
      <c r="D153" s="275"/>
      <c r="E153" s="275"/>
      <c r="F153" s="505" t="s">
        <v>902</v>
      </c>
      <c r="G153" s="491">
        <v>1.0</v>
      </c>
      <c r="H153" s="275"/>
      <c r="I153" s="275"/>
      <c r="J153" s="275"/>
      <c r="K153" s="275"/>
      <c r="L153" s="480"/>
      <c r="M153" s="496"/>
      <c r="N153" s="475"/>
    </row>
    <row r="154" ht="15.75" customHeight="1">
      <c r="A154" s="475"/>
      <c r="B154" s="20"/>
      <c r="C154" s="20"/>
      <c r="D154" s="275"/>
      <c r="E154" s="275"/>
      <c r="F154" s="490" t="s">
        <v>650</v>
      </c>
      <c r="G154" s="506">
        <v>3.0</v>
      </c>
      <c r="H154" s="275"/>
      <c r="I154" s="275"/>
      <c r="J154" s="275"/>
      <c r="K154" s="275"/>
      <c r="L154" s="480"/>
      <c r="M154" s="496"/>
      <c r="N154" s="475"/>
    </row>
    <row r="155" ht="15.75" customHeight="1">
      <c r="A155" s="475"/>
      <c r="B155" s="20"/>
      <c r="C155" s="20"/>
      <c r="D155" s="275"/>
      <c r="E155" s="275"/>
      <c r="F155" s="490" t="s">
        <v>657</v>
      </c>
      <c r="G155" s="491">
        <v>1.0</v>
      </c>
      <c r="H155" s="275"/>
      <c r="I155" s="275"/>
      <c r="J155" s="275"/>
      <c r="K155" s="275"/>
      <c r="L155" s="480"/>
      <c r="M155" s="496"/>
      <c r="N155" s="475"/>
    </row>
    <row r="156" ht="15.75" customHeight="1">
      <c r="A156" s="475"/>
      <c r="B156" s="20"/>
      <c r="C156" s="20"/>
      <c r="D156" s="275"/>
      <c r="E156" s="275"/>
      <c r="F156" s="490" t="s">
        <v>1163</v>
      </c>
      <c r="G156" s="491">
        <v>30.0</v>
      </c>
      <c r="H156" s="275"/>
      <c r="I156" s="275"/>
      <c r="J156" s="275"/>
      <c r="K156" s="275"/>
      <c r="L156" s="480"/>
      <c r="M156" s="496"/>
      <c r="N156" s="475"/>
    </row>
    <row r="157" ht="15.75" customHeight="1">
      <c r="A157" s="475"/>
      <c r="B157" s="20"/>
      <c r="C157" s="20"/>
      <c r="D157" s="275"/>
      <c r="E157" s="275"/>
      <c r="F157" s="490"/>
      <c r="G157" s="491"/>
      <c r="H157" s="275"/>
      <c r="I157" s="275"/>
      <c r="J157" s="275"/>
      <c r="K157" s="275"/>
      <c r="L157" s="480"/>
      <c r="M157" s="496"/>
      <c r="N157" s="475"/>
    </row>
    <row r="158" ht="15.75" customHeight="1">
      <c r="A158" s="475"/>
      <c r="B158" s="20"/>
      <c r="C158" s="20"/>
      <c r="D158" s="275"/>
      <c r="E158" s="275"/>
      <c r="F158" s="490"/>
      <c r="G158" s="491"/>
      <c r="H158" s="275"/>
      <c r="I158" s="275"/>
      <c r="J158" s="275"/>
      <c r="K158" s="275"/>
      <c r="L158" s="480"/>
      <c r="M158" s="496"/>
      <c r="N158" s="475"/>
    </row>
    <row r="159" ht="15.75" customHeight="1">
      <c r="A159" s="475"/>
      <c r="B159" s="20"/>
      <c r="C159" s="20"/>
      <c r="D159" s="275"/>
      <c r="E159" s="275"/>
      <c r="F159" s="490"/>
      <c r="G159" s="491"/>
      <c r="H159" s="275"/>
      <c r="I159" s="275"/>
      <c r="J159" s="275"/>
      <c r="K159" s="275"/>
      <c r="L159" s="480"/>
      <c r="M159" s="496"/>
      <c r="N159" s="475"/>
    </row>
    <row r="160" ht="15.75" customHeight="1">
      <c r="A160" s="475"/>
      <c r="B160" s="21"/>
      <c r="C160" s="21"/>
      <c r="D160" s="259"/>
      <c r="E160" s="259"/>
      <c r="F160" s="490"/>
      <c r="G160" s="491"/>
      <c r="H160" s="259"/>
      <c r="I160" s="259"/>
      <c r="J160" s="259"/>
      <c r="K160" s="259"/>
      <c r="L160" s="480"/>
      <c r="M160" s="496"/>
      <c r="N160" s="475"/>
    </row>
    <row r="161" ht="15.75" customHeight="1">
      <c r="A161" s="475"/>
      <c r="B161" s="486">
        <f>B151+1</f>
        <v>16</v>
      </c>
      <c r="C161" s="487" t="s">
        <v>1190</v>
      </c>
      <c r="D161" s="488" t="str">
        <f>'参照_概要'!$C$13&amp;"◆Story Set"</f>
        <v>Mystic Matrimony◆Story Set</v>
      </c>
      <c r="E161" s="489" t="s">
        <v>1032</v>
      </c>
      <c r="F161" s="490" t="s">
        <v>654</v>
      </c>
      <c r="G161" s="491">
        <v>35.0</v>
      </c>
      <c r="H161" s="492">
        <v>3500.0</v>
      </c>
      <c r="I161" s="492" t="s">
        <v>1405</v>
      </c>
      <c r="J161" s="493">
        <f>'参照_概要'!$C$17</f>
        <v>46074.70833</v>
      </c>
      <c r="K161" s="494">
        <f>'参照_概要'!$D$17</f>
        <v>46080.70833</v>
      </c>
      <c r="L161" s="480"/>
      <c r="M161" s="496"/>
      <c r="N161" s="475"/>
    </row>
    <row r="162" ht="15.75" customHeight="1">
      <c r="A162" s="475"/>
      <c r="B162" s="20"/>
      <c r="C162" s="20"/>
      <c r="D162" s="275"/>
      <c r="E162" s="275"/>
      <c r="F162" s="490" t="s">
        <v>1176</v>
      </c>
      <c r="G162" s="491">
        <v>2.0</v>
      </c>
      <c r="H162" s="275"/>
      <c r="I162" s="275"/>
      <c r="J162" s="275"/>
      <c r="K162" s="275"/>
      <c r="L162" s="480"/>
      <c r="M162" s="496"/>
      <c r="N162" s="475"/>
    </row>
    <row r="163" ht="15.75" customHeight="1">
      <c r="A163" s="475"/>
      <c r="B163" s="20"/>
      <c r="C163" s="20"/>
      <c r="D163" s="275"/>
      <c r="E163" s="275"/>
      <c r="F163" s="490"/>
      <c r="G163" s="491"/>
      <c r="H163" s="275"/>
      <c r="I163" s="275"/>
      <c r="J163" s="275"/>
      <c r="K163" s="275"/>
      <c r="L163" s="480"/>
      <c r="M163" s="496"/>
      <c r="N163" s="475"/>
    </row>
    <row r="164" ht="15.75" customHeight="1">
      <c r="A164" s="475"/>
      <c r="B164" s="20"/>
      <c r="C164" s="20"/>
      <c r="D164" s="275"/>
      <c r="E164" s="275"/>
      <c r="F164" s="490"/>
      <c r="G164" s="491"/>
      <c r="H164" s="275"/>
      <c r="I164" s="275"/>
      <c r="J164" s="275"/>
      <c r="K164" s="275"/>
      <c r="L164" s="480"/>
      <c r="M164" s="496"/>
      <c r="N164" s="475"/>
    </row>
    <row r="165" ht="15.75" customHeight="1">
      <c r="A165" s="475"/>
      <c r="B165" s="20"/>
      <c r="C165" s="20"/>
      <c r="D165" s="275"/>
      <c r="E165" s="275"/>
      <c r="F165" s="490"/>
      <c r="G165" s="491"/>
      <c r="H165" s="275"/>
      <c r="I165" s="275"/>
      <c r="J165" s="275"/>
      <c r="K165" s="275"/>
      <c r="L165" s="480"/>
      <c r="M165" s="496"/>
      <c r="N165" s="475"/>
    </row>
    <row r="166" ht="15.75" customHeight="1">
      <c r="A166" s="475"/>
      <c r="B166" s="20"/>
      <c r="C166" s="20"/>
      <c r="D166" s="275"/>
      <c r="E166" s="275"/>
      <c r="F166" s="490"/>
      <c r="G166" s="491"/>
      <c r="H166" s="275"/>
      <c r="I166" s="275"/>
      <c r="J166" s="275"/>
      <c r="K166" s="275"/>
      <c r="L166" s="480"/>
      <c r="M166" s="496"/>
      <c r="N166" s="475"/>
    </row>
    <row r="167" ht="15.75" customHeight="1">
      <c r="A167" s="475"/>
      <c r="B167" s="20"/>
      <c r="C167" s="20"/>
      <c r="D167" s="275"/>
      <c r="E167" s="275"/>
      <c r="F167" s="490"/>
      <c r="G167" s="491"/>
      <c r="H167" s="275"/>
      <c r="I167" s="275"/>
      <c r="J167" s="275"/>
      <c r="K167" s="275"/>
      <c r="L167" s="480"/>
      <c r="M167" s="496"/>
      <c r="N167" s="475"/>
    </row>
    <row r="168" ht="15.75" customHeight="1">
      <c r="A168" s="475"/>
      <c r="B168" s="20"/>
      <c r="C168" s="20"/>
      <c r="D168" s="275"/>
      <c r="E168" s="275"/>
      <c r="F168" s="490"/>
      <c r="G168" s="491"/>
      <c r="H168" s="275"/>
      <c r="I168" s="275"/>
      <c r="J168" s="275"/>
      <c r="K168" s="275"/>
      <c r="L168" s="480"/>
      <c r="M168" s="496"/>
      <c r="N168" s="475"/>
    </row>
    <row r="169" ht="15.75" customHeight="1">
      <c r="A169" s="475"/>
      <c r="B169" s="20"/>
      <c r="C169" s="20"/>
      <c r="D169" s="275"/>
      <c r="E169" s="275"/>
      <c r="F169" s="490"/>
      <c r="G169" s="491"/>
      <c r="H169" s="275"/>
      <c r="I169" s="275"/>
      <c r="J169" s="275"/>
      <c r="K169" s="275"/>
      <c r="L169" s="480"/>
      <c r="M169" s="496"/>
      <c r="N169" s="475"/>
    </row>
    <row r="170" ht="15.75" customHeight="1">
      <c r="A170" s="475"/>
      <c r="B170" s="21"/>
      <c r="C170" s="21"/>
      <c r="D170" s="259"/>
      <c r="E170" s="259"/>
      <c r="F170" s="490"/>
      <c r="G170" s="491"/>
      <c r="H170" s="259"/>
      <c r="I170" s="259"/>
      <c r="J170" s="259"/>
      <c r="K170" s="259"/>
      <c r="L170" s="480"/>
      <c r="M170" s="496"/>
      <c r="N170" s="475"/>
    </row>
    <row r="171" ht="15.75" customHeight="1">
      <c r="A171" s="475"/>
      <c r="B171" s="486">
        <f>B161+1</f>
        <v>17</v>
      </c>
      <c r="C171" s="487" t="s">
        <v>1190</v>
      </c>
      <c r="D171" s="488" t="str">
        <f>'参照_概要'!$C$13&amp;"◆Shaved Ice Set"</f>
        <v>Mystic Matrimony◆Shaved Ice Set</v>
      </c>
      <c r="E171" s="489" t="s">
        <v>1033</v>
      </c>
      <c r="F171" s="490" t="s">
        <v>1163</v>
      </c>
      <c r="G171" s="491">
        <v>20.0</v>
      </c>
      <c r="H171" s="492">
        <v>2050.0</v>
      </c>
      <c r="I171" s="492" t="s">
        <v>1405</v>
      </c>
      <c r="J171" s="493">
        <f>'参照_概要'!$C$17</f>
        <v>46074.70833</v>
      </c>
      <c r="K171" s="494">
        <f>'参照_概要'!$D$17</f>
        <v>46080.70833</v>
      </c>
      <c r="L171" s="480"/>
      <c r="M171" s="496"/>
      <c r="N171" s="475"/>
    </row>
    <row r="172" ht="15.75" customHeight="1">
      <c r="A172" s="475"/>
      <c r="B172" s="20"/>
      <c r="C172" s="20"/>
      <c r="D172" s="275"/>
      <c r="E172" s="275"/>
      <c r="F172" s="490" t="s">
        <v>657</v>
      </c>
      <c r="G172" s="491">
        <v>7.0</v>
      </c>
      <c r="H172" s="275"/>
      <c r="I172" s="275"/>
      <c r="J172" s="275"/>
      <c r="K172" s="275"/>
      <c r="L172" s="480"/>
      <c r="M172" s="496"/>
      <c r="N172" s="475"/>
    </row>
    <row r="173" ht="15.75" customHeight="1">
      <c r="A173" s="475"/>
      <c r="B173" s="20"/>
      <c r="C173" s="20"/>
      <c r="D173" s="275"/>
      <c r="E173" s="275"/>
      <c r="F173" s="490" t="s">
        <v>636</v>
      </c>
      <c r="G173" s="491">
        <v>1.0</v>
      </c>
      <c r="H173" s="275"/>
      <c r="I173" s="275"/>
      <c r="J173" s="275"/>
      <c r="K173" s="275"/>
      <c r="L173" s="480"/>
      <c r="M173" s="496"/>
      <c r="N173" s="475"/>
    </row>
    <row r="174" ht="15.75" customHeight="1">
      <c r="A174" s="475"/>
      <c r="B174" s="20"/>
      <c r="C174" s="20"/>
      <c r="D174" s="275"/>
      <c r="E174" s="275"/>
      <c r="F174" s="490"/>
      <c r="G174" s="491"/>
      <c r="H174" s="275"/>
      <c r="I174" s="275"/>
      <c r="J174" s="275"/>
      <c r="K174" s="275"/>
      <c r="L174" s="480"/>
      <c r="M174" s="496"/>
      <c r="N174" s="475"/>
    </row>
    <row r="175" ht="15.75" customHeight="1">
      <c r="A175" s="475"/>
      <c r="B175" s="20"/>
      <c r="C175" s="20"/>
      <c r="D175" s="275"/>
      <c r="E175" s="275"/>
      <c r="F175" s="490"/>
      <c r="G175" s="491"/>
      <c r="H175" s="275"/>
      <c r="I175" s="275"/>
      <c r="J175" s="275"/>
      <c r="K175" s="275"/>
      <c r="L175" s="480"/>
      <c r="M175" s="496"/>
      <c r="N175" s="475"/>
    </row>
    <row r="176" ht="15.75" customHeight="1">
      <c r="A176" s="475"/>
      <c r="B176" s="20"/>
      <c r="C176" s="20"/>
      <c r="D176" s="275"/>
      <c r="E176" s="275"/>
      <c r="F176" s="490"/>
      <c r="G176" s="491"/>
      <c r="H176" s="275"/>
      <c r="I176" s="275"/>
      <c r="J176" s="275"/>
      <c r="K176" s="275"/>
      <c r="L176" s="480"/>
      <c r="M176" s="496"/>
      <c r="N176" s="475"/>
    </row>
    <row r="177" ht="15.75" customHeight="1">
      <c r="A177" s="475"/>
      <c r="B177" s="20"/>
      <c r="C177" s="20"/>
      <c r="D177" s="275"/>
      <c r="E177" s="275"/>
      <c r="F177" s="490"/>
      <c r="G177" s="491"/>
      <c r="H177" s="275"/>
      <c r="I177" s="275"/>
      <c r="J177" s="275"/>
      <c r="K177" s="275"/>
      <c r="L177" s="480"/>
      <c r="M177" s="496"/>
      <c r="N177" s="475"/>
    </row>
    <row r="178" ht="15.75" customHeight="1">
      <c r="A178" s="475"/>
      <c r="B178" s="20"/>
      <c r="C178" s="20"/>
      <c r="D178" s="275"/>
      <c r="E178" s="275"/>
      <c r="F178" s="490"/>
      <c r="G178" s="491"/>
      <c r="H178" s="275"/>
      <c r="I178" s="275"/>
      <c r="J178" s="275"/>
      <c r="K178" s="275"/>
      <c r="L178" s="480"/>
      <c r="M178" s="496"/>
      <c r="N178" s="475"/>
    </row>
    <row r="179" ht="15.75" customHeight="1">
      <c r="A179" s="475"/>
      <c r="B179" s="20"/>
      <c r="C179" s="20"/>
      <c r="D179" s="275"/>
      <c r="E179" s="275"/>
      <c r="F179" s="490"/>
      <c r="G179" s="491"/>
      <c r="H179" s="275"/>
      <c r="I179" s="275"/>
      <c r="J179" s="275"/>
      <c r="K179" s="275"/>
      <c r="L179" s="480"/>
      <c r="M179" s="496"/>
      <c r="N179" s="475"/>
    </row>
    <row r="180" ht="15.75" customHeight="1">
      <c r="A180" s="475"/>
      <c r="B180" s="21"/>
      <c r="C180" s="21"/>
      <c r="D180" s="259"/>
      <c r="E180" s="259"/>
      <c r="F180" s="490"/>
      <c r="G180" s="491"/>
      <c r="H180" s="259"/>
      <c r="I180" s="259"/>
      <c r="J180" s="259"/>
      <c r="K180" s="259"/>
      <c r="L180" s="480"/>
      <c r="M180" s="496"/>
      <c r="N180" s="475"/>
    </row>
    <row r="181" ht="15.75" customHeight="1">
      <c r="A181" s="475"/>
      <c r="B181" s="486">
        <f>B171+1</f>
        <v>18</v>
      </c>
      <c r="C181" s="487" t="s">
        <v>1190</v>
      </c>
      <c r="D181" s="488" t="str">
        <f>'参照_概要'!$C$13&amp;"◆Story Set Mini"</f>
        <v>Mystic Matrimony◆Story Set Mini</v>
      </c>
      <c r="E181" s="489" t="s">
        <v>1034</v>
      </c>
      <c r="F181" s="490" t="s">
        <v>654</v>
      </c>
      <c r="G181" s="491">
        <v>10.0</v>
      </c>
      <c r="H181" s="492">
        <v>1020.0</v>
      </c>
      <c r="I181" s="492" t="s">
        <v>1405</v>
      </c>
      <c r="J181" s="493">
        <f>'参照_概要'!$C$17</f>
        <v>46074.70833</v>
      </c>
      <c r="K181" s="494">
        <f>'参照_概要'!$D$17</f>
        <v>46080.70833</v>
      </c>
      <c r="L181" s="480"/>
      <c r="M181" s="496"/>
      <c r="N181" s="475"/>
    </row>
    <row r="182" ht="15.75" customHeight="1">
      <c r="A182" s="475"/>
      <c r="B182" s="20"/>
      <c r="C182" s="20"/>
      <c r="D182" s="275"/>
      <c r="E182" s="275"/>
      <c r="F182" s="490" t="s">
        <v>1179</v>
      </c>
      <c r="G182" s="491">
        <v>1.0</v>
      </c>
      <c r="H182" s="275"/>
      <c r="I182" s="275"/>
      <c r="J182" s="275"/>
      <c r="K182" s="275"/>
      <c r="L182" s="480"/>
      <c r="M182" s="496"/>
      <c r="N182" s="475"/>
    </row>
    <row r="183" ht="15.75" customHeight="1">
      <c r="A183" s="475"/>
      <c r="B183" s="20"/>
      <c r="C183" s="20"/>
      <c r="D183" s="275"/>
      <c r="E183" s="275"/>
      <c r="F183" s="490" t="s">
        <v>1180</v>
      </c>
      <c r="G183" s="491">
        <v>1.0</v>
      </c>
      <c r="H183" s="275"/>
      <c r="I183" s="275"/>
      <c r="J183" s="275"/>
      <c r="K183" s="275"/>
      <c r="L183" s="480"/>
      <c r="M183" s="496"/>
      <c r="N183" s="475"/>
    </row>
    <row r="184" ht="15.75" customHeight="1">
      <c r="A184" s="475"/>
      <c r="B184" s="20"/>
      <c r="C184" s="20"/>
      <c r="D184" s="275"/>
      <c r="E184" s="275"/>
      <c r="F184" s="490"/>
      <c r="G184" s="491"/>
      <c r="H184" s="275"/>
      <c r="I184" s="275"/>
      <c r="J184" s="275"/>
      <c r="K184" s="275"/>
      <c r="L184" s="480"/>
      <c r="M184" s="496"/>
      <c r="N184" s="475"/>
    </row>
    <row r="185" ht="15.75" customHeight="1">
      <c r="A185" s="475"/>
      <c r="B185" s="20"/>
      <c r="C185" s="20"/>
      <c r="D185" s="275"/>
      <c r="E185" s="275"/>
      <c r="F185" s="490"/>
      <c r="G185" s="491"/>
      <c r="H185" s="275"/>
      <c r="I185" s="275"/>
      <c r="J185" s="275"/>
      <c r="K185" s="275"/>
      <c r="L185" s="480"/>
      <c r="M185" s="496"/>
      <c r="N185" s="475"/>
    </row>
    <row r="186" ht="15.75" customHeight="1">
      <c r="A186" s="475"/>
      <c r="B186" s="20"/>
      <c r="C186" s="20"/>
      <c r="D186" s="275"/>
      <c r="E186" s="275"/>
      <c r="F186" s="490"/>
      <c r="G186" s="491"/>
      <c r="H186" s="275"/>
      <c r="I186" s="275"/>
      <c r="J186" s="275"/>
      <c r="K186" s="275"/>
      <c r="L186" s="480"/>
      <c r="M186" s="496"/>
      <c r="N186" s="475"/>
    </row>
    <row r="187" ht="15.75" customHeight="1">
      <c r="A187" s="475"/>
      <c r="B187" s="20"/>
      <c r="C187" s="20"/>
      <c r="D187" s="275"/>
      <c r="E187" s="275"/>
      <c r="F187" s="490"/>
      <c r="G187" s="491"/>
      <c r="H187" s="275"/>
      <c r="I187" s="275"/>
      <c r="J187" s="275"/>
      <c r="K187" s="275"/>
      <c r="L187" s="480"/>
      <c r="M187" s="496"/>
      <c r="N187" s="475"/>
    </row>
    <row r="188" ht="15.75" customHeight="1">
      <c r="A188" s="475"/>
      <c r="B188" s="20"/>
      <c r="C188" s="20"/>
      <c r="D188" s="275"/>
      <c r="E188" s="275"/>
      <c r="F188" s="490"/>
      <c r="G188" s="491"/>
      <c r="H188" s="275"/>
      <c r="I188" s="275"/>
      <c r="J188" s="275"/>
      <c r="K188" s="275"/>
      <c r="L188" s="480"/>
      <c r="M188" s="496"/>
      <c r="N188" s="475"/>
    </row>
    <row r="189" ht="15.75" customHeight="1">
      <c r="A189" s="475"/>
      <c r="B189" s="20"/>
      <c r="C189" s="20"/>
      <c r="D189" s="275"/>
      <c r="E189" s="275"/>
      <c r="F189" s="490"/>
      <c r="G189" s="491"/>
      <c r="H189" s="275"/>
      <c r="I189" s="275"/>
      <c r="J189" s="275"/>
      <c r="K189" s="275"/>
      <c r="L189" s="480"/>
      <c r="M189" s="496"/>
      <c r="N189" s="475"/>
    </row>
    <row r="190" ht="15.75" customHeight="1">
      <c r="A190" s="475"/>
      <c r="B190" s="21"/>
      <c r="C190" s="21"/>
      <c r="D190" s="259"/>
      <c r="E190" s="259"/>
      <c r="F190" s="490"/>
      <c r="G190" s="491"/>
      <c r="H190" s="259"/>
      <c r="I190" s="259"/>
      <c r="J190" s="259"/>
      <c r="K190" s="259"/>
      <c r="L190" s="480"/>
      <c r="M190" s="496"/>
      <c r="N190" s="475"/>
    </row>
    <row r="191" ht="15.75" customHeight="1">
      <c r="A191" s="475"/>
      <c r="B191" s="486">
        <f>B181+1</f>
        <v>19</v>
      </c>
      <c r="C191" s="497" t="s">
        <v>1190</v>
      </c>
      <c r="D191" s="498" t="str">
        <f>'参照_概要'!$C$13&amp;"◆Special Theme Super Sale ～Masamune &amp; Keiji～"</f>
        <v>Mystic Matrimony◆Special Theme Super Sale ～Masamune &amp; Keiji～</v>
      </c>
      <c r="E191" s="499" t="s">
        <v>1406</v>
      </c>
      <c r="F191" s="500"/>
      <c r="G191" s="501"/>
      <c r="H191" s="502">
        <v>500.0</v>
      </c>
      <c r="I191" s="502">
        <v>1.0</v>
      </c>
      <c r="J191" s="503">
        <f>'参照_概要'!$C$17</f>
        <v>46074.70833</v>
      </c>
      <c r="K191" s="504">
        <f>'参照_概要'!$D$17</f>
        <v>46080.70833</v>
      </c>
      <c r="L191" s="480"/>
      <c r="M191" s="496"/>
      <c r="N191" s="475"/>
    </row>
    <row r="192" ht="15.75" customHeight="1">
      <c r="A192" s="475"/>
      <c r="B192" s="20"/>
      <c r="C192" s="20"/>
      <c r="D192" s="275"/>
      <c r="E192" s="275"/>
      <c r="F192" s="500"/>
      <c r="G192" s="501"/>
      <c r="H192" s="275"/>
      <c r="I192" s="275"/>
      <c r="J192" s="275"/>
      <c r="K192" s="275"/>
      <c r="L192" s="480"/>
      <c r="M192" s="496"/>
      <c r="N192" s="475"/>
    </row>
    <row r="193" ht="15.75" customHeight="1">
      <c r="A193" s="475"/>
      <c r="B193" s="20"/>
      <c r="C193" s="20"/>
      <c r="D193" s="275"/>
      <c r="E193" s="275"/>
      <c r="F193" s="500"/>
      <c r="G193" s="501"/>
      <c r="H193" s="275"/>
      <c r="I193" s="275"/>
      <c r="J193" s="275"/>
      <c r="K193" s="275"/>
      <c r="L193" s="480"/>
      <c r="M193" s="496"/>
      <c r="N193" s="475"/>
    </row>
    <row r="194" ht="15.75" customHeight="1">
      <c r="A194" s="475"/>
      <c r="B194" s="20"/>
      <c r="C194" s="20"/>
      <c r="D194" s="275"/>
      <c r="E194" s="275"/>
      <c r="F194" s="500"/>
      <c r="G194" s="501"/>
      <c r="H194" s="275"/>
      <c r="I194" s="275"/>
      <c r="J194" s="275"/>
      <c r="K194" s="275"/>
      <c r="L194" s="480"/>
      <c r="M194" s="496"/>
      <c r="N194" s="475"/>
    </row>
    <row r="195" ht="15.75" customHeight="1">
      <c r="A195" s="475"/>
      <c r="B195" s="20"/>
      <c r="C195" s="20"/>
      <c r="D195" s="275"/>
      <c r="E195" s="275"/>
      <c r="F195" s="500"/>
      <c r="G195" s="501"/>
      <c r="H195" s="275"/>
      <c r="I195" s="275"/>
      <c r="J195" s="275"/>
      <c r="K195" s="275"/>
      <c r="L195" s="480"/>
      <c r="M195" s="496"/>
      <c r="N195" s="475"/>
    </row>
    <row r="196" ht="15.75" customHeight="1">
      <c r="A196" s="475"/>
      <c r="B196" s="20"/>
      <c r="C196" s="20"/>
      <c r="D196" s="275"/>
      <c r="E196" s="275"/>
      <c r="F196" s="500"/>
      <c r="G196" s="501"/>
      <c r="H196" s="275"/>
      <c r="I196" s="275"/>
      <c r="J196" s="275"/>
      <c r="K196" s="275"/>
      <c r="L196" s="480"/>
      <c r="M196" s="496"/>
      <c r="N196" s="475"/>
    </row>
    <row r="197" ht="15.75" customHeight="1">
      <c r="A197" s="475"/>
      <c r="B197" s="20"/>
      <c r="C197" s="20"/>
      <c r="D197" s="275"/>
      <c r="E197" s="275"/>
      <c r="F197" s="500"/>
      <c r="G197" s="501"/>
      <c r="H197" s="275"/>
      <c r="I197" s="275"/>
      <c r="J197" s="275"/>
      <c r="K197" s="275"/>
      <c r="L197" s="480"/>
      <c r="M197" s="496"/>
      <c r="N197" s="475"/>
    </row>
    <row r="198" ht="15.75" customHeight="1">
      <c r="A198" s="475"/>
      <c r="B198" s="20"/>
      <c r="C198" s="20"/>
      <c r="D198" s="275"/>
      <c r="E198" s="275"/>
      <c r="F198" s="500"/>
      <c r="G198" s="501"/>
      <c r="H198" s="275"/>
      <c r="I198" s="275"/>
      <c r="J198" s="275"/>
      <c r="K198" s="275"/>
      <c r="L198" s="480"/>
      <c r="M198" s="496"/>
      <c r="N198" s="475"/>
    </row>
    <row r="199" ht="15.75" customHeight="1">
      <c r="A199" s="475"/>
      <c r="B199" s="20"/>
      <c r="C199" s="20"/>
      <c r="D199" s="275"/>
      <c r="E199" s="275"/>
      <c r="F199" s="500"/>
      <c r="G199" s="501"/>
      <c r="H199" s="275"/>
      <c r="I199" s="275"/>
      <c r="J199" s="275"/>
      <c r="K199" s="275"/>
      <c r="L199" s="480"/>
      <c r="M199" s="496"/>
      <c r="N199" s="475"/>
    </row>
    <row r="200" ht="15.75" customHeight="1">
      <c r="A200" s="475"/>
      <c r="B200" s="21"/>
      <c r="C200" s="21"/>
      <c r="D200" s="259"/>
      <c r="E200" s="259"/>
      <c r="F200" s="500"/>
      <c r="G200" s="501"/>
      <c r="H200" s="259"/>
      <c r="I200" s="259"/>
      <c r="J200" s="259"/>
      <c r="K200" s="259"/>
      <c r="L200" s="480"/>
      <c r="M200" s="496"/>
      <c r="N200" s="475"/>
    </row>
    <row r="201" ht="15.75" customHeight="1">
      <c r="A201" s="475"/>
      <c r="B201" s="486">
        <f>B191+1</f>
        <v>20</v>
      </c>
      <c r="C201" s="497" t="s">
        <v>1190</v>
      </c>
      <c r="D201" s="498" t="str">
        <f>'参照_概要'!$C$13&amp;"◆Special Theme Super Sale ～Ieyasu &amp; Mitsunari～"</f>
        <v>Mystic Matrimony◆Special Theme Super Sale ～Ieyasu &amp; Mitsunari～</v>
      </c>
      <c r="E201" s="499" t="s">
        <v>1407</v>
      </c>
      <c r="F201" s="500"/>
      <c r="G201" s="501"/>
      <c r="H201" s="502">
        <v>500.0</v>
      </c>
      <c r="I201" s="502">
        <v>1.0</v>
      </c>
      <c r="J201" s="503">
        <f>'参照_概要'!$C$17</f>
        <v>46074.70833</v>
      </c>
      <c r="K201" s="504">
        <f>'参照_概要'!$D$17</f>
        <v>46080.70833</v>
      </c>
      <c r="L201" s="480"/>
      <c r="M201" s="496"/>
      <c r="N201" s="475"/>
    </row>
    <row r="202" ht="15.75" customHeight="1">
      <c r="A202" s="475"/>
      <c r="B202" s="20"/>
      <c r="C202" s="20"/>
      <c r="D202" s="275"/>
      <c r="E202" s="275"/>
      <c r="F202" s="500"/>
      <c r="G202" s="501"/>
      <c r="H202" s="275"/>
      <c r="I202" s="275"/>
      <c r="J202" s="275"/>
      <c r="K202" s="275"/>
      <c r="L202" s="480"/>
      <c r="M202" s="496"/>
      <c r="N202" s="475"/>
    </row>
    <row r="203" ht="15.75" customHeight="1">
      <c r="A203" s="475"/>
      <c r="B203" s="20"/>
      <c r="C203" s="20"/>
      <c r="D203" s="275"/>
      <c r="E203" s="275"/>
      <c r="F203" s="500"/>
      <c r="G203" s="501"/>
      <c r="H203" s="275"/>
      <c r="I203" s="275"/>
      <c r="J203" s="275"/>
      <c r="K203" s="275"/>
      <c r="L203" s="480"/>
      <c r="M203" s="496"/>
      <c r="N203" s="475"/>
    </row>
    <row r="204" ht="15.75" customHeight="1">
      <c r="A204" s="475"/>
      <c r="B204" s="20"/>
      <c r="C204" s="20"/>
      <c r="D204" s="275"/>
      <c r="E204" s="275"/>
      <c r="F204" s="500"/>
      <c r="G204" s="501"/>
      <c r="H204" s="275"/>
      <c r="I204" s="275"/>
      <c r="J204" s="275"/>
      <c r="K204" s="275"/>
      <c r="L204" s="480"/>
      <c r="M204" s="496"/>
      <c r="N204" s="475"/>
    </row>
    <row r="205" ht="15.75" customHeight="1">
      <c r="A205" s="475"/>
      <c r="B205" s="20"/>
      <c r="C205" s="20"/>
      <c r="D205" s="275"/>
      <c r="E205" s="275"/>
      <c r="F205" s="500"/>
      <c r="G205" s="501"/>
      <c r="H205" s="275"/>
      <c r="I205" s="275"/>
      <c r="J205" s="275"/>
      <c r="K205" s="275"/>
      <c r="L205" s="480"/>
      <c r="M205" s="496"/>
      <c r="N205" s="475"/>
    </row>
    <row r="206" ht="15.75" customHeight="1">
      <c r="A206" s="475"/>
      <c r="B206" s="20"/>
      <c r="C206" s="20"/>
      <c r="D206" s="275"/>
      <c r="E206" s="275"/>
      <c r="F206" s="500"/>
      <c r="G206" s="501"/>
      <c r="H206" s="275"/>
      <c r="I206" s="275"/>
      <c r="J206" s="275"/>
      <c r="K206" s="275"/>
      <c r="L206" s="480"/>
      <c r="M206" s="496"/>
      <c r="N206" s="475"/>
    </row>
    <row r="207" ht="15.75" customHeight="1">
      <c r="A207" s="475"/>
      <c r="B207" s="20"/>
      <c r="C207" s="20"/>
      <c r="D207" s="275"/>
      <c r="E207" s="275"/>
      <c r="F207" s="500"/>
      <c r="G207" s="501"/>
      <c r="H207" s="275"/>
      <c r="I207" s="275"/>
      <c r="J207" s="275"/>
      <c r="K207" s="275"/>
      <c r="L207" s="480"/>
      <c r="M207" s="496"/>
      <c r="N207" s="475"/>
    </row>
    <row r="208" ht="15.75" customHeight="1">
      <c r="A208" s="475"/>
      <c r="B208" s="20"/>
      <c r="C208" s="20"/>
      <c r="D208" s="275"/>
      <c r="E208" s="275"/>
      <c r="F208" s="500"/>
      <c r="G208" s="501"/>
      <c r="H208" s="275"/>
      <c r="I208" s="275"/>
      <c r="J208" s="275"/>
      <c r="K208" s="275"/>
      <c r="L208" s="480"/>
      <c r="M208" s="496"/>
      <c r="N208" s="475"/>
    </row>
    <row r="209" ht="15.75" customHeight="1">
      <c r="A209" s="475"/>
      <c r="B209" s="20"/>
      <c r="C209" s="20"/>
      <c r="D209" s="275"/>
      <c r="E209" s="275"/>
      <c r="F209" s="500"/>
      <c r="G209" s="501"/>
      <c r="H209" s="275"/>
      <c r="I209" s="275"/>
      <c r="J209" s="275"/>
      <c r="K209" s="275"/>
      <c r="L209" s="480"/>
      <c r="M209" s="496"/>
      <c r="N209" s="475"/>
    </row>
    <row r="210" ht="15.75" customHeight="1">
      <c r="A210" s="475"/>
      <c r="B210" s="21"/>
      <c r="C210" s="21"/>
      <c r="D210" s="259"/>
      <c r="E210" s="259"/>
      <c r="F210" s="500"/>
      <c r="G210" s="501"/>
      <c r="H210" s="259"/>
      <c r="I210" s="259"/>
      <c r="J210" s="259"/>
      <c r="K210" s="259"/>
      <c r="L210" s="480"/>
      <c r="M210" s="496"/>
      <c r="N210" s="475"/>
    </row>
    <row r="211" ht="15.75" customHeight="1">
      <c r="A211" s="475"/>
      <c r="B211" s="486">
        <f>B201+1</f>
        <v>21</v>
      </c>
      <c r="C211" s="497" t="s">
        <v>1190</v>
      </c>
      <c r="D211" s="498" t="str">
        <f>'参照_概要'!$C$13&amp;"◆Special Theme Super Sale ～Yukimura &amp; Shingen～"</f>
        <v>Mystic Matrimony◆Special Theme Super Sale ～Yukimura &amp; Shingen～</v>
      </c>
      <c r="E211" s="499" t="s">
        <v>1408</v>
      </c>
      <c r="F211" s="500"/>
      <c r="G211" s="501"/>
      <c r="H211" s="502">
        <v>500.0</v>
      </c>
      <c r="I211" s="502">
        <v>1.0</v>
      </c>
      <c r="J211" s="503">
        <f>'参照_概要'!$C$17</f>
        <v>46074.70833</v>
      </c>
      <c r="K211" s="504">
        <f>'参照_概要'!$D$17</f>
        <v>46080.70833</v>
      </c>
      <c r="L211" s="480"/>
      <c r="M211" s="496"/>
      <c r="N211" s="475"/>
    </row>
    <row r="212" ht="15.75" customHeight="1">
      <c r="A212" s="475"/>
      <c r="B212" s="20"/>
      <c r="C212" s="20"/>
      <c r="D212" s="275"/>
      <c r="E212" s="275"/>
      <c r="F212" s="500"/>
      <c r="G212" s="501"/>
      <c r="H212" s="275"/>
      <c r="I212" s="275"/>
      <c r="J212" s="275"/>
      <c r="K212" s="275"/>
      <c r="L212" s="480"/>
      <c r="M212" s="496"/>
      <c r="N212" s="475"/>
    </row>
    <row r="213" ht="15.75" customHeight="1">
      <c r="A213" s="475"/>
      <c r="B213" s="20"/>
      <c r="C213" s="20"/>
      <c r="D213" s="275"/>
      <c r="E213" s="275"/>
      <c r="F213" s="500"/>
      <c r="G213" s="501"/>
      <c r="H213" s="275"/>
      <c r="I213" s="275"/>
      <c r="J213" s="275"/>
      <c r="K213" s="275"/>
      <c r="L213" s="480"/>
      <c r="M213" s="496"/>
      <c r="N213" s="475"/>
    </row>
    <row r="214" ht="15.75" customHeight="1">
      <c r="A214" s="475"/>
      <c r="B214" s="20"/>
      <c r="C214" s="20"/>
      <c r="D214" s="275"/>
      <c r="E214" s="275"/>
      <c r="F214" s="500"/>
      <c r="G214" s="501"/>
      <c r="H214" s="275"/>
      <c r="I214" s="275"/>
      <c r="J214" s="275"/>
      <c r="K214" s="275"/>
      <c r="L214" s="480"/>
      <c r="M214" s="496"/>
      <c r="N214" s="475"/>
    </row>
    <row r="215" ht="15.75" customHeight="1">
      <c r="A215" s="475"/>
      <c r="B215" s="20"/>
      <c r="C215" s="20"/>
      <c r="D215" s="275"/>
      <c r="E215" s="275"/>
      <c r="F215" s="500"/>
      <c r="G215" s="501"/>
      <c r="H215" s="275"/>
      <c r="I215" s="275"/>
      <c r="J215" s="275"/>
      <c r="K215" s="275"/>
      <c r="L215" s="480"/>
      <c r="M215" s="496"/>
      <c r="N215" s="475"/>
    </row>
    <row r="216" ht="15.75" customHeight="1">
      <c r="A216" s="475"/>
      <c r="B216" s="20"/>
      <c r="C216" s="20"/>
      <c r="D216" s="275"/>
      <c r="E216" s="275"/>
      <c r="F216" s="500"/>
      <c r="G216" s="501"/>
      <c r="H216" s="275"/>
      <c r="I216" s="275"/>
      <c r="J216" s="275"/>
      <c r="K216" s="275"/>
      <c r="L216" s="480"/>
      <c r="M216" s="496"/>
      <c r="N216" s="475"/>
    </row>
    <row r="217" ht="15.75" customHeight="1">
      <c r="A217" s="475"/>
      <c r="B217" s="20"/>
      <c r="C217" s="20"/>
      <c r="D217" s="275"/>
      <c r="E217" s="275"/>
      <c r="F217" s="500"/>
      <c r="G217" s="501"/>
      <c r="H217" s="275"/>
      <c r="I217" s="275"/>
      <c r="J217" s="275"/>
      <c r="K217" s="275"/>
      <c r="L217" s="480"/>
      <c r="M217" s="496"/>
      <c r="N217" s="475"/>
    </row>
    <row r="218" ht="15.75" customHeight="1">
      <c r="A218" s="475"/>
      <c r="B218" s="20"/>
      <c r="C218" s="20"/>
      <c r="D218" s="275"/>
      <c r="E218" s="275"/>
      <c r="F218" s="500"/>
      <c r="G218" s="501"/>
      <c r="H218" s="275"/>
      <c r="I218" s="275"/>
      <c r="J218" s="275"/>
      <c r="K218" s="275"/>
      <c r="L218" s="480"/>
      <c r="M218" s="496"/>
      <c r="N218" s="475"/>
    </row>
    <row r="219" ht="15.75" customHeight="1">
      <c r="A219" s="475"/>
      <c r="B219" s="20"/>
      <c r="C219" s="20"/>
      <c r="D219" s="275"/>
      <c r="E219" s="275"/>
      <c r="F219" s="500"/>
      <c r="G219" s="501"/>
      <c r="H219" s="275"/>
      <c r="I219" s="275"/>
      <c r="J219" s="275"/>
      <c r="K219" s="275"/>
      <c r="L219" s="480"/>
      <c r="M219" s="496"/>
      <c r="N219" s="475"/>
    </row>
    <row r="220" ht="15.75" customHeight="1">
      <c r="A220" s="475"/>
      <c r="B220" s="21"/>
      <c r="C220" s="21"/>
      <c r="D220" s="259"/>
      <c r="E220" s="259"/>
      <c r="F220" s="500"/>
      <c r="G220" s="501"/>
      <c r="H220" s="259"/>
      <c r="I220" s="259"/>
      <c r="J220" s="259"/>
      <c r="K220" s="259"/>
      <c r="L220" s="480"/>
      <c r="M220" s="496"/>
      <c r="N220" s="475"/>
    </row>
    <row r="221" ht="15.75" customHeight="1">
      <c r="A221" s="475"/>
      <c r="B221" s="486">
        <f>B211+1</f>
        <v>22</v>
      </c>
      <c r="C221" s="497" t="s">
        <v>1190</v>
      </c>
      <c r="D221" s="498" t="str">
        <f>'参照_概要'!$C$13&amp;"◆Special Theme Super Sale ～Kanetsugu &amp; Kicho～"</f>
        <v>Mystic Matrimony◆Special Theme Super Sale ～Kanetsugu &amp; Kicho～</v>
      </c>
      <c r="E221" s="499" t="s">
        <v>1409</v>
      </c>
      <c r="F221" s="500"/>
      <c r="G221" s="501"/>
      <c r="H221" s="502">
        <v>500.0</v>
      </c>
      <c r="I221" s="502">
        <v>1.0</v>
      </c>
      <c r="J221" s="503">
        <f>'参照_概要'!$C$17</f>
        <v>46074.70833</v>
      </c>
      <c r="K221" s="504">
        <f>'参照_概要'!$D$17</f>
        <v>46080.70833</v>
      </c>
      <c r="L221" s="480"/>
      <c r="M221" s="496"/>
      <c r="N221" s="475"/>
    </row>
    <row r="222" ht="15.75" customHeight="1">
      <c r="A222" s="475"/>
      <c r="B222" s="20"/>
      <c r="C222" s="20"/>
      <c r="D222" s="275"/>
      <c r="E222" s="275"/>
      <c r="F222" s="500"/>
      <c r="G222" s="501"/>
      <c r="H222" s="275"/>
      <c r="I222" s="275"/>
      <c r="J222" s="275"/>
      <c r="K222" s="275"/>
      <c r="L222" s="480"/>
      <c r="M222" s="496"/>
      <c r="N222" s="475"/>
    </row>
    <row r="223" ht="15.75" customHeight="1">
      <c r="A223" s="475"/>
      <c r="B223" s="20"/>
      <c r="C223" s="20"/>
      <c r="D223" s="275"/>
      <c r="E223" s="275"/>
      <c r="F223" s="500"/>
      <c r="G223" s="501"/>
      <c r="H223" s="275"/>
      <c r="I223" s="275"/>
      <c r="J223" s="275"/>
      <c r="K223" s="275"/>
      <c r="L223" s="480"/>
      <c r="M223" s="496"/>
      <c r="N223" s="475"/>
    </row>
    <row r="224" ht="15.75" customHeight="1">
      <c r="A224" s="475"/>
      <c r="B224" s="20"/>
      <c r="C224" s="20"/>
      <c r="D224" s="275"/>
      <c r="E224" s="275"/>
      <c r="F224" s="500"/>
      <c r="G224" s="501"/>
      <c r="H224" s="275"/>
      <c r="I224" s="275"/>
      <c r="J224" s="275"/>
      <c r="K224" s="275"/>
      <c r="L224" s="480"/>
      <c r="M224" s="496"/>
      <c r="N224" s="475"/>
    </row>
    <row r="225" ht="15.75" customHeight="1">
      <c r="A225" s="475"/>
      <c r="B225" s="20"/>
      <c r="C225" s="20"/>
      <c r="D225" s="275"/>
      <c r="E225" s="275"/>
      <c r="F225" s="500"/>
      <c r="G225" s="501"/>
      <c r="H225" s="275"/>
      <c r="I225" s="275"/>
      <c r="J225" s="275"/>
      <c r="K225" s="275"/>
      <c r="L225" s="480"/>
      <c r="M225" s="496"/>
      <c r="N225" s="475"/>
    </row>
    <row r="226" ht="15.75" customHeight="1">
      <c r="A226" s="475"/>
      <c r="B226" s="20"/>
      <c r="C226" s="20"/>
      <c r="D226" s="275"/>
      <c r="E226" s="275"/>
      <c r="F226" s="500"/>
      <c r="G226" s="501"/>
      <c r="H226" s="275"/>
      <c r="I226" s="275"/>
      <c r="J226" s="275"/>
      <c r="K226" s="275"/>
      <c r="L226" s="480"/>
      <c r="M226" s="496"/>
      <c r="N226" s="475"/>
    </row>
    <row r="227" ht="15.75" customHeight="1">
      <c r="A227" s="475"/>
      <c r="B227" s="20"/>
      <c r="C227" s="20"/>
      <c r="D227" s="275"/>
      <c r="E227" s="275"/>
      <c r="F227" s="500"/>
      <c r="G227" s="501"/>
      <c r="H227" s="275"/>
      <c r="I227" s="275"/>
      <c r="J227" s="275"/>
      <c r="K227" s="275"/>
      <c r="L227" s="480"/>
      <c r="M227" s="496"/>
      <c r="N227" s="475"/>
    </row>
    <row r="228" ht="15.75" customHeight="1">
      <c r="A228" s="475"/>
      <c r="B228" s="20"/>
      <c r="C228" s="20"/>
      <c r="D228" s="275"/>
      <c r="E228" s="275"/>
      <c r="F228" s="500"/>
      <c r="G228" s="501"/>
      <c r="H228" s="275"/>
      <c r="I228" s="275"/>
      <c r="J228" s="275"/>
      <c r="K228" s="275"/>
      <c r="L228" s="480"/>
      <c r="M228" s="496"/>
      <c r="N228" s="475"/>
    </row>
    <row r="229" ht="15.75" customHeight="1">
      <c r="A229" s="475"/>
      <c r="B229" s="20"/>
      <c r="C229" s="20"/>
      <c r="D229" s="275"/>
      <c r="E229" s="275"/>
      <c r="F229" s="500"/>
      <c r="G229" s="501"/>
      <c r="H229" s="275"/>
      <c r="I229" s="275"/>
      <c r="J229" s="275"/>
      <c r="K229" s="275"/>
      <c r="L229" s="480"/>
      <c r="M229" s="496"/>
      <c r="N229" s="475"/>
    </row>
    <row r="230" ht="15.75" customHeight="1">
      <c r="A230" s="475"/>
      <c r="B230" s="21"/>
      <c r="C230" s="21"/>
      <c r="D230" s="259"/>
      <c r="E230" s="259"/>
      <c r="F230" s="500"/>
      <c r="G230" s="501"/>
      <c r="H230" s="259"/>
      <c r="I230" s="259"/>
      <c r="J230" s="259"/>
      <c r="K230" s="259"/>
      <c r="L230" s="480"/>
      <c r="M230" s="496"/>
      <c r="N230" s="475"/>
    </row>
    <row r="231" ht="15.75" customHeight="1">
      <c r="A231" s="475"/>
      <c r="B231" s="507"/>
      <c r="C231" s="508" t="s">
        <v>1410</v>
      </c>
      <c r="D231" s="509" t="str">
        <f>'参照_概要'!$C$13&amp;"★Hearts (for Coins)"</f>
        <v>Mystic Matrimony★Hearts (for Coins)</v>
      </c>
      <c r="E231" s="510"/>
      <c r="F231" s="409"/>
      <c r="G231" s="447">
        <v>1.0</v>
      </c>
      <c r="H231" s="447">
        <v>70.0</v>
      </c>
      <c r="I231" s="447" t="s">
        <v>1405</v>
      </c>
      <c r="J231" s="511">
        <f>'参照_概要'!$C$17</f>
        <v>46074.70833</v>
      </c>
      <c r="K231" s="512">
        <f>'参照_概要'!$D$17</f>
        <v>46080.70833</v>
      </c>
      <c r="L231" s="480"/>
      <c r="M231" s="496"/>
      <c r="N231" s="475"/>
    </row>
    <row r="232" ht="15.75" customHeight="1">
      <c r="A232" s="475"/>
      <c r="B232" s="21"/>
      <c r="C232" s="21"/>
      <c r="D232" s="509" t="str">
        <f>'参照_概要'!$C$13&amp;"★Hearts (for Gold)"</f>
        <v>Mystic Matrimony★Hearts (for Gold)</v>
      </c>
      <c r="E232" s="21"/>
      <c r="F232" s="409"/>
      <c r="G232" s="447">
        <v>1.0</v>
      </c>
      <c r="H232" s="447">
        <v>2000.0</v>
      </c>
      <c r="I232" s="447" t="s">
        <v>1411</v>
      </c>
      <c r="J232" s="21"/>
      <c r="K232" s="21"/>
      <c r="L232" s="480"/>
      <c r="M232" s="496"/>
      <c r="N232" s="475"/>
    </row>
    <row r="233" ht="15.75" customHeight="1">
      <c r="A233" s="368"/>
      <c r="B233" s="368"/>
      <c r="C233" s="368"/>
      <c r="D233" s="368"/>
      <c r="E233" s="368"/>
      <c r="F233" s="368"/>
      <c r="G233" s="370"/>
      <c r="H233" s="368"/>
      <c r="I233" s="368"/>
      <c r="J233" s="513"/>
      <c r="K233" s="370"/>
      <c r="L233" s="368"/>
      <c r="M233" s="368"/>
      <c r="N233" s="368"/>
    </row>
    <row r="234" ht="15.75" customHeight="1">
      <c r="A234" s="368"/>
      <c r="B234" s="368"/>
      <c r="C234" s="368"/>
      <c r="D234" s="368"/>
      <c r="E234" s="368"/>
      <c r="F234" s="368"/>
      <c r="G234" s="370"/>
      <c r="H234" s="368"/>
      <c r="I234" s="368"/>
      <c r="J234" s="513"/>
      <c r="K234" s="370"/>
      <c r="L234" s="368"/>
      <c r="M234" s="368"/>
      <c r="N234" s="368"/>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2">
    <mergeCell ref="C131:C140"/>
    <mergeCell ref="D131:D140"/>
    <mergeCell ref="E131:E140"/>
    <mergeCell ref="H131:H140"/>
    <mergeCell ref="I131:I140"/>
    <mergeCell ref="J131:J140"/>
    <mergeCell ref="K131:K140"/>
    <mergeCell ref="B131:B140"/>
    <mergeCell ref="B141:B150"/>
    <mergeCell ref="C141:C150"/>
    <mergeCell ref="D141:D150"/>
    <mergeCell ref="E141:E150"/>
    <mergeCell ref="H141:H150"/>
    <mergeCell ref="I141:I150"/>
    <mergeCell ref="I151:I160"/>
    <mergeCell ref="J151:J160"/>
    <mergeCell ref="J141:J150"/>
    <mergeCell ref="K141:K150"/>
    <mergeCell ref="C151:C160"/>
    <mergeCell ref="D151:D160"/>
    <mergeCell ref="E151:E160"/>
    <mergeCell ref="H151:H160"/>
    <mergeCell ref="K151:K160"/>
    <mergeCell ref="J161:J170"/>
    <mergeCell ref="K161:K170"/>
    <mergeCell ref="B151:B160"/>
    <mergeCell ref="B161:B170"/>
    <mergeCell ref="C161:C170"/>
    <mergeCell ref="D161:D170"/>
    <mergeCell ref="E161:E170"/>
    <mergeCell ref="H161:H170"/>
    <mergeCell ref="I161:I170"/>
    <mergeCell ref="C171:C180"/>
    <mergeCell ref="D171:D180"/>
    <mergeCell ref="E171:E180"/>
    <mergeCell ref="H171:H180"/>
    <mergeCell ref="I171:I180"/>
    <mergeCell ref="J171:J180"/>
    <mergeCell ref="K171:K180"/>
    <mergeCell ref="B171:B180"/>
    <mergeCell ref="B181:B190"/>
    <mergeCell ref="C181:C190"/>
    <mergeCell ref="D181:D190"/>
    <mergeCell ref="E181:E190"/>
    <mergeCell ref="H181:H190"/>
    <mergeCell ref="I181:I190"/>
    <mergeCell ref="I191:I200"/>
    <mergeCell ref="J191:J200"/>
    <mergeCell ref="J181:J190"/>
    <mergeCell ref="K181:K190"/>
    <mergeCell ref="C191:C200"/>
    <mergeCell ref="D191:D200"/>
    <mergeCell ref="E191:E200"/>
    <mergeCell ref="H191:H200"/>
    <mergeCell ref="K191:K200"/>
    <mergeCell ref="J201:J210"/>
    <mergeCell ref="K201:K210"/>
    <mergeCell ref="B191:B200"/>
    <mergeCell ref="B201:B210"/>
    <mergeCell ref="C201:C210"/>
    <mergeCell ref="D201:D210"/>
    <mergeCell ref="E201:E210"/>
    <mergeCell ref="H201:H210"/>
    <mergeCell ref="I201:I210"/>
    <mergeCell ref="C211:C220"/>
    <mergeCell ref="D211:D220"/>
    <mergeCell ref="E211:E220"/>
    <mergeCell ref="H211:H220"/>
    <mergeCell ref="I211:I220"/>
    <mergeCell ref="J211:J220"/>
    <mergeCell ref="K211:K220"/>
    <mergeCell ref="B211:B220"/>
    <mergeCell ref="B221:B230"/>
    <mergeCell ref="C221:C230"/>
    <mergeCell ref="D221:D230"/>
    <mergeCell ref="E221:E230"/>
    <mergeCell ref="H221:H230"/>
    <mergeCell ref="I221:I230"/>
    <mergeCell ref="H9:H10"/>
    <mergeCell ref="I9:I10"/>
    <mergeCell ref="J9:J10"/>
    <mergeCell ref="K9:K10"/>
    <mergeCell ref="B1:G1"/>
    <mergeCell ref="B3:G3"/>
    <mergeCell ref="B4:G6"/>
    <mergeCell ref="B9:B10"/>
    <mergeCell ref="C9:C10"/>
    <mergeCell ref="D9:D10"/>
    <mergeCell ref="E9:E10"/>
    <mergeCell ref="C11:C20"/>
    <mergeCell ref="D11:D20"/>
    <mergeCell ref="E11:E20"/>
    <mergeCell ref="H11:H20"/>
    <mergeCell ref="I11:I20"/>
    <mergeCell ref="J11:J20"/>
    <mergeCell ref="K11:K20"/>
    <mergeCell ref="J21:J30"/>
    <mergeCell ref="K21:K30"/>
    <mergeCell ref="B11:B20"/>
    <mergeCell ref="B21:B30"/>
    <mergeCell ref="C21:C30"/>
    <mergeCell ref="D21:D30"/>
    <mergeCell ref="E21:E30"/>
    <mergeCell ref="H21:H30"/>
    <mergeCell ref="I21:I30"/>
    <mergeCell ref="J41:J50"/>
    <mergeCell ref="K41:K50"/>
    <mergeCell ref="J221:J230"/>
    <mergeCell ref="K221:K230"/>
    <mergeCell ref="B231:B232"/>
    <mergeCell ref="C231:C232"/>
    <mergeCell ref="E231:E232"/>
    <mergeCell ref="J231:J232"/>
    <mergeCell ref="K231:K232"/>
    <mergeCell ref="C31:C40"/>
    <mergeCell ref="D31:D40"/>
    <mergeCell ref="E31:E40"/>
    <mergeCell ref="H31:H40"/>
    <mergeCell ref="I31:I40"/>
    <mergeCell ref="J31:J40"/>
    <mergeCell ref="K31:K40"/>
    <mergeCell ref="B31:B40"/>
    <mergeCell ref="B41:B50"/>
    <mergeCell ref="C41:C50"/>
    <mergeCell ref="D41:D50"/>
    <mergeCell ref="E41:E50"/>
    <mergeCell ref="H41:H50"/>
    <mergeCell ref="I41:I50"/>
    <mergeCell ref="C51:C60"/>
    <mergeCell ref="D51:D60"/>
    <mergeCell ref="E51:E60"/>
    <mergeCell ref="H51:H60"/>
    <mergeCell ref="I51:I60"/>
    <mergeCell ref="J51:J60"/>
    <mergeCell ref="K51:K60"/>
    <mergeCell ref="B51:B60"/>
    <mergeCell ref="B61:B70"/>
    <mergeCell ref="C61:C70"/>
    <mergeCell ref="D61:D70"/>
    <mergeCell ref="E61:E70"/>
    <mergeCell ref="H61:H70"/>
    <mergeCell ref="I61:I70"/>
    <mergeCell ref="I71:I80"/>
    <mergeCell ref="J71:J80"/>
    <mergeCell ref="J61:J70"/>
    <mergeCell ref="K61:K70"/>
    <mergeCell ref="C71:C80"/>
    <mergeCell ref="D71:D80"/>
    <mergeCell ref="E71:E80"/>
    <mergeCell ref="H71:H80"/>
    <mergeCell ref="K71:K80"/>
    <mergeCell ref="J81:J90"/>
    <mergeCell ref="K81:K90"/>
    <mergeCell ref="B71:B80"/>
    <mergeCell ref="B81:B90"/>
    <mergeCell ref="C81:C90"/>
    <mergeCell ref="D81:D90"/>
    <mergeCell ref="E81:E90"/>
    <mergeCell ref="H81:H90"/>
    <mergeCell ref="I81:I90"/>
    <mergeCell ref="C91:C100"/>
    <mergeCell ref="D91:D100"/>
    <mergeCell ref="E91:E100"/>
    <mergeCell ref="H91:H100"/>
    <mergeCell ref="I91:I100"/>
    <mergeCell ref="J91:J100"/>
    <mergeCell ref="K91:K100"/>
    <mergeCell ref="B91:B100"/>
    <mergeCell ref="B101:B110"/>
    <mergeCell ref="C101:C110"/>
    <mergeCell ref="D101:D110"/>
    <mergeCell ref="E101:E110"/>
    <mergeCell ref="H101:H110"/>
    <mergeCell ref="I101:I110"/>
    <mergeCell ref="I111:I120"/>
    <mergeCell ref="J111:J120"/>
    <mergeCell ref="J101:J110"/>
    <mergeCell ref="K101:K110"/>
    <mergeCell ref="C111:C120"/>
    <mergeCell ref="D111:D120"/>
    <mergeCell ref="E111:E120"/>
    <mergeCell ref="H111:H120"/>
    <mergeCell ref="K111:K120"/>
    <mergeCell ref="J121:J130"/>
    <mergeCell ref="K121:K130"/>
    <mergeCell ref="B111:B120"/>
    <mergeCell ref="B121:B130"/>
    <mergeCell ref="C121:C130"/>
    <mergeCell ref="D121:D130"/>
    <mergeCell ref="E121:E130"/>
    <mergeCell ref="H121:H130"/>
    <mergeCell ref="I121:I130"/>
  </mergeCells>
  <printOptions/>
  <pageMargins bottom="0.75" footer="0.0" header="0.0" left="0.7" right="0.7" top="0.75"/>
  <pageSetup orientation="landscape"/>
  <drawing r:id="rId1"/>
</worksheet>
</file>